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Documents\Data D\Vba\AI\ML\mlm\RL\"/>
    </mc:Choice>
  </mc:AlternateContent>
  <xr:revisionPtr revIDLastSave="0" documentId="13_ncr:1_{34F1BAE5-3B8F-4E06-8647-A9034350AB9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L_Q-Learning" sheetId="1" r:id="rId1"/>
    <sheet name="Sheet2" sheetId="3" r:id="rId2"/>
  </sheets>
  <definedNames>
    <definedName name="_0">'RL_Q-Learning'!$H$17:$P$17</definedName>
    <definedName name="_1">'RL_Q-Learning'!$H$18:$P$18</definedName>
    <definedName name="_2">'RL_Q-Learning'!$H$19:$P$19</definedName>
    <definedName name="_3">'RL_Q-Learning'!$H$20:$P$20</definedName>
    <definedName name="_4">'RL_Q-Learning'!$H$21:$P$21</definedName>
    <definedName name="_5">'RL_Q-Learning'!$H$22:$P$22</definedName>
    <definedName name="_6">'RL_Q-Learning'!$H$23:$P$23</definedName>
    <definedName name="_7">'RL_Q-Learning'!$H$24:$P$24</definedName>
    <definedName name="_8">'RL_Q-Learning'!$H$25:$P$25</definedName>
    <definedName name="_xlnm._FilterDatabase" localSheetId="0" hidden="1">'RL_Q-Learning'!$AF$2:$AG$2</definedName>
    <definedName name="_xlnm._FilterDatabase" localSheetId="1" hidden="1">Sheet2!$C$2:$D$2</definedName>
    <definedName name="_L1">'RL_Q-Learning'!$D$4,'RL_Q-Learning'!$D$6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1" l="1"/>
  <c r="AJ3" i="1"/>
  <c r="AK3" i="1"/>
  <c r="D20" i="1"/>
  <c r="D19" i="1"/>
  <c r="I29" i="1"/>
  <c r="E10" i="1" l="1" a="1"/>
  <c r="E10" i="1" s="1"/>
  <c r="E11" i="1"/>
  <c r="E9" i="1" a="1"/>
  <c r="E9" i="1" s="1"/>
  <c r="E8" i="1"/>
  <c r="E7" i="1" a="1"/>
  <c r="E7" i="1" s="1"/>
  <c r="E6" i="1" a="1"/>
  <c r="E6" i="1" s="1"/>
  <c r="E5" i="1" a="1"/>
  <c r="E5" i="1" s="1"/>
  <c r="E4" i="1" a="1"/>
  <c r="E4" i="1" s="1"/>
  <c r="E3" i="1" a="1"/>
  <c r="E3" i="1" s="1"/>
  <c r="AF9" i="1"/>
  <c r="AF4" i="1"/>
  <c r="AF10" i="1"/>
  <c r="AF8" i="1"/>
  <c r="AF3" i="1"/>
  <c r="AF7" i="1"/>
  <c r="AF6" i="1"/>
  <c r="AF5" i="1"/>
  <c r="AF11" i="1"/>
  <c r="J29" i="1"/>
  <c r="AI4" i="1" l="1"/>
  <c r="D17" i="1"/>
  <c r="G180" i="1"/>
  <c r="G179" i="1"/>
  <c r="G181" i="1" s="1"/>
  <c r="G182" i="1" s="1"/>
  <c r="K29" i="1"/>
  <c r="D18" i="1"/>
  <c r="L29" i="1" l="1"/>
  <c r="D15" i="1"/>
  <c r="D16" i="1" s="1"/>
  <c r="M29" i="1"/>
  <c r="N29" i="1" l="1"/>
  <c r="O29" i="1" l="1"/>
  <c r="P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<sst xmlns="http://schemas.openxmlformats.org/spreadsheetml/2006/main" count="89" uniqueCount="33">
  <si>
    <t>ds</t>
  </si>
  <si>
    <t>i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</si>
  <si>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</si>
  <si>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</si>
  <si>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</si>
  <si>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</si>
  <si>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</si>
  <si>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</si>
  <si>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</si>
  <si>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</si>
  <si>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</si>
  <si>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alpha</t>
  </si>
  <si>
    <t>gamma</t>
  </si>
  <si>
    <t>Location code</t>
  </si>
  <si>
    <t>State</t>
  </si>
  <si>
    <t>A</t>
  </si>
  <si>
    <t>B</t>
  </si>
  <si>
    <t>TD</t>
  </si>
  <si>
    <t>Policy</t>
  </si>
  <si>
    <t>next_state</t>
  </si>
  <si>
    <t>Rewards</t>
  </si>
  <si>
    <t>ns</t>
  </si>
  <si>
    <t>ns_max</t>
  </si>
  <si>
    <t>current_state</t>
  </si>
  <si>
    <t>cs_ns</t>
  </si>
  <si>
    <t>cs_ns_p</t>
  </si>
  <si>
    <t>Quality</t>
  </si>
  <si>
    <t>Q</t>
  </si>
  <si>
    <t>Cell1</t>
  </si>
  <si>
    <t>Cell2</t>
  </si>
  <si>
    <t>From</t>
  </si>
  <si>
    <t>To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</si>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</sst>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0.0000000"/>
    <numFmt numFmtId="166" formatCode="0.000000"/>
    <numFmt numFmtId="167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lightGrid">
        <bgColor theme="8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43" fontId="6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2" fontId="0" fillId="6" borderId="0" xfId="0" applyNumberFormat="1" applyFill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right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0" fillId="9" borderId="0" xfId="0" applyFill="1"/>
    <xf numFmtId="0" fontId="5" fillId="9" borderId="0" xfId="0" applyFont="1" applyFill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1" fontId="0" fillId="0" borderId="0" xfId="0" applyNumberFormat="1"/>
    <xf numFmtId="43" fontId="0" fillId="0" borderId="0" xfId="3" applyFont="1"/>
    <xf numFmtId="167" fontId="0" fillId="0" borderId="0" xfId="0" applyNumberFormat="1" applyAlignment="1">
      <alignment horizontal="left"/>
    </xf>
    <xf numFmtId="0" fontId="5" fillId="10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1" fillId="0" borderId="7" xfId="0" applyFont="1" applyBorder="1"/>
    <xf numFmtId="2" fontId="0" fillId="0" borderId="8" xfId="0" applyNumberFormat="1" applyBorder="1"/>
    <xf numFmtId="0" fontId="0" fillId="0" borderId="8" xfId="0" applyBorder="1"/>
    <xf numFmtId="0" fontId="0" fillId="0" borderId="2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/>
    <xf numFmtId="2" fontId="0" fillId="0" borderId="12" xfId="0" quotePrefix="1" applyNumberFormat="1" applyBorder="1"/>
    <xf numFmtId="2" fontId="0" fillId="0" borderId="12" xfId="0" applyNumberFormat="1" applyBorder="1"/>
    <xf numFmtId="2" fontId="0" fillId="0" borderId="3" xfId="0" applyNumberFormat="1" applyBorder="1"/>
    <xf numFmtId="0" fontId="1" fillId="0" borderId="0" xfId="0" applyFont="1" applyAlignment="1">
      <alignment horizontal="center"/>
    </xf>
    <xf numFmtId="2" fontId="0" fillId="6" borderId="0" xfId="0" applyNumberFormat="1" applyFill="1" applyAlignment="1">
      <alignment horizontal="center"/>
    </xf>
  </cellXfs>
  <cellStyles count="4">
    <cellStyle name="Comma" xfId="3" builtinId="3"/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63500</xdr:colOff>
      <xdr:row>19</xdr:row>
      <xdr:rowOff>10583</xdr:rowOff>
    </xdr:from>
    <xdr:to>
      <xdr:col>20</xdr:col>
      <xdr:colOff>74083</xdr:colOff>
      <xdr:row>21</xdr:row>
      <xdr:rowOff>137583</xdr:rowOff>
    </xdr:to>
    <xdr:sp macro="[0]!FindTheW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A594B3-68F3-A8ED-D6A9-5D1A57BC7246}"/>
            </a:ext>
          </a:extLst>
        </xdr:cNvPr>
        <xdr:cNvSpPr/>
      </xdr:nvSpPr>
      <xdr:spPr>
        <a:xfrm>
          <a:off x="8879417" y="3788833"/>
          <a:ext cx="931333" cy="508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START</a:t>
          </a:r>
        </a:p>
      </xdr:txBody>
    </xdr:sp>
    <xdr:clientData/>
  </xdr:twoCellAnchor>
  <xdr:twoCellAnchor>
    <xdr:from>
      <xdr:col>26</xdr:col>
      <xdr:colOff>74083</xdr:colOff>
      <xdr:row>19</xdr:row>
      <xdr:rowOff>10583</xdr:rowOff>
    </xdr:from>
    <xdr:to>
      <xdr:col>28</xdr:col>
      <xdr:colOff>127000</xdr:colOff>
      <xdr:row>21</xdr:row>
      <xdr:rowOff>137583</xdr:rowOff>
    </xdr:to>
    <xdr:sp macro="[0]!Res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9D3E9C-54C6-1408-0128-C6014CA9CFA6}"/>
            </a:ext>
          </a:extLst>
        </xdr:cNvPr>
        <xdr:cNvSpPr/>
      </xdr:nvSpPr>
      <xdr:spPr>
        <a:xfrm>
          <a:off x="11747500" y="3788833"/>
          <a:ext cx="931333" cy="50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K182"/>
  <sheetViews>
    <sheetView showGridLines="0" tabSelected="1" zoomScale="90" zoomScaleNormal="90" workbookViewId="0">
      <selection activeCell="H1" sqref="H1:P1"/>
    </sheetView>
  </sheetViews>
  <sheetFormatPr defaultRowHeight="15" x14ac:dyDescent="0.25"/>
  <cols>
    <col min="2" max="2" width="4.7109375" bestFit="1" customWidth="1"/>
    <col min="7" max="7" width="8.140625" bestFit="1" customWidth="1"/>
    <col min="8" max="8" width="5" customWidth="1"/>
    <col min="9" max="16" width="5.140625" customWidth="1"/>
    <col min="20" max="20" width="13.85546875" bestFit="1" customWidth="1"/>
    <col min="21" max="23" width="4" customWidth="1"/>
    <col min="25" max="27" width="4" customWidth="1"/>
    <col min="34" max="34" width="13.28515625" bestFit="1" customWidth="1"/>
    <col min="35" max="35" width="10.42578125" bestFit="1" customWidth="1"/>
    <col min="36" max="37" width="5.5703125" bestFit="1" customWidth="1"/>
  </cols>
  <sheetData>
    <row r="1" spans="2:37" ht="15" customHeight="1" x14ac:dyDescent="0.25">
      <c r="D1" s="1"/>
      <c r="E1" s="1"/>
      <c r="G1" s="4"/>
      <c r="H1" s="50" t="s">
        <v>20</v>
      </c>
      <c r="I1" s="50"/>
      <c r="J1" s="50"/>
      <c r="K1" s="50"/>
      <c r="L1" s="50"/>
      <c r="M1" s="50"/>
      <c r="N1" s="50"/>
      <c r="O1" s="50"/>
      <c r="P1" s="50"/>
    </row>
    <row r="2" spans="2:37" ht="25.5" customHeight="1" x14ac:dyDescent="0.25">
      <c r="C2" s="14" t="s">
        <v>13</v>
      </c>
      <c r="D2" s="15" t="s">
        <v>14</v>
      </c>
      <c r="E2" s="15" t="s">
        <v>18</v>
      </c>
      <c r="G2" s="12"/>
      <c r="H2" s="4" t="s">
        <v>2</v>
      </c>
      <c r="I2" s="4" t="s">
        <v>3</v>
      </c>
      <c r="J2" s="4" t="s">
        <v>4</v>
      </c>
      <c r="K2" s="4" t="s">
        <v>5</v>
      </c>
      <c r="L2" t="s">
        <v>6</v>
      </c>
      <c r="M2" t="s">
        <v>7</v>
      </c>
      <c r="N2" s="4" t="s">
        <v>8</v>
      </c>
      <c r="O2" s="2" t="s">
        <v>9</v>
      </c>
      <c r="P2" s="2" t="s">
        <v>10</v>
      </c>
      <c r="T2" s="7" t="s">
        <v>2</v>
      </c>
      <c r="U2" s="8"/>
      <c r="V2" s="8"/>
      <c r="W2" s="8"/>
      <c r="X2" s="9" t="s">
        <v>3</v>
      </c>
      <c r="Y2" s="8"/>
      <c r="Z2" s="8"/>
      <c r="AA2" s="8"/>
      <c r="AB2" s="39" t="s">
        <v>4</v>
      </c>
      <c r="AF2" s="15" t="s">
        <v>15</v>
      </c>
      <c r="AG2" s="15" t="s">
        <v>16</v>
      </c>
      <c r="AH2" s="23" t="s">
        <v>23</v>
      </c>
      <c r="AI2" s="23" t="s">
        <v>19</v>
      </c>
      <c r="AJ2" s="22" t="s">
        <v>28</v>
      </c>
      <c r="AK2" s="22" t="s">
        <v>29</v>
      </c>
    </row>
    <row r="3" spans="2:37" ht="16.5" customHeight="1" x14ac:dyDescent="0.25">
      <c r="B3">
        <v>1</v>
      </c>
      <c r="C3" s="15" t="s">
        <v>2</v>
      </c>
      <c r="D3" s="15">
        <v>0</v>
      </c>
      <c r="E3" s="15" cm="1">
        <f t="array" aca="1" ref="E3" ca="1">INDEX(D22:D23,RANDBETWEEN(1,ROWS(D22:D23)),1)</f>
        <v>3</v>
      </c>
      <c r="F3">
        <v>0</v>
      </c>
      <c r="G3" s="16" t="s">
        <v>2</v>
      </c>
      <c r="H3" s="6">
        <v>0</v>
      </c>
      <c r="I3" s="6">
        <v>1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T3" s="8"/>
      <c r="U3" s="8"/>
      <c r="V3" s="8"/>
      <c r="W3" s="8"/>
      <c r="X3" s="8"/>
      <c r="Y3" s="8"/>
      <c r="Z3" s="8"/>
      <c r="AA3" s="8"/>
      <c r="AB3" s="8"/>
      <c r="AF3" s="24">
        <f t="shared" ref="AF3:AF11" ca="1" si="0">RAND()</f>
        <v>1.1194364455825445E-3</v>
      </c>
      <c r="AG3" s="22">
        <v>5</v>
      </c>
      <c r="AH3" s="22">
        <v>5</v>
      </c>
      <c r="AI3" s="22">
        <v>2</v>
      </c>
      <c r="AJ3" s="22">
        <f>VLOOKUP(AH3,F17:Q25,12,0)</f>
        <v>22</v>
      </c>
      <c r="AK3" s="22">
        <f>+AI3+8</f>
        <v>10</v>
      </c>
    </row>
    <row r="4" spans="2:37" ht="15" customHeight="1" x14ac:dyDescent="0.25">
      <c r="B4">
        <v>2</v>
      </c>
      <c r="C4" s="15" t="s">
        <v>3</v>
      </c>
      <c r="D4" s="15">
        <v>1</v>
      </c>
      <c r="E4" s="15" cm="1">
        <f t="array" aca="1" ref="E4" ca="1">INDEX(D24:D26,RANDBETWEEN(1,ROWS(D24:D26)),1)</f>
        <v>0</v>
      </c>
      <c r="F4">
        <v>1</v>
      </c>
      <c r="G4" s="16" t="s">
        <v>3</v>
      </c>
      <c r="H4" s="6">
        <v>1</v>
      </c>
      <c r="I4" s="6">
        <v>0</v>
      </c>
      <c r="J4" s="6">
        <v>1</v>
      </c>
      <c r="K4" s="6">
        <v>0</v>
      </c>
      <c r="L4" s="6">
        <v>1</v>
      </c>
      <c r="M4" s="6">
        <v>0</v>
      </c>
      <c r="N4" s="6">
        <v>0</v>
      </c>
      <c r="O4" s="6">
        <v>0</v>
      </c>
      <c r="P4" s="6">
        <v>0</v>
      </c>
      <c r="V4" s="19"/>
      <c r="Z4" s="19"/>
      <c r="AF4" s="24">
        <f t="shared" ca="1" si="0"/>
        <v>0.93178799087912101</v>
      </c>
      <c r="AG4" s="22">
        <v>2</v>
      </c>
      <c r="AH4" s="23"/>
      <c r="AI4" s="33">
        <f ca="1">VLOOKUP(AH3,D3:E11,2,0)</f>
        <v>2</v>
      </c>
      <c r="AJ4" s="23"/>
      <c r="AK4" s="23"/>
    </row>
    <row r="5" spans="2:37" ht="15" customHeight="1" x14ac:dyDescent="0.25">
      <c r="B5">
        <v>3</v>
      </c>
      <c r="C5" s="15" t="s">
        <v>4</v>
      </c>
      <c r="D5" s="15">
        <v>2</v>
      </c>
      <c r="E5" s="15" cm="1">
        <f t="array" aca="1" ref="E5" ca="1">INDEX(D27:D28,RANDBETWEEN(1,ROWS(D27:D28)),1)</f>
        <v>1</v>
      </c>
      <c r="F5">
        <v>2</v>
      </c>
      <c r="G5" s="16" t="s">
        <v>4</v>
      </c>
      <c r="H5" s="6">
        <v>0</v>
      </c>
      <c r="I5" s="6">
        <v>1</v>
      </c>
      <c r="J5" s="6">
        <v>0</v>
      </c>
      <c r="K5" s="6">
        <v>0</v>
      </c>
      <c r="L5" s="6">
        <v>0</v>
      </c>
      <c r="M5" s="6">
        <v>1</v>
      </c>
      <c r="N5" s="6">
        <v>0</v>
      </c>
      <c r="O5" s="6">
        <v>0</v>
      </c>
      <c r="P5" s="6">
        <v>0</v>
      </c>
      <c r="V5" s="19"/>
      <c r="Z5" s="19"/>
      <c r="AF5" s="24">
        <f t="shared" ca="1" si="0"/>
        <v>0.27396383571598137</v>
      </c>
      <c r="AG5" s="22">
        <v>8</v>
      </c>
    </row>
    <row r="6" spans="2:37" ht="15" customHeight="1" x14ac:dyDescent="0.25">
      <c r="B6">
        <v>4</v>
      </c>
      <c r="C6" s="15" t="s">
        <v>5</v>
      </c>
      <c r="D6" s="15">
        <v>3</v>
      </c>
      <c r="E6" s="15" cm="1">
        <f t="array" aca="1" ref="E6" ca="1">INDEX(D29:D30,RANDBETWEEN(1,ROWS(D29:D30)),1)</f>
        <v>0</v>
      </c>
      <c r="F6">
        <v>3</v>
      </c>
      <c r="G6" s="16" t="s">
        <v>5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1</v>
      </c>
      <c r="O6" s="6">
        <v>0</v>
      </c>
      <c r="P6" s="6">
        <v>0</v>
      </c>
      <c r="T6" s="38" t="s">
        <v>5</v>
      </c>
      <c r="U6" s="8"/>
      <c r="V6" s="20"/>
      <c r="W6" s="8"/>
      <c r="X6" s="18" t="s">
        <v>6</v>
      </c>
      <c r="Y6" s="8"/>
      <c r="Z6" s="19"/>
      <c r="AA6" s="8"/>
      <c r="AB6" s="10" t="s">
        <v>7</v>
      </c>
      <c r="AF6" s="24">
        <f t="shared" ca="1" si="0"/>
        <v>0.13722593287899743</v>
      </c>
      <c r="AG6" s="22">
        <v>7</v>
      </c>
    </row>
    <row r="7" spans="2:37" x14ac:dyDescent="0.25">
      <c r="B7">
        <v>5</v>
      </c>
      <c r="C7" s="15" t="s">
        <v>6</v>
      </c>
      <c r="D7" s="15">
        <v>4</v>
      </c>
      <c r="E7" s="15" cm="1">
        <f t="array" aca="1" ref="E7" ca="1">INDEX(D31:D32,RANDBETWEEN(1,ROWS(D31:D32)),1)</f>
        <v>1</v>
      </c>
      <c r="F7">
        <v>4</v>
      </c>
      <c r="G7" s="16" t="s">
        <v>6</v>
      </c>
      <c r="H7" s="6">
        <v>0</v>
      </c>
      <c r="I7" s="6">
        <v>1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1</v>
      </c>
      <c r="P7" s="6">
        <v>0</v>
      </c>
      <c r="T7" s="8"/>
      <c r="U7" s="8"/>
      <c r="V7" s="20"/>
      <c r="W7" s="8"/>
      <c r="X7" s="8"/>
      <c r="Y7" s="8"/>
      <c r="Z7" s="19"/>
      <c r="AA7" s="8"/>
      <c r="AB7" s="8"/>
      <c r="AF7" s="24">
        <f t="shared" ca="1" si="0"/>
        <v>0.8550177137733449</v>
      </c>
      <c r="AG7" s="22">
        <v>6</v>
      </c>
    </row>
    <row r="8" spans="2:37" x14ac:dyDescent="0.25">
      <c r="B8">
        <v>6</v>
      </c>
      <c r="C8" s="15" t="s">
        <v>7</v>
      </c>
      <c r="D8" s="15">
        <v>5</v>
      </c>
      <c r="E8" s="15">
        <f ca="1">INDEX(D33,RANDBETWEEN(1,ROWS(D33)),1)</f>
        <v>2</v>
      </c>
      <c r="F8">
        <v>5</v>
      </c>
      <c r="G8" s="16" t="s">
        <v>7</v>
      </c>
      <c r="H8" s="6">
        <v>0</v>
      </c>
      <c r="I8" s="6">
        <v>0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V8" s="20"/>
      <c r="Z8" s="19"/>
      <c r="AA8" s="19"/>
      <c r="AB8" s="19"/>
      <c r="AF8" s="24">
        <f t="shared" ca="1" si="0"/>
        <v>0.90628883211294198</v>
      </c>
      <c r="AG8" s="22">
        <v>4</v>
      </c>
    </row>
    <row r="9" spans="2:37" x14ac:dyDescent="0.25">
      <c r="B9">
        <v>7</v>
      </c>
      <c r="C9" s="15" t="s">
        <v>8</v>
      </c>
      <c r="D9" s="15">
        <v>6</v>
      </c>
      <c r="E9" s="15" cm="1">
        <f t="array" aca="1" ref="E9" ca="1">INDEX(D34:D35,RANDBETWEEN(1,ROWS(D34:D35)),1)</f>
        <v>3</v>
      </c>
      <c r="F9">
        <v>6</v>
      </c>
      <c r="G9" s="16" t="s">
        <v>8</v>
      </c>
      <c r="H9" s="6">
        <v>0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0</v>
      </c>
      <c r="AF9" s="24">
        <f t="shared" ca="1" si="0"/>
        <v>0.29612892086947584</v>
      </c>
      <c r="AG9" s="22">
        <v>1</v>
      </c>
    </row>
    <row r="10" spans="2:37" x14ac:dyDescent="0.25">
      <c r="B10">
        <v>8</v>
      </c>
      <c r="C10" s="15" t="s">
        <v>9</v>
      </c>
      <c r="D10" s="15">
        <v>7</v>
      </c>
      <c r="E10" s="15" cm="1">
        <f t="array" aca="1" ref="E10" ca="1">INDEX(D36:D38,RANDBETWEEN(1,ROWS(D36:D38)),1)</f>
        <v>6</v>
      </c>
      <c r="F10">
        <v>7</v>
      </c>
      <c r="G10" s="16" t="s">
        <v>9</v>
      </c>
      <c r="H10" s="6">
        <v>0</v>
      </c>
      <c r="I10" s="6">
        <v>0</v>
      </c>
      <c r="J10" s="6">
        <v>0</v>
      </c>
      <c r="K10" s="6">
        <v>0</v>
      </c>
      <c r="L10" s="6">
        <v>1</v>
      </c>
      <c r="M10" s="6">
        <v>0</v>
      </c>
      <c r="N10" s="6">
        <v>1</v>
      </c>
      <c r="O10" s="6">
        <v>0</v>
      </c>
      <c r="P10" s="6">
        <v>1</v>
      </c>
      <c r="T10" s="17" t="s">
        <v>8</v>
      </c>
      <c r="U10" s="8"/>
      <c r="V10" s="8"/>
      <c r="W10" s="8"/>
      <c r="X10" s="11" t="s">
        <v>9</v>
      </c>
      <c r="Y10" s="8"/>
      <c r="Z10" s="8"/>
      <c r="AA10" s="8"/>
      <c r="AB10" s="37" t="s">
        <v>10</v>
      </c>
      <c r="AF10" s="24">
        <f t="shared" ca="1" si="0"/>
        <v>0.25064616494211445</v>
      </c>
      <c r="AG10" s="22">
        <v>3</v>
      </c>
    </row>
    <row r="11" spans="2:37" x14ac:dyDescent="0.25">
      <c r="B11">
        <v>9</v>
      </c>
      <c r="C11" s="15" t="s">
        <v>10</v>
      </c>
      <c r="D11" s="15">
        <v>8</v>
      </c>
      <c r="E11" s="15">
        <f ca="1">INDEX(D39,RANDBETWEEN(1,ROWS(D39)),1)</f>
        <v>7</v>
      </c>
      <c r="F11">
        <v>8</v>
      </c>
      <c r="G11" s="16" t="s">
        <v>10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1</v>
      </c>
      <c r="P11" s="6">
        <v>0</v>
      </c>
      <c r="AF11" s="24">
        <f t="shared" ca="1" si="0"/>
        <v>2.3818481267978697E-2</v>
      </c>
      <c r="AG11" s="22">
        <v>0</v>
      </c>
    </row>
    <row r="12" spans="2:37" x14ac:dyDescent="0.25">
      <c r="C12" s="2"/>
      <c r="D12" s="2"/>
      <c r="E12" s="2"/>
      <c r="G12" s="4"/>
      <c r="H12" s="5"/>
      <c r="I12" s="5"/>
      <c r="J12" s="5"/>
      <c r="K12" s="5"/>
      <c r="L12" s="5"/>
      <c r="M12" s="5"/>
      <c r="N12" s="5"/>
      <c r="O12" s="5"/>
      <c r="P12" s="5"/>
    </row>
    <row r="13" spans="2:37" x14ac:dyDescent="0.25">
      <c r="C13" s="32" t="s">
        <v>12</v>
      </c>
      <c r="D13" s="13">
        <v>0.75</v>
      </c>
      <c r="E13" s="13"/>
    </row>
    <row r="14" spans="2:37" x14ac:dyDescent="0.25">
      <c r="C14" s="32" t="s">
        <v>11</v>
      </c>
      <c r="D14" s="13">
        <v>0.9</v>
      </c>
      <c r="E14" s="13"/>
      <c r="H14" s="50" t="s">
        <v>26</v>
      </c>
      <c r="I14" s="50"/>
      <c r="J14" s="50"/>
      <c r="K14" s="50"/>
      <c r="L14" s="50"/>
      <c r="M14" s="50"/>
      <c r="N14" s="50"/>
      <c r="O14" s="50"/>
      <c r="P14" s="50"/>
    </row>
    <row r="15" spans="2:37" x14ac:dyDescent="0.25">
      <c r="C15" s="32" t="s">
        <v>17</v>
      </c>
      <c r="D15" s="31">
        <f ca="1">D20+D13*D18-D19</f>
        <v>0</v>
      </c>
      <c r="G15" s="51"/>
    </row>
    <row r="16" spans="2:37" x14ac:dyDescent="0.25">
      <c r="C16" s="32" t="s">
        <v>27</v>
      </c>
      <c r="D16" s="36">
        <f ca="1">D19+D14*D15</f>
        <v>240.11816406249932</v>
      </c>
      <c r="G16" s="51"/>
      <c r="H16" s="4" t="s">
        <v>2</v>
      </c>
      <c r="I16" s="4" t="s">
        <v>3</v>
      </c>
      <c r="J16" s="4" t="s">
        <v>4</v>
      </c>
      <c r="K16" s="4" t="s">
        <v>5</v>
      </c>
      <c r="L16" t="s">
        <v>6</v>
      </c>
      <c r="M16" t="s">
        <v>7</v>
      </c>
      <c r="N16" s="4" t="s">
        <v>8</v>
      </c>
      <c r="O16" s="2" t="s">
        <v>9</v>
      </c>
      <c r="P16" s="2" t="s">
        <v>10</v>
      </c>
    </row>
    <row r="17" spans="3:17" x14ac:dyDescent="0.25">
      <c r="C17" s="32" t="s">
        <v>21</v>
      </c>
      <c r="D17" t="str">
        <f>"_"&amp;AI3</f>
        <v>_2</v>
      </c>
      <c r="F17">
        <v>0</v>
      </c>
      <c r="G17" s="16" t="s">
        <v>2</v>
      </c>
      <c r="H17" s="6">
        <v>0</v>
      </c>
      <c r="I17" s="6">
        <v>318.82421874999903</v>
      </c>
      <c r="J17" s="6">
        <v>0</v>
      </c>
      <c r="K17" s="6">
        <v>318.82421874999949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34">
        <v>17</v>
      </c>
    </row>
    <row r="18" spans="3:17" x14ac:dyDescent="0.25">
      <c r="C18" s="32" t="s">
        <v>22</v>
      </c>
      <c r="D18" s="13">
        <f ca="1">MAX((INDIRECT(D17,TRUE)))</f>
        <v>318.82421874999915</v>
      </c>
      <c r="F18">
        <v>1</v>
      </c>
      <c r="G18" s="16" t="s">
        <v>3</v>
      </c>
      <c r="H18" s="6">
        <v>240.11816406249955</v>
      </c>
      <c r="I18" s="6">
        <v>0</v>
      </c>
      <c r="J18" s="6">
        <v>240.11816406249923</v>
      </c>
      <c r="K18" s="6">
        <v>0</v>
      </c>
      <c r="L18" s="6">
        <v>423.76562499999892</v>
      </c>
      <c r="M18" s="6">
        <v>0</v>
      </c>
      <c r="N18" s="6">
        <v>0</v>
      </c>
      <c r="O18" s="6">
        <v>0</v>
      </c>
      <c r="P18" s="6">
        <v>0</v>
      </c>
      <c r="Q18" s="34">
        <v>18</v>
      </c>
    </row>
    <row r="19" spans="3:17" x14ac:dyDescent="0.25">
      <c r="C19" s="32" t="s">
        <v>24</v>
      </c>
      <c r="D19" s="13">
        <f>VLOOKUP(AH3,F17:P25,AI3+3,TRUE)</f>
        <v>240.11816406249932</v>
      </c>
      <c r="F19">
        <v>2</v>
      </c>
      <c r="G19" s="16" t="s">
        <v>4</v>
      </c>
      <c r="H19" s="6">
        <v>0</v>
      </c>
      <c r="I19" s="6">
        <v>318.82421874999915</v>
      </c>
      <c r="J19" s="6">
        <v>0</v>
      </c>
      <c r="K19" s="6">
        <v>0</v>
      </c>
      <c r="L19" s="6">
        <v>0</v>
      </c>
      <c r="M19" s="6">
        <v>181.0886230468744</v>
      </c>
      <c r="N19" s="6">
        <v>0</v>
      </c>
      <c r="O19" s="6">
        <v>0</v>
      </c>
      <c r="P19" s="6">
        <v>0</v>
      </c>
      <c r="Q19" s="34">
        <v>19</v>
      </c>
    </row>
    <row r="20" spans="3:17" x14ac:dyDescent="0.25">
      <c r="C20" s="32" t="s">
        <v>25</v>
      </c>
      <c r="D20" s="13">
        <f>VLOOKUP(AH3,F3:P11,AI3+3,TRUE)</f>
        <v>1</v>
      </c>
      <c r="F20">
        <v>3</v>
      </c>
      <c r="G20" s="16" t="s">
        <v>5</v>
      </c>
      <c r="H20" s="6">
        <v>240.11816406249955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423.76562499999943</v>
      </c>
      <c r="O20" s="6">
        <v>0</v>
      </c>
      <c r="P20" s="6">
        <v>0</v>
      </c>
      <c r="Q20" s="34">
        <v>20</v>
      </c>
    </row>
    <row r="21" spans="3:17" x14ac:dyDescent="0.25">
      <c r="F21">
        <v>4</v>
      </c>
      <c r="G21" s="16" t="s">
        <v>6</v>
      </c>
      <c r="H21" s="6">
        <v>0</v>
      </c>
      <c r="I21" s="6">
        <v>318.82421874999909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563.68749999999864</v>
      </c>
      <c r="P21" s="6">
        <v>0</v>
      </c>
      <c r="Q21" s="34">
        <v>21</v>
      </c>
    </row>
    <row r="22" spans="3:17" x14ac:dyDescent="0.25">
      <c r="C22" s="25" t="s">
        <v>2</v>
      </c>
      <c r="D22" s="26">
        <v>1</v>
      </c>
      <c r="F22">
        <v>5</v>
      </c>
      <c r="G22" s="16" t="s">
        <v>7</v>
      </c>
      <c r="H22" s="6">
        <v>0</v>
      </c>
      <c r="I22" s="6">
        <v>0</v>
      </c>
      <c r="J22" s="6">
        <v>240.11816406249932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34">
        <v>22</v>
      </c>
    </row>
    <row r="23" spans="3:17" x14ac:dyDescent="0.25">
      <c r="C23" s="27"/>
      <c r="D23" s="28">
        <v>3</v>
      </c>
      <c r="F23">
        <v>6</v>
      </c>
      <c r="G23" s="16" t="s">
        <v>8</v>
      </c>
      <c r="H23" s="6">
        <v>0</v>
      </c>
      <c r="I23" s="6">
        <v>0</v>
      </c>
      <c r="J23" s="6">
        <v>0</v>
      </c>
      <c r="K23" s="6">
        <v>318.82421874999949</v>
      </c>
      <c r="L23" s="6">
        <v>0</v>
      </c>
      <c r="M23" s="6">
        <v>0</v>
      </c>
      <c r="N23" s="6">
        <v>0</v>
      </c>
      <c r="O23" s="6">
        <v>563.68749999999932</v>
      </c>
      <c r="P23" s="6">
        <v>0</v>
      </c>
      <c r="Q23" s="34">
        <v>23</v>
      </c>
    </row>
    <row r="24" spans="3:17" x14ac:dyDescent="0.25">
      <c r="C24" s="25" t="s">
        <v>3</v>
      </c>
      <c r="D24" s="25">
        <v>0</v>
      </c>
      <c r="F24">
        <v>7</v>
      </c>
      <c r="G24" s="16" t="s">
        <v>9</v>
      </c>
      <c r="H24" s="6">
        <v>0</v>
      </c>
      <c r="I24" s="6">
        <v>0</v>
      </c>
      <c r="J24" s="6">
        <v>0</v>
      </c>
      <c r="K24" s="6">
        <v>0</v>
      </c>
      <c r="L24" s="6">
        <v>423.76562499999892</v>
      </c>
      <c r="M24" s="6">
        <v>0</v>
      </c>
      <c r="N24" s="6">
        <v>423.76562499999943</v>
      </c>
      <c r="O24" s="6">
        <v>0</v>
      </c>
      <c r="P24" s="6">
        <v>750.2499999999992</v>
      </c>
      <c r="Q24" s="34">
        <v>24</v>
      </c>
    </row>
    <row r="25" spans="3:17" x14ac:dyDescent="0.25">
      <c r="C25" s="30"/>
      <c r="D25" s="30">
        <v>2</v>
      </c>
      <c r="F25">
        <v>8</v>
      </c>
      <c r="G25" s="16" t="s">
        <v>10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563.68749999999932</v>
      </c>
      <c r="P25" s="6">
        <v>999</v>
      </c>
      <c r="Q25" s="34">
        <v>25</v>
      </c>
    </row>
    <row r="26" spans="3:17" x14ac:dyDescent="0.25">
      <c r="C26" s="27"/>
      <c r="D26" s="27">
        <v>4</v>
      </c>
      <c r="G26" s="4"/>
      <c r="H26" s="4"/>
      <c r="I26" s="4"/>
      <c r="J26" s="4"/>
      <c r="K26" s="4"/>
    </row>
    <row r="27" spans="3:17" x14ac:dyDescent="0.25">
      <c r="C27" s="25" t="s">
        <v>4</v>
      </c>
      <c r="D27" s="25">
        <v>1</v>
      </c>
      <c r="G27" s="40" t="s">
        <v>30</v>
      </c>
      <c r="H27" s="41" t="s">
        <v>5</v>
      </c>
      <c r="I27" s="41"/>
      <c r="J27" s="41"/>
      <c r="K27" s="41"/>
      <c r="L27" s="42"/>
      <c r="M27" s="42"/>
      <c r="N27" s="42"/>
      <c r="O27" s="42"/>
      <c r="P27" s="42"/>
      <c r="Q27" s="43"/>
    </row>
    <row r="28" spans="3:17" x14ac:dyDescent="0.25">
      <c r="C28" s="27"/>
      <c r="D28" s="27">
        <v>5</v>
      </c>
      <c r="G28" s="44" t="s">
        <v>31</v>
      </c>
      <c r="H28" s="4" t="s">
        <v>10</v>
      </c>
      <c r="I28" s="4"/>
      <c r="J28" s="4"/>
      <c r="K28" s="4"/>
      <c r="Q28" s="45"/>
    </row>
    <row r="29" spans="3:17" x14ac:dyDescent="0.25">
      <c r="C29" s="25" t="s">
        <v>5</v>
      </c>
      <c r="D29" s="25">
        <v>0</v>
      </c>
      <c r="G29" s="46" t="s">
        <v>32</v>
      </c>
      <c r="H29" s="47" t="str">
        <f>H27</f>
        <v>L4</v>
      </c>
      <c r="I29" s="48" t="str">
        <f ca="1">IFERROR(IF(H29=$H$28,"",VLOOKUP(MATCH(MAX(INDIRECT("_"&amp;VLOOKUP(H29,$C$3:$D$11,2,0))),INDIRECT("_"&amp;VLOOKUP(H29,$C$3:$D$11,2,0)),0),$B$3:$C$11,2,0)),"")</f>
        <v>L7</v>
      </c>
      <c r="J29" s="48" t="str">
        <f t="shared" ref="J29:P29" ca="1" si="1">IFERROR(IF(I29=$H$28,"",VLOOKUP(MATCH(MAX(INDIRECT("_"&amp;VLOOKUP(I29,$C$3:$D$11,2,0))),INDIRECT("_"&amp;VLOOKUP(I29,$C$3:$D$11,2,0)),0),$B$3:$C$11,2,0)),"")</f>
        <v>L8</v>
      </c>
      <c r="K29" s="48" t="str">
        <f t="shared" ca="1" si="1"/>
        <v>L9</v>
      </c>
      <c r="L29" s="48" t="str">
        <f t="shared" ca="1" si="1"/>
        <v/>
      </c>
      <c r="M29" s="48" t="str">
        <f t="shared" ca="1" si="1"/>
        <v/>
      </c>
      <c r="N29" s="48" t="str">
        <f t="shared" ca="1" si="1"/>
        <v/>
      </c>
      <c r="O29" s="48" t="str">
        <f t="shared" ca="1" si="1"/>
        <v/>
      </c>
      <c r="P29" s="48" t="str">
        <f t="shared" ca="1" si="1"/>
        <v/>
      </c>
      <c r="Q29" s="49"/>
    </row>
    <row r="30" spans="3:17" x14ac:dyDescent="0.25">
      <c r="C30" s="27"/>
      <c r="D30" s="27">
        <v>6</v>
      </c>
      <c r="G30" s="4"/>
      <c r="H30" s="4"/>
      <c r="J30" s="4"/>
      <c r="K30" s="4"/>
    </row>
    <row r="31" spans="3:17" x14ac:dyDescent="0.25">
      <c r="C31" s="25" t="s">
        <v>6</v>
      </c>
      <c r="D31" s="25">
        <v>1</v>
      </c>
      <c r="G31" s="4"/>
      <c r="H31" s="4"/>
    </row>
    <row r="32" spans="3:17" x14ac:dyDescent="0.25">
      <c r="C32" s="27"/>
      <c r="D32" s="27">
        <v>7</v>
      </c>
      <c r="G32" s="4"/>
      <c r="H32" s="34"/>
      <c r="I32" s="4"/>
      <c r="J32" s="4"/>
      <c r="K32" s="4"/>
    </row>
    <row r="33" spans="3:20" x14ac:dyDescent="0.25">
      <c r="C33" s="15" t="s">
        <v>7</v>
      </c>
      <c r="D33" s="15">
        <v>2</v>
      </c>
      <c r="G33" s="4"/>
      <c r="H33" s="4"/>
      <c r="I33" s="4"/>
      <c r="J33" s="4"/>
      <c r="K33" s="4"/>
    </row>
    <row r="34" spans="3:20" x14ac:dyDescent="0.25">
      <c r="C34" s="25" t="s">
        <v>8</v>
      </c>
      <c r="D34" s="25">
        <v>3</v>
      </c>
      <c r="G34" s="4"/>
      <c r="H34" s="4"/>
      <c r="I34" s="4"/>
      <c r="J34" s="4"/>
      <c r="K34" s="4"/>
    </row>
    <row r="35" spans="3:20" x14ac:dyDescent="0.25">
      <c r="C35" s="27"/>
      <c r="D35" s="27">
        <v>7</v>
      </c>
      <c r="G35" s="4"/>
      <c r="H35" s="4"/>
      <c r="I35" s="4"/>
      <c r="J35" s="4"/>
      <c r="K35" s="4"/>
    </row>
    <row r="36" spans="3:20" x14ac:dyDescent="0.25">
      <c r="C36" s="25" t="s">
        <v>9</v>
      </c>
      <c r="D36" s="25">
        <v>4</v>
      </c>
      <c r="G36" s="4"/>
      <c r="H36" s="4"/>
      <c r="I36" s="4"/>
      <c r="J36" s="4"/>
      <c r="K36" s="4"/>
    </row>
    <row r="37" spans="3:20" x14ac:dyDescent="0.25">
      <c r="C37" s="30"/>
      <c r="D37" s="30">
        <v>6</v>
      </c>
      <c r="G37" s="4"/>
      <c r="H37" s="4"/>
      <c r="I37" s="4"/>
      <c r="J37" s="4"/>
      <c r="K37" s="4"/>
      <c r="T37" s="35"/>
    </row>
    <row r="38" spans="3:20" x14ac:dyDescent="0.25">
      <c r="C38" s="27"/>
      <c r="D38" s="27">
        <v>8</v>
      </c>
      <c r="G38" s="4"/>
      <c r="H38" s="4"/>
      <c r="I38" s="4"/>
      <c r="J38" s="4"/>
      <c r="K38" s="4"/>
    </row>
    <row r="39" spans="3:20" x14ac:dyDescent="0.25">
      <c r="C39" s="15" t="s">
        <v>10</v>
      </c>
      <c r="D39" s="15">
        <v>7</v>
      </c>
      <c r="G39" s="4"/>
      <c r="H39" s="4"/>
      <c r="I39" s="4"/>
      <c r="J39" s="4"/>
      <c r="K39" s="4"/>
    </row>
    <row r="40" spans="3:20" x14ac:dyDescent="0.25">
      <c r="G40" s="4"/>
      <c r="H40" s="4"/>
      <c r="I40" s="4"/>
      <c r="J40" s="4"/>
      <c r="K40" s="4"/>
    </row>
    <row r="41" spans="3:20" x14ac:dyDescent="0.25">
      <c r="G41" s="4"/>
      <c r="H41" s="4"/>
      <c r="I41" s="4"/>
      <c r="J41" s="4"/>
      <c r="K41" s="4"/>
    </row>
    <row r="42" spans="3:20" x14ac:dyDescent="0.25">
      <c r="C42" s="29"/>
      <c r="D42" s="29"/>
      <c r="G42" s="4"/>
      <c r="H42" s="4"/>
      <c r="I42" s="4"/>
      <c r="J42" s="4"/>
      <c r="K42" s="4"/>
    </row>
    <row r="43" spans="3:20" x14ac:dyDescent="0.25">
      <c r="C43" s="29"/>
      <c r="D43" s="29"/>
      <c r="G43" s="4"/>
      <c r="H43" s="4"/>
      <c r="I43" s="4"/>
      <c r="J43" s="4"/>
      <c r="K43" s="4"/>
    </row>
    <row r="44" spans="3:20" x14ac:dyDescent="0.25">
      <c r="G44" s="4"/>
      <c r="H44" s="4"/>
      <c r="I44" s="4"/>
      <c r="J44" s="4"/>
      <c r="K44" s="4"/>
    </row>
    <row r="45" spans="3:20" x14ac:dyDescent="0.25">
      <c r="G45" s="4"/>
      <c r="H45" s="4"/>
      <c r="I45" s="4"/>
      <c r="J45" s="4"/>
      <c r="K45" s="4"/>
    </row>
    <row r="46" spans="3:20" x14ac:dyDescent="0.25">
      <c r="G46" s="4"/>
      <c r="H46" s="4"/>
      <c r="I46" s="4"/>
      <c r="J46" s="4"/>
      <c r="K46" s="4"/>
    </row>
    <row r="47" spans="3:20" x14ac:dyDescent="0.25">
      <c r="G47" s="4"/>
      <c r="H47" s="4"/>
      <c r="I47" s="4"/>
      <c r="J47" s="4"/>
      <c r="K47" s="4"/>
    </row>
    <row r="48" spans="3:20" x14ac:dyDescent="0.25">
      <c r="G48" s="4"/>
      <c r="H48" s="4"/>
      <c r="I48" s="4"/>
      <c r="J48" s="4"/>
      <c r="K48" s="4"/>
    </row>
    <row r="49" spans="7:11" x14ac:dyDescent="0.25">
      <c r="G49" s="4"/>
      <c r="H49" s="4"/>
      <c r="I49" s="4"/>
      <c r="J49" s="4"/>
      <c r="K49" s="4"/>
    </row>
    <row r="50" spans="7:11" x14ac:dyDescent="0.25">
      <c r="G50" s="4"/>
      <c r="H50" s="4"/>
      <c r="I50" s="4"/>
      <c r="J50" s="4"/>
      <c r="K50" s="4"/>
    </row>
    <row r="51" spans="7:11" x14ac:dyDescent="0.25">
      <c r="G51" s="4"/>
      <c r="H51" s="4"/>
      <c r="I51" s="4"/>
      <c r="J51" s="4"/>
      <c r="K51" s="4"/>
    </row>
    <row r="52" spans="7:11" x14ac:dyDescent="0.25">
      <c r="G52" s="4"/>
      <c r="H52" s="4"/>
      <c r="I52" s="4"/>
      <c r="J52" s="4"/>
      <c r="K52" s="4"/>
    </row>
    <row r="53" spans="7:11" x14ac:dyDescent="0.25">
      <c r="G53" s="4"/>
      <c r="H53" s="4"/>
      <c r="I53" s="4"/>
      <c r="J53" s="4"/>
      <c r="K53" s="4"/>
    </row>
    <row r="54" spans="7:11" x14ac:dyDescent="0.25">
      <c r="G54" s="4"/>
      <c r="H54" s="4"/>
      <c r="I54" s="4"/>
      <c r="J54" s="4"/>
      <c r="K54" s="4"/>
    </row>
    <row r="55" spans="7:11" x14ac:dyDescent="0.25">
      <c r="G55" s="4"/>
      <c r="H55" s="4"/>
      <c r="I55" s="4"/>
      <c r="J55" s="4"/>
      <c r="K55" s="4"/>
    </row>
    <row r="56" spans="7:11" x14ac:dyDescent="0.25">
      <c r="G56" s="4"/>
      <c r="H56" s="4"/>
      <c r="I56" s="4"/>
      <c r="J56" s="4"/>
      <c r="K56" s="4"/>
    </row>
    <row r="57" spans="7:11" x14ac:dyDescent="0.25">
      <c r="G57" s="4"/>
      <c r="H57" s="4"/>
      <c r="I57" s="4"/>
      <c r="J57" s="4"/>
      <c r="K57" s="4"/>
    </row>
    <row r="58" spans="7:11" x14ac:dyDescent="0.25">
      <c r="G58" s="4"/>
      <c r="H58" s="4"/>
      <c r="I58" s="4"/>
      <c r="J58" s="4"/>
      <c r="K58" s="4"/>
    </row>
    <row r="59" spans="7:11" x14ac:dyDescent="0.25">
      <c r="G59" s="4"/>
      <c r="H59" s="4"/>
      <c r="I59" s="4"/>
      <c r="J59" s="4"/>
      <c r="K59" s="4"/>
    </row>
    <row r="60" spans="7:11" x14ac:dyDescent="0.25">
      <c r="G60" s="4"/>
      <c r="H60" s="4"/>
      <c r="I60" s="4"/>
      <c r="J60" s="4"/>
      <c r="K60" s="4"/>
    </row>
    <row r="61" spans="7:11" x14ac:dyDescent="0.25">
      <c r="G61" s="4"/>
      <c r="H61" s="4"/>
      <c r="I61" s="4"/>
      <c r="J61" s="4"/>
      <c r="K61" s="4"/>
    </row>
    <row r="62" spans="7:11" x14ac:dyDescent="0.25">
      <c r="G62" s="4"/>
      <c r="H62" s="4"/>
      <c r="I62" s="4"/>
      <c r="J62" s="4"/>
      <c r="K62" s="4"/>
    </row>
    <row r="63" spans="7:11" x14ac:dyDescent="0.25">
      <c r="G63" s="4"/>
      <c r="H63" s="4"/>
      <c r="I63" s="4"/>
      <c r="J63" s="4"/>
      <c r="K63" s="4"/>
    </row>
    <row r="64" spans="7:11" x14ac:dyDescent="0.25">
      <c r="G64" s="4"/>
      <c r="H64" s="4"/>
      <c r="I64" s="4"/>
      <c r="J64" s="4"/>
      <c r="K64" s="4"/>
    </row>
    <row r="65" spans="7:11" x14ac:dyDescent="0.25">
      <c r="G65" s="4"/>
      <c r="H65" s="4"/>
      <c r="I65" s="4"/>
      <c r="J65" s="4"/>
      <c r="K65" s="4"/>
    </row>
    <row r="66" spans="7:11" x14ac:dyDescent="0.25">
      <c r="G66" s="4"/>
      <c r="H66" s="4"/>
      <c r="I66" s="4"/>
      <c r="J66" s="4"/>
      <c r="K66" s="4"/>
    </row>
    <row r="67" spans="7:11" x14ac:dyDescent="0.25">
      <c r="G67" s="4"/>
      <c r="H67" s="4"/>
      <c r="I67" s="4"/>
      <c r="J67" s="4"/>
      <c r="K67" s="4"/>
    </row>
    <row r="68" spans="7:11" x14ac:dyDescent="0.25">
      <c r="G68" s="4"/>
      <c r="H68" s="4"/>
      <c r="I68" s="4"/>
      <c r="J68" s="4"/>
      <c r="K68" s="4"/>
    </row>
    <row r="69" spans="7:11" x14ac:dyDescent="0.25">
      <c r="G69" s="4"/>
      <c r="H69" s="4"/>
      <c r="I69" s="4"/>
      <c r="J69" s="4"/>
      <c r="K69" s="4"/>
    </row>
    <row r="70" spans="7:11" x14ac:dyDescent="0.25">
      <c r="G70" s="4"/>
      <c r="H70" s="4"/>
      <c r="I70" s="4"/>
      <c r="J70" s="4"/>
      <c r="K70" s="4"/>
    </row>
    <row r="71" spans="7:11" x14ac:dyDescent="0.25">
      <c r="G71" s="4"/>
      <c r="H71" s="4"/>
      <c r="I71" s="4"/>
      <c r="J71" s="4"/>
      <c r="K71" s="4"/>
    </row>
    <row r="72" spans="7:11" x14ac:dyDescent="0.25">
      <c r="G72" s="4"/>
      <c r="H72" s="4"/>
      <c r="I72" s="4"/>
      <c r="J72" s="4"/>
      <c r="K72" s="4"/>
    </row>
    <row r="73" spans="7:11" x14ac:dyDescent="0.25">
      <c r="G73" s="4"/>
      <c r="H73" s="4"/>
      <c r="I73" s="4"/>
      <c r="J73" s="4"/>
      <c r="K73" s="4"/>
    </row>
    <row r="74" spans="7:11" x14ac:dyDescent="0.25">
      <c r="G74" s="4"/>
      <c r="H74" s="4"/>
      <c r="I74" s="4"/>
      <c r="J74" s="4"/>
      <c r="K74" s="4"/>
    </row>
    <row r="75" spans="7:11" x14ac:dyDescent="0.25">
      <c r="G75" s="4"/>
      <c r="H75" s="4"/>
      <c r="I75" s="4"/>
      <c r="J75" s="4"/>
      <c r="K75" s="4"/>
    </row>
    <row r="76" spans="7:11" x14ac:dyDescent="0.25">
      <c r="G76" s="4"/>
      <c r="H76" s="4"/>
      <c r="I76" s="4"/>
      <c r="J76" s="4"/>
      <c r="K76" s="4"/>
    </row>
    <row r="77" spans="7:11" x14ac:dyDescent="0.25">
      <c r="G77" s="4"/>
      <c r="H77" s="4"/>
      <c r="I77" s="4"/>
      <c r="J77" s="4"/>
      <c r="K77" s="4"/>
    </row>
    <row r="78" spans="7:11" x14ac:dyDescent="0.25">
      <c r="G78" s="4"/>
      <c r="H78" s="4"/>
      <c r="I78" s="4"/>
      <c r="J78" s="4"/>
      <c r="K78" s="4"/>
    </row>
    <row r="79" spans="7:11" x14ac:dyDescent="0.25">
      <c r="G79" s="4"/>
      <c r="H79" s="4"/>
      <c r="I79" s="4"/>
      <c r="J79" s="4"/>
      <c r="K79" s="4"/>
    </row>
    <row r="80" spans="7:11" x14ac:dyDescent="0.25">
      <c r="G80" s="4"/>
      <c r="H80" s="4"/>
      <c r="I80" s="4"/>
      <c r="J80" s="4"/>
      <c r="K80" s="4"/>
    </row>
    <row r="81" spans="7:11" x14ac:dyDescent="0.25">
      <c r="G81" s="4"/>
      <c r="H81" s="4"/>
      <c r="I81" s="4"/>
      <c r="J81" s="4"/>
      <c r="K81" s="4"/>
    </row>
    <row r="82" spans="7:11" x14ac:dyDescent="0.25">
      <c r="G82" s="4"/>
      <c r="H82" s="4"/>
      <c r="I82" s="4"/>
      <c r="J82" s="4"/>
      <c r="K82" s="4"/>
    </row>
    <row r="83" spans="7:11" x14ac:dyDescent="0.25">
      <c r="G83" s="4"/>
      <c r="H83" s="4"/>
      <c r="I83" s="4"/>
      <c r="J83" s="4"/>
      <c r="K83" s="4"/>
    </row>
    <row r="84" spans="7:11" x14ac:dyDescent="0.25">
      <c r="G84" s="4"/>
      <c r="H84" s="4"/>
      <c r="I84" s="4"/>
      <c r="J84" s="4"/>
      <c r="K84" s="4"/>
    </row>
    <row r="85" spans="7:11" x14ac:dyDescent="0.25">
      <c r="G85" s="4"/>
      <c r="H85" s="4"/>
      <c r="I85" s="4"/>
      <c r="J85" s="4"/>
      <c r="K85" s="4"/>
    </row>
    <row r="86" spans="7:11" x14ac:dyDescent="0.25">
      <c r="G86" s="4"/>
      <c r="H86" s="4"/>
      <c r="I86" s="4"/>
      <c r="J86" s="4"/>
      <c r="K86" s="4"/>
    </row>
    <row r="87" spans="7:11" x14ac:dyDescent="0.25">
      <c r="G87" s="4"/>
      <c r="H87" s="4"/>
      <c r="I87" s="4"/>
      <c r="J87" s="4"/>
      <c r="K87" s="4"/>
    </row>
    <row r="88" spans="7:11" x14ac:dyDescent="0.25">
      <c r="G88" s="4"/>
      <c r="H88" s="4"/>
      <c r="I88" s="4"/>
      <c r="J88" s="4"/>
      <c r="K88" s="4"/>
    </row>
    <row r="89" spans="7:11" x14ac:dyDescent="0.25">
      <c r="G89" s="4"/>
      <c r="H89" s="4"/>
      <c r="I89" s="4"/>
      <c r="J89" s="4"/>
      <c r="K89" s="4"/>
    </row>
    <row r="90" spans="7:11" x14ac:dyDescent="0.25">
      <c r="G90" s="4"/>
      <c r="H90" s="4"/>
      <c r="I90" s="4"/>
      <c r="J90" s="4"/>
    </row>
    <row r="91" spans="7:11" x14ac:dyDescent="0.25">
      <c r="G91" s="4"/>
      <c r="H91" s="4"/>
      <c r="I91" s="4"/>
      <c r="J91" s="4"/>
    </row>
    <row r="92" spans="7:11" x14ac:dyDescent="0.25">
      <c r="G92" s="4"/>
      <c r="H92" s="4"/>
      <c r="I92" s="4"/>
      <c r="J92" s="4"/>
    </row>
    <row r="93" spans="7:11" x14ac:dyDescent="0.25">
      <c r="G93" s="4"/>
      <c r="H93" s="4"/>
      <c r="I93" s="4"/>
      <c r="J93" s="4"/>
    </row>
    <row r="94" spans="7:11" x14ac:dyDescent="0.25">
      <c r="G94" s="4"/>
      <c r="H94" s="4"/>
      <c r="I94" s="4"/>
      <c r="J94" s="4"/>
    </row>
    <row r="95" spans="7:11" x14ac:dyDescent="0.25">
      <c r="G95" s="4"/>
      <c r="H95" s="4"/>
      <c r="I95" s="4"/>
      <c r="J95" s="4"/>
    </row>
    <row r="96" spans="7:11" x14ac:dyDescent="0.25">
      <c r="G96" s="4"/>
      <c r="H96" s="4"/>
      <c r="I96" s="4"/>
      <c r="J96" s="4"/>
    </row>
    <row r="97" spans="7:10" x14ac:dyDescent="0.25">
      <c r="G97" s="4"/>
      <c r="H97" s="4"/>
      <c r="I97" s="4"/>
      <c r="J97" s="4"/>
    </row>
    <row r="98" spans="7:10" x14ac:dyDescent="0.25">
      <c r="G98" s="4"/>
      <c r="H98" s="4"/>
      <c r="I98" s="4"/>
      <c r="J98" s="4"/>
    </row>
    <row r="99" spans="7:10" x14ac:dyDescent="0.25">
      <c r="G99" s="4"/>
      <c r="H99" s="4"/>
      <c r="I99" s="4"/>
      <c r="J99" s="4"/>
    </row>
    <row r="100" spans="7:10" x14ac:dyDescent="0.25">
      <c r="G100" s="4"/>
      <c r="H100" s="4"/>
      <c r="I100" s="4"/>
      <c r="J100" s="4"/>
    </row>
    <row r="101" spans="7:10" x14ac:dyDescent="0.25">
      <c r="G101" s="4"/>
      <c r="H101" s="4"/>
      <c r="I101" s="4"/>
      <c r="J101" s="4"/>
    </row>
    <row r="102" spans="7:10" x14ac:dyDescent="0.25">
      <c r="G102" s="4"/>
      <c r="H102" s="4"/>
      <c r="I102" s="4"/>
      <c r="J102" s="4"/>
    </row>
    <row r="103" spans="7:10" x14ac:dyDescent="0.25">
      <c r="G103" s="4"/>
      <c r="H103" s="4"/>
      <c r="I103" s="4"/>
      <c r="J103" s="4"/>
    </row>
    <row r="104" spans="7:10" x14ac:dyDescent="0.25">
      <c r="G104" s="4"/>
      <c r="H104" s="4"/>
      <c r="I104" s="4"/>
      <c r="J104" s="4"/>
    </row>
    <row r="105" spans="7:10" x14ac:dyDescent="0.25">
      <c r="G105" s="4"/>
      <c r="H105" s="4"/>
      <c r="I105" s="4"/>
      <c r="J105" s="4"/>
    </row>
    <row r="106" spans="7:10" x14ac:dyDescent="0.25">
      <c r="G106" s="4"/>
      <c r="H106" s="4"/>
      <c r="I106" s="4"/>
      <c r="J106" s="4"/>
    </row>
    <row r="107" spans="7:10" x14ac:dyDescent="0.25">
      <c r="G107" s="4"/>
      <c r="H107" s="4"/>
      <c r="I107" s="4"/>
      <c r="J107" s="4"/>
    </row>
    <row r="108" spans="7:10" x14ac:dyDescent="0.25">
      <c r="G108" s="4"/>
      <c r="H108" s="4"/>
      <c r="I108" s="4"/>
      <c r="J108" s="4"/>
    </row>
    <row r="109" spans="7:10" x14ac:dyDescent="0.25">
      <c r="G109" s="4"/>
      <c r="H109" s="4"/>
      <c r="I109" s="4"/>
      <c r="J109" s="4"/>
    </row>
    <row r="110" spans="7:10" x14ac:dyDescent="0.25">
      <c r="G110" s="4"/>
      <c r="H110" s="4"/>
      <c r="I110" s="4"/>
      <c r="J110" s="4"/>
    </row>
    <row r="111" spans="7:10" x14ac:dyDescent="0.25">
      <c r="G111" s="4"/>
      <c r="H111" s="4"/>
      <c r="I111" s="4"/>
      <c r="J111" s="4"/>
    </row>
    <row r="112" spans="7:10" x14ac:dyDescent="0.25">
      <c r="G112" s="4"/>
      <c r="H112" s="4"/>
      <c r="I112" s="4"/>
      <c r="J112" s="4"/>
    </row>
    <row r="113" spans="7:10" x14ac:dyDescent="0.25">
      <c r="G113" s="4"/>
      <c r="H113" s="4"/>
      <c r="I113" s="4"/>
      <c r="J113" s="4"/>
    </row>
    <row r="114" spans="7:10" x14ac:dyDescent="0.25">
      <c r="G114" s="4"/>
      <c r="H114" s="4"/>
      <c r="I114" s="4"/>
      <c r="J114" s="4"/>
    </row>
    <row r="115" spans="7:10" x14ac:dyDescent="0.25">
      <c r="G115" s="4"/>
      <c r="H115" s="4"/>
      <c r="I115" s="4"/>
      <c r="J115" s="4"/>
    </row>
    <row r="116" spans="7:10" x14ac:dyDescent="0.25">
      <c r="G116" s="4"/>
      <c r="H116" s="4"/>
      <c r="I116" s="4"/>
      <c r="J116" s="4"/>
    </row>
    <row r="117" spans="7:10" x14ac:dyDescent="0.25">
      <c r="G117" s="4"/>
      <c r="H117" s="4"/>
      <c r="I117" s="4"/>
      <c r="J117" s="4"/>
    </row>
    <row r="118" spans="7:10" x14ac:dyDescent="0.25">
      <c r="G118" s="4"/>
      <c r="H118" s="4"/>
      <c r="I118" s="4"/>
      <c r="J118" s="4"/>
    </row>
    <row r="119" spans="7:10" x14ac:dyDescent="0.25">
      <c r="G119" s="4"/>
      <c r="H119" s="4"/>
      <c r="I119" s="4"/>
      <c r="J119" s="4"/>
    </row>
    <row r="120" spans="7:10" x14ac:dyDescent="0.25">
      <c r="G120" s="4"/>
      <c r="H120" s="4"/>
      <c r="I120" s="4"/>
      <c r="J120" s="4"/>
    </row>
    <row r="121" spans="7:10" x14ac:dyDescent="0.25">
      <c r="G121" s="4"/>
      <c r="H121" s="4"/>
      <c r="I121" s="4"/>
      <c r="J121" s="4"/>
    </row>
    <row r="122" spans="7:10" x14ac:dyDescent="0.25">
      <c r="G122" s="4"/>
      <c r="H122" s="4"/>
      <c r="I122" s="4"/>
      <c r="J122" s="4"/>
    </row>
    <row r="123" spans="7:10" x14ac:dyDescent="0.25">
      <c r="G123" s="4"/>
      <c r="H123" s="4"/>
      <c r="I123" s="4"/>
      <c r="J123" s="4"/>
    </row>
    <row r="124" spans="7:10" x14ac:dyDescent="0.25">
      <c r="G124" s="4"/>
      <c r="H124" s="4"/>
      <c r="I124" s="4"/>
      <c r="J124" s="4"/>
    </row>
    <row r="125" spans="7:10" x14ac:dyDescent="0.25">
      <c r="G125" s="4"/>
      <c r="H125" s="4"/>
      <c r="I125" s="4"/>
      <c r="J125" s="4"/>
    </row>
    <row r="126" spans="7:10" x14ac:dyDescent="0.25">
      <c r="G126" s="4"/>
      <c r="H126" s="4"/>
      <c r="I126" s="4"/>
      <c r="J126" s="4"/>
    </row>
    <row r="127" spans="7:10" x14ac:dyDescent="0.25">
      <c r="G127" s="4"/>
      <c r="H127" s="4"/>
      <c r="I127" s="4"/>
      <c r="J127" s="4"/>
    </row>
    <row r="128" spans="7:10" x14ac:dyDescent="0.25">
      <c r="G128" s="4"/>
      <c r="H128" s="4"/>
      <c r="I128" s="4"/>
      <c r="J128" s="4"/>
    </row>
    <row r="129" spans="7:10" x14ac:dyDescent="0.25">
      <c r="G129" s="4"/>
      <c r="H129" s="4"/>
      <c r="I129" s="4"/>
      <c r="J129" s="4"/>
    </row>
    <row r="130" spans="7:10" x14ac:dyDescent="0.25">
      <c r="G130" s="4"/>
      <c r="H130" s="4"/>
      <c r="I130" s="4"/>
      <c r="J130" s="4"/>
    </row>
    <row r="131" spans="7:10" x14ac:dyDescent="0.25">
      <c r="G131" s="4"/>
      <c r="H131" s="4"/>
      <c r="I131" s="4"/>
      <c r="J131" s="4"/>
    </row>
    <row r="132" spans="7:10" x14ac:dyDescent="0.25">
      <c r="G132" s="4"/>
      <c r="H132" s="4"/>
      <c r="I132" s="4"/>
      <c r="J132" s="4"/>
    </row>
    <row r="133" spans="7:10" x14ac:dyDescent="0.25">
      <c r="G133" s="4"/>
      <c r="H133" s="4"/>
      <c r="I133" s="4"/>
      <c r="J133" s="4"/>
    </row>
    <row r="134" spans="7:10" x14ac:dyDescent="0.25">
      <c r="G134" s="4"/>
      <c r="H134" s="4"/>
      <c r="I134" s="4"/>
      <c r="J134" s="4"/>
    </row>
    <row r="135" spans="7:10" x14ac:dyDescent="0.25">
      <c r="G135" s="4"/>
      <c r="H135" s="4"/>
      <c r="I135" s="4"/>
      <c r="J135" s="4"/>
    </row>
    <row r="136" spans="7:10" x14ac:dyDescent="0.25">
      <c r="G136" s="4"/>
      <c r="H136" s="4"/>
      <c r="I136" s="4"/>
      <c r="J136" s="4"/>
    </row>
    <row r="137" spans="7:10" x14ac:dyDescent="0.25">
      <c r="G137" s="4"/>
      <c r="H137" s="4"/>
      <c r="I137" s="4"/>
      <c r="J137" s="4"/>
    </row>
    <row r="138" spans="7:10" x14ac:dyDescent="0.25">
      <c r="G138" s="4"/>
      <c r="H138" s="4"/>
      <c r="I138" s="4"/>
      <c r="J138" s="4"/>
    </row>
    <row r="139" spans="7:10" x14ac:dyDescent="0.25">
      <c r="G139" s="4"/>
      <c r="H139" s="4"/>
      <c r="I139" s="4"/>
      <c r="J139" s="4"/>
    </row>
    <row r="140" spans="7:10" x14ac:dyDescent="0.25">
      <c r="G140" s="4"/>
      <c r="H140" s="4"/>
      <c r="I140" s="4"/>
      <c r="J140" s="4"/>
    </row>
    <row r="141" spans="7:10" x14ac:dyDescent="0.25">
      <c r="G141" s="4"/>
      <c r="H141" s="4"/>
      <c r="I141" s="4"/>
      <c r="J141" s="4"/>
    </row>
    <row r="142" spans="7:10" x14ac:dyDescent="0.25">
      <c r="G142" s="4"/>
      <c r="H142" s="4"/>
      <c r="I142" s="4"/>
      <c r="J142" s="4"/>
    </row>
    <row r="143" spans="7:10" x14ac:dyDescent="0.25">
      <c r="G143" s="4"/>
      <c r="H143" s="4"/>
      <c r="I143" s="4"/>
      <c r="J143" s="4"/>
    </row>
    <row r="144" spans="7:10" x14ac:dyDescent="0.25">
      <c r="G144" s="4"/>
      <c r="H144" s="4"/>
      <c r="I144" s="4"/>
      <c r="J144" s="4"/>
    </row>
    <row r="145" spans="7:10" x14ac:dyDescent="0.25">
      <c r="G145" s="4"/>
      <c r="H145" s="4"/>
      <c r="I145" s="4"/>
      <c r="J145" s="4"/>
    </row>
    <row r="146" spans="7:10" x14ac:dyDescent="0.25">
      <c r="G146" s="4"/>
      <c r="H146" s="4"/>
      <c r="I146" s="4"/>
      <c r="J146" s="4"/>
    </row>
    <row r="147" spans="7:10" x14ac:dyDescent="0.25">
      <c r="G147" s="4"/>
      <c r="H147" s="4"/>
      <c r="I147" s="4"/>
      <c r="J147" s="4"/>
    </row>
    <row r="148" spans="7:10" x14ac:dyDescent="0.25">
      <c r="G148" s="4"/>
      <c r="H148" s="4"/>
      <c r="I148" s="4"/>
      <c r="J148" s="4"/>
    </row>
    <row r="149" spans="7:10" x14ac:dyDescent="0.25">
      <c r="G149" s="4"/>
      <c r="H149" s="4"/>
      <c r="I149" s="4"/>
      <c r="J149" s="4"/>
    </row>
    <row r="178" spans="3:7" x14ac:dyDescent="0.25">
      <c r="C178" s="3" t="s">
        <v>0</v>
      </c>
      <c r="D178" s="3" t="s">
        <v>1</v>
      </c>
      <c r="E178" s="3"/>
    </row>
    <row r="179" spans="3:7" x14ac:dyDescent="0.25">
      <c r="C179">
        <v>3</v>
      </c>
      <c r="D179">
        <v>18</v>
      </c>
      <c r="G179">
        <f>(C179-D179)^2</f>
        <v>225</v>
      </c>
    </row>
    <row r="180" spans="3:7" x14ac:dyDescent="0.25">
      <c r="C180">
        <v>104</v>
      </c>
      <c r="D180">
        <v>90</v>
      </c>
      <c r="G180">
        <f>(C180-D180)^2</f>
        <v>196</v>
      </c>
    </row>
    <row r="181" spans="3:7" x14ac:dyDescent="0.25">
      <c r="G181">
        <f>G179+G180</f>
        <v>421</v>
      </c>
    </row>
    <row r="182" spans="3:7" x14ac:dyDescent="0.25">
      <c r="G182">
        <f>SQRT(G181)</f>
        <v>20.518284528683193</v>
      </c>
    </row>
  </sheetData>
  <autoFilter ref="AF2:AG2" xr:uid="{00000000-0001-0000-0000-000000000000}">
    <sortState xmlns:xlrd2="http://schemas.microsoft.com/office/spreadsheetml/2017/richdata2" ref="AF3:AG11">
      <sortCondition ref="AF2"/>
    </sortState>
  </autoFilter>
  <mergeCells count="3">
    <mergeCell ref="H1:P1"/>
    <mergeCell ref="H14:P14"/>
    <mergeCell ref="G15:G16"/>
  </mergeCells>
  <phoneticPr fontId="4" type="noConversion"/>
  <conditionalFormatting sqref="Q17:Q25 H16:P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P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 xr2:uid="{692A2AE2-7A78-4243-B9DB-E91BFB7034FA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'RL_Q-Learning'!G16:J16</xm:f>
              <xm:sqref>L16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5E857-735A-4EED-B5B8-53B13E2429E3}">
  <sheetPr codeName="Sheet3"/>
  <dimension ref="C2:F11"/>
  <sheetViews>
    <sheetView workbookViewId="0"/>
  </sheetViews>
  <sheetFormatPr defaultRowHeight="15" x14ac:dyDescent="0.25"/>
  <cols>
    <col min="3" max="3" width="9.5703125" bestFit="1" customWidth="1"/>
    <col min="6" max="6" width="18" bestFit="1" customWidth="1"/>
  </cols>
  <sheetData>
    <row r="2" spans="3:6" x14ac:dyDescent="0.25">
      <c r="C2" s="2"/>
      <c r="D2" s="2"/>
    </row>
    <row r="3" spans="3:6" x14ac:dyDescent="0.25">
      <c r="C3" s="21"/>
      <c r="F3" s="2"/>
    </row>
    <row r="4" spans="3:6" x14ac:dyDescent="0.25">
      <c r="C4" s="21"/>
    </row>
    <row r="5" spans="3:6" x14ac:dyDescent="0.25">
      <c r="C5" s="21"/>
    </row>
    <row r="6" spans="3:6" x14ac:dyDescent="0.25">
      <c r="C6" s="21"/>
    </row>
    <row r="7" spans="3:6" x14ac:dyDescent="0.25">
      <c r="C7" s="21"/>
    </row>
    <row r="8" spans="3:6" x14ac:dyDescent="0.25">
      <c r="C8" s="21"/>
    </row>
    <row r="9" spans="3:6" x14ac:dyDescent="0.25">
      <c r="C9" s="21"/>
    </row>
    <row r="10" spans="3:6" x14ac:dyDescent="0.25">
      <c r="C10" s="21"/>
    </row>
    <row r="11" spans="3:6" x14ac:dyDescent="0.25">
      <c r="C11" s="2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RL_Q-Learning</vt:lpstr>
      <vt:lpstr>Sheet2</vt:lpstr>
      <vt:lpstr>_0</vt:lpstr>
      <vt:lpstr>_1</vt:lpstr>
      <vt:lpstr>_2</vt:lpstr>
      <vt:lpstr>_3</vt:lpstr>
      <vt:lpstr>_4</vt:lpstr>
      <vt:lpstr>_5</vt:lpstr>
      <vt:lpstr>_6</vt:lpstr>
      <vt:lpstr>_7</vt:lpstr>
      <vt:lpstr>_8</vt:lpstr>
      <vt:lpstr>_L1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Arfil, Yuri: Mr.</dc:creator>
  <cp:lastModifiedBy>Arfil, Yuri: MR.</cp:lastModifiedBy>
  <dcterms:created xsi:type="dcterms:W3CDTF">2018-03-08T02:23:29Z</dcterms:created>
  <dcterms:modified xsi:type="dcterms:W3CDTF">2023-04-05T07:23:14Z</dcterms:modified>
</cp:coreProperties>
</file>