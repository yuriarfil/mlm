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480" yWindow="570" windowWidth="20730" windowHeight="11760" tabRatio="703"/>
  </bookViews>
  <sheets>
    <sheet name="nn_backprop_gd" sheetId="18" r:id="rId1"/>
    <sheet name="seeds_dataset" sheetId="28" r:id="rId2"/>
    <sheet name="feature_scaling" sheetId="19" r:id="rId3"/>
    <sheet name="one_hot_encoding" sheetId="22" r:id="rId4"/>
    <sheet name="randomly_shuffle" sheetId="26" r:id="rId5"/>
    <sheet name="trn_data" sheetId="24" r:id="rId6"/>
    <sheet name="weight Initialization" sheetId="21" r:id="rId7"/>
    <sheet name="optimizer(Adam)" sheetId="27" r:id="rId8"/>
    <sheet name="tst_data" sheetId="25" r:id="rId9"/>
    <sheet name="Sheet1" sheetId="3" state="hidden" r:id="rId10"/>
  </sheets>
  <externalReferences>
    <externalReference r:id="rId11"/>
  </externalReferences>
  <definedNames>
    <definedName name="_xlnm._FilterDatabase" localSheetId="2" hidden="1">feature_scaling!$A$1:$AD$1</definedName>
    <definedName name="_xlnm._FilterDatabase" localSheetId="3" hidden="1">one_hot_encoding!$A$1:$I$211</definedName>
    <definedName name="_xlnm._FilterDatabase" localSheetId="9" hidden="1">Sheet1!$A$1:$AQ$472</definedName>
    <definedName name="_xlnm._FilterDatabase" localSheetId="5" hidden="1">trn_data!$A$1:$M$229</definedName>
    <definedName name="_xlnm._FilterDatabase" localSheetId="8" hidden="1">tst_data!$A$1:$T$22</definedName>
    <definedName name="Answer">[1]NN!$AFF$12</definedName>
    <definedName name="init_mom">nn_backprop_gd!$BZ$30:$FU$30</definedName>
    <definedName name="mvData">nn_backprop_gd!$BZ$28:$FU$28</definedName>
    <definedName name="mvTarget">nn_backprop_gd!$BZ$30:$FU$30</definedName>
    <definedName name="Pr_Error">nn_backprop_gd!$C$69</definedName>
    <definedName name="Rate">[1]Control!$AI$2</definedName>
    <definedName name="rmse_start">nn_backprop_gd!$B$68</definedName>
    <definedName name="rmse_start_2">nn_backprop_gd!$D$68</definedName>
    <definedName name="smse">nn_backprop_gd!$Y$3</definedName>
    <definedName name="sum_mse">nn_backprop_gd!$BX$4</definedName>
    <definedName name="tmse">nn_backprop_gd!$W$12</definedName>
    <definedName name="wf_i1">nn_backprop_gd!$D$59:$D$65</definedName>
    <definedName name="wf_i1w">nn_backprop_gd!$D$48:$D$54</definedName>
    <definedName name="wf_i1wA">nn_backprop_gd!$D$36:$D$42</definedName>
    <definedName name="wf_i2">nn_backprop_gd!$E$59:$E$65</definedName>
    <definedName name="wf_i2w">nn_backprop_gd!$E$48:$E$54</definedName>
    <definedName name="wf_i2wA">nn_backprop_gd!$E$36:$E$42</definedName>
    <definedName name="wf_i3">nn_backprop_gd!$F$59:$F$65</definedName>
    <definedName name="wf_i3w">nn_backprop_gd!$F$48:$F$54</definedName>
    <definedName name="wf_i3wA">nn_backprop_gd!$F$36:$F$42</definedName>
    <definedName name="wf_i4">nn_backprop_gd!$G$59:$G$65</definedName>
    <definedName name="wf_i4w">nn_backprop_gd!$G$48:$G$54</definedName>
    <definedName name="wf_i4wA">nn_backprop_gd!$G$36:$G$42</definedName>
    <definedName name="wf_i5">nn_backprop_gd!$H$59:$H$65</definedName>
    <definedName name="wf_i5w">nn_backprop_gd!$H$48:$H$54</definedName>
    <definedName name="wf_i5wA">nn_backprop_gd!$H$36:$H$42</definedName>
    <definedName name="wf_O1">nn_backprop_gd!$I$59:$I$63</definedName>
    <definedName name="wf_O1w">nn_backprop_gd!$M$48:$M$52</definedName>
    <definedName name="wf_O1wA">nn_backprop_gd!$M$36:$M$40</definedName>
    <definedName name="wf_O2">nn_backprop_gd!$J$59:$J$63</definedName>
    <definedName name="wf_O2w">nn_backprop_gd!$N$48:$N$52</definedName>
    <definedName name="wf_O2wA">nn_backprop_gd!$N$36:$N$40</definedName>
    <definedName name="wf_O3">nn_backprop_gd!$K$59:$K$63</definedName>
    <definedName name="wf_O3w">nn_backprop_gd!$O$48:$O$52</definedName>
    <definedName name="wf_O3wA">nn_backprop_gd!$O$36:$O$40</definedName>
    <definedName name="wi_1">nn_backprop_gd!$D$25:$D$31</definedName>
    <definedName name="wi_1o">nn_backprop_gd!$D$4:$D$10</definedName>
    <definedName name="wi_2">nn_backprop_gd!$E$25:$E$31</definedName>
    <definedName name="wi_2o">nn_backprop_gd!$E$4:$E$10</definedName>
    <definedName name="wi_3">nn_backprop_gd!$F$25:$F$31</definedName>
    <definedName name="wi_3o">nn_backprop_gd!$F$4:$F$10</definedName>
    <definedName name="wi_4">nn_backprop_gd!$G$25:$G$31</definedName>
    <definedName name="wi_4o">nn_backprop_gd!$G$4:$G$10</definedName>
    <definedName name="wi_5">nn_backprop_gd!$H$25:$H$31</definedName>
    <definedName name="wi_5o">nn_backprop_gd!$H$4:$H$10</definedName>
    <definedName name="wi_test">nn_backprop_gd!$A$45:$A$60</definedName>
    <definedName name="wo_1">nn_backprop_gd!$M$25:$M$29</definedName>
    <definedName name="wo_1o">nn_backprop_gd!$M$5:$M$9</definedName>
    <definedName name="wo_1oo">nn_backprop_gd!$Z$6</definedName>
    <definedName name="wo_2">nn_backprop_gd!$N$25:$N$29</definedName>
    <definedName name="wo_2o">nn_backprop_gd!$N$5:$N$9</definedName>
    <definedName name="wo_3">nn_backprop_gd!$O$25:$O$29</definedName>
    <definedName name="wo_3o">nn_backprop_gd!$O$5:$O$9</definedName>
  </definedNames>
  <calcPr calcId="145621"/>
</workbook>
</file>

<file path=xl/calcChain.xml><?xml version="1.0" encoding="utf-8"?>
<calcChain xmlns="http://schemas.openxmlformats.org/spreadsheetml/2006/main">
  <c r="J4" i="18" l="1"/>
  <c r="DR6" i="18" l="1"/>
  <c r="FU6" i="18" l="1"/>
  <c r="FU8" i="18" s="1"/>
  <c r="FU9" i="18" s="1"/>
  <c r="FU10" i="18" s="1"/>
  <c r="FU11" i="18" s="1"/>
  <c r="FU12" i="18" s="1"/>
  <c r="FU13" i="18" s="1"/>
  <c r="FU14" i="18" s="1"/>
  <c r="FU15" i="18" s="1"/>
  <c r="FU16" i="18" s="1"/>
  <c r="FU17" i="18" s="1"/>
  <c r="FU18" i="18" s="1"/>
  <c r="FU19" i="18" s="1"/>
  <c r="FU20" i="18" s="1"/>
  <c r="FU21" i="18" s="1"/>
  <c r="FU22" i="18" s="1"/>
  <c r="FU23" i="18" s="1"/>
  <c r="FU24" i="18" s="1"/>
  <c r="FU25" i="18" s="1"/>
  <c r="FU26" i="18" s="1"/>
  <c r="FU27" i="18" s="1"/>
  <c r="FU28" i="18" s="1"/>
  <c r="FT6" i="18"/>
  <c r="FT8" i="18" s="1"/>
  <c r="FT9" i="18" s="1"/>
  <c r="FT10" i="18" s="1"/>
  <c r="FT11" i="18" s="1"/>
  <c r="FT12" i="18" s="1"/>
  <c r="FT13" i="18" s="1"/>
  <c r="FT14" i="18" s="1"/>
  <c r="FT15" i="18" s="1"/>
  <c r="FT16" i="18" s="1"/>
  <c r="FT17" i="18" s="1"/>
  <c r="FT18" i="18" s="1"/>
  <c r="FT19" i="18" s="1"/>
  <c r="FT20" i="18" s="1"/>
  <c r="FT21" i="18" s="1"/>
  <c r="FT22" i="18" s="1"/>
  <c r="FT23" i="18" s="1"/>
  <c r="FT24" i="18" s="1"/>
  <c r="FT25" i="18" s="1"/>
  <c r="FT26" i="18" s="1"/>
  <c r="FT27" i="18" s="1"/>
  <c r="FT28" i="18" s="1"/>
  <c r="FS6" i="18"/>
  <c r="FS8" i="18" s="1"/>
  <c r="FS9" i="18" s="1"/>
  <c r="FS10" i="18" s="1"/>
  <c r="FS11" i="18" s="1"/>
  <c r="FS12" i="18" s="1"/>
  <c r="FS13" i="18" s="1"/>
  <c r="FS14" i="18" s="1"/>
  <c r="FS15" i="18" s="1"/>
  <c r="FS16" i="18" s="1"/>
  <c r="FS17" i="18" s="1"/>
  <c r="FS18" i="18" s="1"/>
  <c r="FS19" i="18" s="1"/>
  <c r="FS20" i="18" s="1"/>
  <c r="FS21" i="18" s="1"/>
  <c r="FS22" i="18" s="1"/>
  <c r="FS23" i="18" s="1"/>
  <c r="FS24" i="18" s="1"/>
  <c r="FS25" i="18" s="1"/>
  <c r="FS26" i="18" s="1"/>
  <c r="FS27" i="18" s="1"/>
  <c r="FS28" i="18" s="1"/>
  <c r="FR6" i="18"/>
  <c r="FR8" i="18" s="1"/>
  <c r="FR9" i="18" s="1"/>
  <c r="FR10" i="18" s="1"/>
  <c r="FR11" i="18" s="1"/>
  <c r="FR12" i="18" s="1"/>
  <c r="FR13" i="18" s="1"/>
  <c r="FR14" i="18" s="1"/>
  <c r="FR15" i="18" s="1"/>
  <c r="FR16" i="18" s="1"/>
  <c r="FR17" i="18" s="1"/>
  <c r="FR18" i="18" s="1"/>
  <c r="FR19" i="18" s="1"/>
  <c r="FR20" i="18" s="1"/>
  <c r="FR21" i="18" s="1"/>
  <c r="FR22" i="18" s="1"/>
  <c r="FR23" i="18" s="1"/>
  <c r="FR24" i="18" s="1"/>
  <c r="FR25" i="18" s="1"/>
  <c r="FR26" i="18" s="1"/>
  <c r="FR27" i="18" s="1"/>
  <c r="FR28" i="18" s="1"/>
  <c r="FQ6" i="18"/>
  <c r="FQ8" i="18" s="1"/>
  <c r="FQ9" i="18" s="1"/>
  <c r="FQ10" i="18" s="1"/>
  <c r="FQ11" i="18" s="1"/>
  <c r="FQ12" i="18" s="1"/>
  <c r="FQ13" i="18" s="1"/>
  <c r="FQ14" i="18" s="1"/>
  <c r="FQ15" i="18" s="1"/>
  <c r="FQ16" i="18" s="1"/>
  <c r="FQ17" i="18" s="1"/>
  <c r="FQ18" i="18" s="1"/>
  <c r="FQ19" i="18" s="1"/>
  <c r="FQ20" i="18" s="1"/>
  <c r="FQ21" i="18" s="1"/>
  <c r="FQ22" i="18" s="1"/>
  <c r="FQ23" i="18" s="1"/>
  <c r="FQ24" i="18" s="1"/>
  <c r="FQ25" i="18" s="1"/>
  <c r="FQ26" i="18" s="1"/>
  <c r="FQ27" i="18" s="1"/>
  <c r="FQ28" i="18" s="1"/>
  <c r="FP6" i="18"/>
  <c r="FP8" i="18" s="1"/>
  <c r="FP9" i="18" s="1"/>
  <c r="FP10" i="18" s="1"/>
  <c r="FP11" i="18" s="1"/>
  <c r="FP12" i="18" s="1"/>
  <c r="FP13" i="18" s="1"/>
  <c r="FP14" i="18" s="1"/>
  <c r="FP15" i="18" s="1"/>
  <c r="FP16" i="18" s="1"/>
  <c r="FP17" i="18" s="1"/>
  <c r="FP18" i="18" s="1"/>
  <c r="FP19" i="18" s="1"/>
  <c r="FP20" i="18" s="1"/>
  <c r="FP21" i="18" s="1"/>
  <c r="FP22" i="18" s="1"/>
  <c r="FP23" i="18" s="1"/>
  <c r="FP24" i="18" s="1"/>
  <c r="FP25" i="18" s="1"/>
  <c r="FP26" i="18" s="1"/>
  <c r="FP27" i="18" s="1"/>
  <c r="FP28" i="18" s="1"/>
  <c r="FO6" i="18"/>
  <c r="FO8" i="18" s="1"/>
  <c r="FO9" i="18" s="1"/>
  <c r="FO10" i="18" s="1"/>
  <c r="FO11" i="18" s="1"/>
  <c r="FO12" i="18" s="1"/>
  <c r="FO13" i="18" s="1"/>
  <c r="FO14" i="18" s="1"/>
  <c r="FO15" i="18" s="1"/>
  <c r="FO16" i="18" s="1"/>
  <c r="FO17" i="18" s="1"/>
  <c r="FO18" i="18" s="1"/>
  <c r="FO19" i="18" s="1"/>
  <c r="FO20" i="18" s="1"/>
  <c r="FO21" i="18" s="1"/>
  <c r="FO22" i="18" s="1"/>
  <c r="FO23" i="18" s="1"/>
  <c r="FO24" i="18" s="1"/>
  <c r="FO25" i="18" s="1"/>
  <c r="FO26" i="18" s="1"/>
  <c r="FO27" i="18" s="1"/>
  <c r="FO28" i="18" s="1"/>
  <c r="FN6" i="18"/>
  <c r="FN8" i="18" s="1"/>
  <c r="FN9" i="18" s="1"/>
  <c r="FN10" i="18" s="1"/>
  <c r="FN11" i="18" s="1"/>
  <c r="FN12" i="18" s="1"/>
  <c r="FN13" i="18" s="1"/>
  <c r="FN14" i="18" s="1"/>
  <c r="FN15" i="18" s="1"/>
  <c r="FN16" i="18" s="1"/>
  <c r="FN17" i="18" s="1"/>
  <c r="FN18" i="18" s="1"/>
  <c r="FN19" i="18" s="1"/>
  <c r="FN20" i="18" s="1"/>
  <c r="FN21" i="18" s="1"/>
  <c r="FN22" i="18" s="1"/>
  <c r="FN23" i="18" s="1"/>
  <c r="FN24" i="18" s="1"/>
  <c r="FN25" i="18" s="1"/>
  <c r="FN26" i="18" s="1"/>
  <c r="FN27" i="18" s="1"/>
  <c r="FN28" i="18" s="1"/>
  <c r="FM6" i="18"/>
  <c r="FM8" i="18" s="1"/>
  <c r="FM9" i="18" s="1"/>
  <c r="FM10" i="18" s="1"/>
  <c r="FM11" i="18" s="1"/>
  <c r="FM12" i="18" s="1"/>
  <c r="FM13" i="18" s="1"/>
  <c r="FM14" i="18" s="1"/>
  <c r="FM15" i="18" s="1"/>
  <c r="FM16" i="18" s="1"/>
  <c r="FM17" i="18" s="1"/>
  <c r="FM18" i="18" s="1"/>
  <c r="FM19" i="18" s="1"/>
  <c r="FM20" i="18" s="1"/>
  <c r="FM21" i="18" s="1"/>
  <c r="FM22" i="18" s="1"/>
  <c r="FM23" i="18" s="1"/>
  <c r="FM24" i="18" s="1"/>
  <c r="FM25" i="18" s="1"/>
  <c r="FM26" i="18" s="1"/>
  <c r="FM27" i="18" s="1"/>
  <c r="FM28" i="18" s="1"/>
  <c r="FL6" i="18"/>
  <c r="FL8" i="18" s="1"/>
  <c r="FL9" i="18" s="1"/>
  <c r="FL10" i="18" s="1"/>
  <c r="FL11" i="18" s="1"/>
  <c r="FL12" i="18" s="1"/>
  <c r="FL13" i="18" s="1"/>
  <c r="FL14" i="18" s="1"/>
  <c r="FL15" i="18" s="1"/>
  <c r="FL16" i="18" s="1"/>
  <c r="FL17" i="18" s="1"/>
  <c r="FL18" i="18" s="1"/>
  <c r="FL19" i="18" s="1"/>
  <c r="FL20" i="18" s="1"/>
  <c r="FL21" i="18" s="1"/>
  <c r="FL22" i="18" s="1"/>
  <c r="FL23" i="18" s="1"/>
  <c r="FL24" i="18" s="1"/>
  <c r="FL25" i="18" s="1"/>
  <c r="FL26" i="18" s="1"/>
  <c r="FL27" i="18" s="1"/>
  <c r="FL28" i="18" s="1"/>
  <c r="FK6" i="18"/>
  <c r="FK8" i="18" s="1"/>
  <c r="FK9" i="18" s="1"/>
  <c r="FK10" i="18" s="1"/>
  <c r="FK11" i="18" s="1"/>
  <c r="FK12" i="18" s="1"/>
  <c r="FK13" i="18" s="1"/>
  <c r="FK14" i="18" s="1"/>
  <c r="FK15" i="18" s="1"/>
  <c r="FK16" i="18" s="1"/>
  <c r="FK17" i="18" s="1"/>
  <c r="FK18" i="18" s="1"/>
  <c r="FK19" i="18" s="1"/>
  <c r="FK20" i="18" s="1"/>
  <c r="FK21" i="18" s="1"/>
  <c r="FK22" i="18" s="1"/>
  <c r="FK23" i="18" s="1"/>
  <c r="FK24" i="18" s="1"/>
  <c r="FK25" i="18" s="1"/>
  <c r="FK26" i="18" s="1"/>
  <c r="FK27" i="18" s="1"/>
  <c r="FK28" i="18" s="1"/>
  <c r="FJ6" i="18"/>
  <c r="FJ8" i="18" s="1"/>
  <c r="FJ9" i="18" s="1"/>
  <c r="FJ10" i="18" s="1"/>
  <c r="FJ11" i="18" s="1"/>
  <c r="FJ12" i="18" s="1"/>
  <c r="FJ13" i="18" s="1"/>
  <c r="FJ14" i="18" s="1"/>
  <c r="FJ15" i="18" s="1"/>
  <c r="FJ16" i="18" s="1"/>
  <c r="FJ17" i="18" s="1"/>
  <c r="FJ18" i="18" s="1"/>
  <c r="FJ19" i="18" s="1"/>
  <c r="FJ20" i="18" s="1"/>
  <c r="FJ21" i="18" s="1"/>
  <c r="FJ22" i="18" s="1"/>
  <c r="FJ23" i="18" s="1"/>
  <c r="FJ24" i="18" s="1"/>
  <c r="FJ25" i="18" s="1"/>
  <c r="FJ26" i="18" s="1"/>
  <c r="FJ27" i="18" s="1"/>
  <c r="FJ28" i="18" s="1"/>
  <c r="FI6" i="18"/>
  <c r="FI8" i="18" s="1"/>
  <c r="FI9" i="18" s="1"/>
  <c r="FI10" i="18" s="1"/>
  <c r="FI11" i="18" s="1"/>
  <c r="FI12" i="18" s="1"/>
  <c r="FI13" i="18" s="1"/>
  <c r="FI14" i="18" s="1"/>
  <c r="FI15" i="18" s="1"/>
  <c r="FI16" i="18" s="1"/>
  <c r="FI17" i="18" s="1"/>
  <c r="FI18" i="18" s="1"/>
  <c r="FI19" i="18" s="1"/>
  <c r="FI20" i="18" s="1"/>
  <c r="FI21" i="18" s="1"/>
  <c r="FI22" i="18" s="1"/>
  <c r="FI23" i="18" s="1"/>
  <c r="FI24" i="18" s="1"/>
  <c r="FI25" i="18" s="1"/>
  <c r="FI26" i="18" s="1"/>
  <c r="FI27" i="18" s="1"/>
  <c r="FI28" i="18" s="1"/>
  <c r="FH6" i="18"/>
  <c r="FH8" i="18" s="1"/>
  <c r="FH9" i="18" s="1"/>
  <c r="FH10" i="18" s="1"/>
  <c r="FH11" i="18" s="1"/>
  <c r="FH12" i="18" s="1"/>
  <c r="FH13" i="18" s="1"/>
  <c r="FH14" i="18" s="1"/>
  <c r="FH15" i="18" s="1"/>
  <c r="FH16" i="18" s="1"/>
  <c r="FH17" i="18" s="1"/>
  <c r="FH18" i="18" s="1"/>
  <c r="FH19" i="18" s="1"/>
  <c r="FH20" i="18" s="1"/>
  <c r="FH21" i="18" s="1"/>
  <c r="FH22" i="18" s="1"/>
  <c r="FH23" i="18" s="1"/>
  <c r="FH24" i="18" s="1"/>
  <c r="FH25" i="18" s="1"/>
  <c r="FH26" i="18" s="1"/>
  <c r="FH27" i="18" s="1"/>
  <c r="FH28" i="18" s="1"/>
  <c r="FG6" i="18"/>
  <c r="FG8" i="18" s="1"/>
  <c r="FG9" i="18" s="1"/>
  <c r="FG10" i="18" s="1"/>
  <c r="FG11" i="18" s="1"/>
  <c r="FG12" i="18" s="1"/>
  <c r="FG13" i="18" s="1"/>
  <c r="FG14" i="18" s="1"/>
  <c r="FG15" i="18" s="1"/>
  <c r="FG16" i="18" s="1"/>
  <c r="FG17" i="18" s="1"/>
  <c r="FG18" i="18" s="1"/>
  <c r="FG19" i="18" s="1"/>
  <c r="FG20" i="18" s="1"/>
  <c r="FG21" i="18" s="1"/>
  <c r="FG22" i="18" s="1"/>
  <c r="FG23" i="18" s="1"/>
  <c r="FG24" i="18" s="1"/>
  <c r="FG25" i="18" s="1"/>
  <c r="FG26" i="18" s="1"/>
  <c r="FG27" i="18" s="1"/>
  <c r="FG28" i="18" s="1"/>
  <c r="FF6" i="18"/>
  <c r="FF8" i="18" s="1"/>
  <c r="FF9" i="18" s="1"/>
  <c r="FF10" i="18" s="1"/>
  <c r="FF11" i="18" s="1"/>
  <c r="FF12" i="18" s="1"/>
  <c r="FF13" i="18" s="1"/>
  <c r="FF14" i="18" s="1"/>
  <c r="FF15" i="18" s="1"/>
  <c r="FF16" i="18" s="1"/>
  <c r="FF17" i="18" s="1"/>
  <c r="FF18" i="18" s="1"/>
  <c r="FF19" i="18" s="1"/>
  <c r="FF20" i="18" s="1"/>
  <c r="FF21" i="18" s="1"/>
  <c r="FF22" i="18" s="1"/>
  <c r="FF23" i="18" s="1"/>
  <c r="FF24" i="18" s="1"/>
  <c r="FF25" i="18" s="1"/>
  <c r="FF26" i="18" s="1"/>
  <c r="FF27" i="18" s="1"/>
  <c r="FF28" i="18" s="1"/>
  <c r="FE6" i="18"/>
  <c r="FE8" i="18" s="1"/>
  <c r="FE9" i="18" s="1"/>
  <c r="FE10" i="18" s="1"/>
  <c r="FE11" i="18" s="1"/>
  <c r="FE12" i="18" s="1"/>
  <c r="FE13" i="18" s="1"/>
  <c r="FE14" i="18" s="1"/>
  <c r="FE15" i="18" s="1"/>
  <c r="FE16" i="18" s="1"/>
  <c r="FE17" i="18" s="1"/>
  <c r="FE18" i="18" s="1"/>
  <c r="FE19" i="18" s="1"/>
  <c r="FE20" i="18" s="1"/>
  <c r="FE21" i="18" s="1"/>
  <c r="FE22" i="18" s="1"/>
  <c r="FE23" i="18" s="1"/>
  <c r="FE24" i="18" s="1"/>
  <c r="FE25" i="18" s="1"/>
  <c r="FE26" i="18" s="1"/>
  <c r="FE27" i="18" s="1"/>
  <c r="FE28" i="18" s="1"/>
  <c r="FD6" i="18"/>
  <c r="FD8" i="18" s="1"/>
  <c r="FD9" i="18" s="1"/>
  <c r="FD10" i="18" s="1"/>
  <c r="FD11" i="18" s="1"/>
  <c r="FD12" i="18" s="1"/>
  <c r="FD13" i="18" s="1"/>
  <c r="FD14" i="18" s="1"/>
  <c r="FD15" i="18" s="1"/>
  <c r="FD16" i="18" s="1"/>
  <c r="FD17" i="18" s="1"/>
  <c r="FD18" i="18" s="1"/>
  <c r="FD19" i="18" s="1"/>
  <c r="FD20" i="18" s="1"/>
  <c r="FD21" i="18" s="1"/>
  <c r="FD22" i="18" s="1"/>
  <c r="FD23" i="18" s="1"/>
  <c r="FD24" i="18" s="1"/>
  <c r="FD25" i="18" s="1"/>
  <c r="FD26" i="18" s="1"/>
  <c r="FD27" i="18" s="1"/>
  <c r="FD28" i="18" s="1"/>
  <c r="FC6" i="18"/>
  <c r="FC8" i="18" s="1"/>
  <c r="FC9" i="18" s="1"/>
  <c r="FC10" i="18" s="1"/>
  <c r="FC11" i="18" s="1"/>
  <c r="FC12" i="18" s="1"/>
  <c r="FC13" i="18" s="1"/>
  <c r="FC14" i="18" s="1"/>
  <c r="FC15" i="18" s="1"/>
  <c r="FC16" i="18" s="1"/>
  <c r="FC17" i="18" s="1"/>
  <c r="FC18" i="18" s="1"/>
  <c r="FC19" i="18" s="1"/>
  <c r="FC20" i="18" s="1"/>
  <c r="FC21" i="18" s="1"/>
  <c r="FC22" i="18" s="1"/>
  <c r="FC23" i="18" s="1"/>
  <c r="FC24" i="18" s="1"/>
  <c r="FC25" i="18" s="1"/>
  <c r="FC26" i="18" s="1"/>
  <c r="FC27" i="18" s="1"/>
  <c r="FC28" i="18" s="1"/>
  <c r="FB6" i="18"/>
  <c r="FB8" i="18" s="1"/>
  <c r="FB9" i="18" s="1"/>
  <c r="FB10" i="18" s="1"/>
  <c r="FB11" i="18" s="1"/>
  <c r="FB12" i="18" s="1"/>
  <c r="FB13" i="18" s="1"/>
  <c r="FB14" i="18" s="1"/>
  <c r="FB15" i="18" s="1"/>
  <c r="FB16" i="18" s="1"/>
  <c r="FB17" i="18" s="1"/>
  <c r="FB18" i="18" s="1"/>
  <c r="FB19" i="18" s="1"/>
  <c r="FB20" i="18" s="1"/>
  <c r="FB21" i="18" s="1"/>
  <c r="FB22" i="18" s="1"/>
  <c r="FB23" i="18" s="1"/>
  <c r="FB24" i="18" s="1"/>
  <c r="FB25" i="18" s="1"/>
  <c r="FB26" i="18" s="1"/>
  <c r="FB27" i="18" s="1"/>
  <c r="FB28" i="18" s="1"/>
  <c r="FA6" i="18"/>
  <c r="FA8" i="18" s="1"/>
  <c r="FA9" i="18" s="1"/>
  <c r="FA10" i="18" s="1"/>
  <c r="FA11" i="18" s="1"/>
  <c r="FA12" i="18" s="1"/>
  <c r="FA13" i="18" s="1"/>
  <c r="FA14" i="18" s="1"/>
  <c r="FA15" i="18" s="1"/>
  <c r="FA16" i="18" s="1"/>
  <c r="FA17" i="18" s="1"/>
  <c r="FA18" i="18" s="1"/>
  <c r="FA19" i="18" s="1"/>
  <c r="FA20" i="18" s="1"/>
  <c r="FA21" i="18" s="1"/>
  <c r="FA22" i="18" s="1"/>
  <c r="FA23" i="18" s="1"/>
  <c r="FA24" i="18" s="1"/>
  <c r="FA25" i="18" s="1"/>
  <c r="FA26" i="18" s="1"/>
  <c r="FA27" i="18" s="1"/>
  <c r="FA28" i="18" s="1"/>
  <c r="EZ6" i="18"/>
  <c r="EZ8" i="18" s="1"/>
  <c r="EZ9" i="18" s="1"/>
  <c r="EZ10" i="18" s="1"/>
  <c r="EZ11" i="18" s="1"/>
  <c r="EZ12" i="18" s="1"/>
  <c r="EZ13" i="18" s="1"/>
  <c r="EZ14" i="18" s="1"/>
  <c r="EZ15" i="18" s="1"/>
  <c r="EZ16" i="18" s="1"/>
  <c r="EZ17" i="18" s="1"/>
  <c r="EZ18" i="18" s="1"/>
  <c r="EZ19" i="18" s="1"/>
  <c r="EZ20" i="18" s="1"/>
  <c r="EZ21" i="18" s="1"/>
  <c r="EZ22" i="18" s="1"/>
  <c r="EZ23" i="18" s="1"/>
  <c r="EZ24" i="18" s="1"/>
  <c r="EZ25" i="18" s="1"/>
  <c r="EZ26" i="18" s="1"/>
  <c r="EZ27" i="18" s="1"/>
  <c r="EZ28" i="18" s="1"/>
  <c r="EY6" i="18"/>
  <c r="EY8" i="18" s="1"/>
  <c r="EY9" i="18" s="1"/>
  <c r="EY10" i="18" s="1"/>
  <c r="EY11" i="18" s="1"/>
  <c r="EY12" i="18" s="1"/>
  <c r="EY13" i="18" s="1"/>
  <c r="EY14" i="18" s="1"/>
  <c r="EY15" i="18" s="1"/>
  <c r="EY16" i="18" s="1"/>
  <c r="EY17" i="18" s="1"/>
  <c r="EY18" i="18" s="1"/>
  <c r="EY19" i="18" s="1"/>
  <c r="EY20" i="18" s="1"/>
  <c r="EY21" i="18" s="1"/>
  <c r="EY22" i="18" s="1"/>
  <c r="EY23" i="18" s="1"/>
  <c r="EY24" i="18" s="1"/>
  <c r="EY25" i="18" s="1"/>
  <c r="EY26" i="18" s="1"/>
  <c r="EY27" i="18" s="1"/>
  <c r="EY28" i="18" s="1"/>
  <c r="EX6" i="18"/>
  <c r="EX8" i="18" s="1"/>
  <c r="EX9" i="18" s="1"/>
  <c r="EX10" i="18" s="1"/>
  <c r="EX11" i="18" s="1"/>
  <c r="EX12" i="18" s="1"/>
  <c r="EX13" i="18" s="1"/>
  <c r="EX14" i="18" s="1"/>
  <c r="EX15" i="18" s="1"/>
  <c r="EX16" i="18" s="1"/>
  <c r="EX17" i="18" s="1"/>
  <c r="EX18" i="18" s="1"/>
  <c r="EX19" i="18" s="1"/>
  <c r="EX20" i="18" s="1"/>
  <c r="EX21" i="18" s="1"/>
  <c r="EX22" i="18" s="1"/>
  <c r="EX23" i="18" s="1"/>
  <c r="EX24" i="18" s="1"/>
  <c r="EX25" i="18" s="1"/>
  <c r="EX26" i="18" s="1"/>
  <c r="EX27" i="18" s="1"/>
  <c r="EX28" i="18" s="1"/>
  <c r="EW6" i="18"/>
  <c r="EW8" i="18" s="1"/>
  <c r="EW9" i="18" s="1"/>
  <c r="EW10" i="18" s="1"/>
  <c r="EW11" i="18" s="1"/>
  <c r="EW12" i="18" s="1"/>
  <c r="EW13" i="18" s="1"/>
  <c r="EW14" i="18" s="1"/>
  <c r="EW15" i="18" s="1"/>
  <c r="EW16" i="18" s="1"/>
  <c r="EW17" i="18" s="1"/>
  <c r="EW18" i="18" s="1"/>
  <c r="EW19" i="18" s="1"/>
  <c r="EW20" i="18" s="1"/>
  <c r="EW21" i="18" s="1"/>
  <c r="EW22" i="18" s="1"/>
  <c r="EW23" i="18" s="1"/>
  <c r="EW24" i="18" s="1"/>
  <c r="EW25" i="18" s="1"/>
  <c r="EW26" i="18" s="1"/>
  <c r="EW27" i="18" s="1"/>
  <c r="EW28" i="18" s="1"/>
  <c r="EV6" i="18"/>
  <c r="EV8" i="18" s="1"/>
  <c r="EV9" i="18" s="1"/>
  <c r="EV10" i="18" s="1"/>
  <c r="EV11" i="18" s="1"/>
  <c r="EV12" i="18" s="1"/>
  <c r="EV13" i="18" s="1"/>
  <c r="EV14" i="18" s="1"/>
  <c r="EV15" i="18" s="1"/>
  <c r="EV16" i="18" s="1"/>
  <c r="EV17" i="18" s="1"/>
  <c r="EV18" i="18" s="1"/>
  <c r="EV19" i="18" s="1"/>
  <c r="EV20" i="18" s="1"/>
  <c r="EV21" i="18" s="1"/>
  <c r="EV22" i="18" s="1"/>
  <c r="EV23" i="18" s="1"/>
  <c r="EV24" i="18" s="1"/>
  <c r="EV25" i="18" s="1"/>
  <c r="EV26" i="18" s="1"/>
  <c r="EV27" i="18" s="1"/>
  <c r="EV28" i="18" s="1"/>
  <c r="EU6" i="18"/>
  <c r="EU8" i="18" s="1"/>
  <c r="EU9" i="18" s="1"/>
  <c r="EU10" i="18" s="1"/>
  <c r="EU11" i="18" s="1"/>
  <c r="EU12" i="18" s="1"/>
  <c r="EU13" i="18" s="1"/>
  <c r="EU14" i="18" s="1"/>
  <c r="EU15" i="18" s="1"/>
  <c r="EU16" i="18" s="1"/>
  <c r="EU17" i="18" s="1"/>
  <c r="EU18" i="18" s="1"/>
  <c r="EU19" i="18" s="1"/>
  <c r="EU20" i="18" s="1"/>
  <c r="EU21" i="18" s="1"/>
  <c r="EU22" i="18" s="1"/>
  <c r="EU23" i="18" s="1"/>
  <c r="EU24" i="18" s="1"/>
  <c r="EU25" i="18" s="1"/>
  <c r="EU26" i="18" s="1"/>
  <c r="EU27" i="18" s="1"/>
  <c r="EU28" i="18" s="1"/>
  <c r="ET6" i="18"/>
  <c r="ET8" i="18" s="1"/>
  <c r="ET9" i="18" s="1"/>
  <c r="ET10" i="18" s="1"/>
  <c r="ET11" i="18" s="1"/>
  <c r="ET12" i="18" s="1"/>
  <c r="ET13" i="18" s="1"/>
  <c r="ET14" i="18" s="1"/>
  <c r="ET15" i="18" s="1"/>
  <c r="ET16" i="18" s="1"/>
  <c r="ET17" i="18" s="1"/>
  <c r="ET18" i="18" s="1"/>
  <c r="ET19" i="18" s="1"/>
  <c r="ET20" i="18" s="1"/>
  <c r="ET21" i="18" s="1"/>
  <c r="ET22" i="18" s="1"/>
  <c r="ET23" i="18" s="1"/>
  <c r="ET24" i="18" s="1"/>
  <c r="ET25" i="18" s="1"/>
  <c r="ET26" i="18" s="1"/>
  <c r="ET27" i="18" s="1"/>
  <c r="ET28" i="18" s="1"/>
  <c r="ES6" i="18"/>
  <c r="ES8" i="18" s="1"/>
  <c r="ES9" i="18" s="1"/>
  <c r="ES10" i="18" s="1"/>
  <c r="ES11" i="18" s="1"/>
  <c r="ES12" i="18" s="1"/>
  <c r="ES13" i="18" s="1"/>
  <c r="ES14" i="18" s="1"/>
  <c r="ES15" i="18" s="1"/>
  <c r="ES16" i="18" s="1"/>
  <c r="ES17" i="18" s="1"/>
  <c r="ES18" i="18" s="1"/>
  <c r="ES19" i="18" s="1"/>
  <c r="ES20" i="18" s="1"/>
  <c r="ES21" i="18" s="1"/>
  <c r="ES22" i="18" s="1"/>
  <c r="ES23" i="18" s="1"/>
  <c r="ES24" i="18" s="1"/>
  <c r="ES25" i="18" s="1"/>
  <c r="ES26" i="18" s="1"/>
  <c r="ES27" i="18" s="1"/>
  <c r="ES28" i="18" s="1"/>
  <c r="ER6" i="18"/>
  <c r="ER8" i="18" s="1"/>
  <c r="ER9" i="18" s="1"/>
  <c r="ER10" i="18" s="1"/>
  <c r="ER11" i="18" s="1"/>
  <c r="ER12" i="18" s="1"/>
  <c r="ER13" i="18" s="1"/>
  <c r="ER14" i="18" s="1"/>
  <c r="ER15" i="18" s="1"/>
  <c r="ER16" i="18" s="1"/>
  <c r="ER17" i="18" s="1"/>
  <c r="ER18" i="18" s="1"/>
  <c r="ER19" i="18" s="1"/>
  <c r="ER20" i="18" s="1"/>
  <c r="ER21" i="18" s="1"/>
  <c r="ER22" i="18" s="1"/>
  <c r="ER23" i="18" s="1"/>
  <c r="ER24" i="18" s="1"/>
  <c r="ER25" i="18" s="1"/>
  <c r="ER26" i="18" s="1"/>
  <c r="ER27" i="18" s="1"/>
  <c r="ER28" i="18" s="1"/>
  <c r="EQ6" i="18"/>
  <c r="EQ8" i="18" s="1"/>
  <c r="EQ9" i="18" s="1"/>
  <c r="EQ10" i="18" s="1"/>
  <c r="EQ11" i="18" s="1"/>
  <c r="EQ12" i="18" s="1"/>
  <c r="EQ13" i="18" s="1"/>
  <c r="EQ14" i="18" s="1"/>
  <c r="EQ15" i="18" s="1"/>
  <c r="EQ16" i="18" s="1"/>
  <c r="EQ17" i="18" s="1"/>
  <c r="EQ18" i="18" s="1"/>
  <c r="EQ19" i="18" s="1"/>
  <c r="EQ20" i="18" s="1"/>
  <c r="EQ21" i="18" s="1"/>
  <c r="EQ22" i="18" s="1"/>
  <c r="EQ23" i="18" s="1"/>
  <c r="EQ24" i="18" s="1"/>
  <c r="EQ25" i="18" s="1"/>
  <c r="EQ26" i="18" s="1"/>
  <c r="EQ27" i="18" s="1"/>
  <c r="EQ28" i="18" s="1"/>
  <c r="EP6" i="18"/>
  <c r="EP8" i="18" s="1"/>
  <c r="EP9" i="18" s="1"/>
  <c r="EP10" i="18" s="1"/>
  <c r="EP11" i="18" s="1"/>
  <c r="EP12" i="18" s="1"/>
  <c r="EP13" i="18" s="1"/>
  <c r="EP14" i="18" s="1"/>
  <c r="EP15" i="18" s="1"/>
  <c r="EP16" i="18" s="1"/>
  <c r="EP17" i="18" s="1"/>
  <c r="EP18" i="18" s="1"/>
  <c r="EP19" i="18" s="1"/>
  <c r="EP20" i="18" s="1"/>
  <c r="EP21" i="18" s="1"/>
  <c r="EP22" i="18" s="1"/>
  <c r="EP23" i="18" s="1"/>
  <c r="EP24" i="18" s="1"/>
  <c r="EP25" i="18" s="1"/>
  <c r="EP26" i="18" s="1"/>
  <c r="EP27" i="18" s="1"/>
  <c r="EP28" i="18" s="1"/>
  <c r="EO6" i="18"/>
  <c r="EO8" i="18" s="1"/>
  <c r="EO9" i="18" s="1"/>
  <c r="EO10" i="18" s="1"/>
  <c r="EO11" i="18" s="1"/>
  <c r="EO12" i="18" s="1"/>
  <c r="EO13" i="18" s="1"/>
  <c r="EO14" i="18" s="1"/>
  <c r="EO15" i="18" s="1"/>
  <c r="EO16" i="18" s="1"/>
  <c r="EO17" i="18" s="1"/>
  <c r="EO18" i="18" s="1"/>
  <c r="EO19" i="18" s="1"/>
  <c r="EO20" i="18" s="1"/>
  <c r="EO21" i="18" s="1"/>
  <c r="EO22" i="18" s="1"/>
  <c r="EO23" i="18" s="1"/>
  <c r="EO24" i="18" s="1"/>
  <c r="EO25" i="18" s="1"/>
  <c r="EO26" i="18" s="1"/>
  <c r="EO27" i="18" s="1"/>
  <c r="EO28" i="18" s="1"/>
  <c r="EN6" i="18"/>
  <c r="EN8" i="18" s="1"/>
  <c r="EN9" i="18" s="1"/>
  <c r="EN10" i="18" s="1"/>
  <c r="EN11" i="18" s="1"/>
  <c r="EN12" i="18" s="1"/>
  <c r="EN13" i="18" s="1"/>
  <c r="EN14" i="18" s="1"/>
  <c r="EN15" i="18" s="1"/>
  <c r="EN16" i="18" s="1"/>
  <c r="EN17" i="18" s="1"/>
  <c r="EN18" i="18" s="1"/>
  <c r="EN19" i="18" s="1"/>
  <c r="EN20" i="18" s="1"/>
  <c r="EN21" i="18" s="1"/>
  <c r="EN22" i="18" s="1"/>
  <c r="EN23" i="18" s="1"/>
  <c r="EN24" i="18" s="1"/>
  <c r="EN25" i="18" s="1"/>
  <c r="EN26" i="18" s="1"/>
  <c r="EN27" i="18" s="1"/>
  <c r="EN28" i="18" s="1"/>
  <c r="EM6" i="18"/>
  <c r="EM8" i="18" s="1"/>
  <c r="EM9" i="18" s="1"/>
  <c r="EM10" i="18" s="1"/>
  <c r="EM11" i="18" s="1"/>
  <c r="EM12" i="18" s="1"/>
  <c r="EM13" i="18" s="1"/>
  <c r="EM14" i="18" s="1"/>
  <c r="EM15" i="18" s="1"/>
  <c r="EM16" i="18" s="1"/>
  <c r="EM17" i="18" s="1"/>
  <c r="EM18" i="18" s="1"/>
  <c r="EM19" i="18" s="1"/>
  <c r="EM20" i="18" s="1"/>
  <c r="EM21" i="18" s="1"/>
  <c r="EM22" i="18" s="1"/>
  <c r="EM23" i="18" s="1"/>
  <c r="EM24" i="18" s="1"/>
  <c r="EM25" i="18" s="1"/>
  <c r="EM26" i="18" s="1"/>
  <c r="EM27" i="18" s="1"/>
  <c r="EM28" i="18" s="1"/>
  <c r="EL6" i="18"/>
  <c r="EL8" i="18" s="1"/>
  <c r="EL9" i="18" s="1"/>
  <c r="EL10" i="18" s="1"/>
  <c r="EL11" i="18" s="1"/>
  <c r="EL12" i="18" s="1"/>
  <c r="EL13" i="18" s="1"/>
  <c r="EL14" i="18" s="1"/>
  <c r="EL15" i="18" s="1"/>
  <c r="EL16" i="18" s="1"/>
  <c r="EL17" i="18" s="1"/>
  <c r="EL18" i="18" s="1"/>
  <c r="EL19" i="18" s="1"/>
  <c r="EL20" i="18" s="1"/>
  <c r="EL21" i="18" s="1"/>
  <c r="EL22" i="18" s="1"/>
  <c r="EL23" i="18" s="1"/>
  <c r="EL24" i="18" s="1"/>
  <c r="EL25" i="18" s="1"/>
  <c r="EL26" i="18" s="1"/>
  <c r="EL27" i="18" s="1"/>
  <c r="EL28" i="18" s="1"/>
  <c r="EK6" i="18"/>
  <c r="EK8" i="18" s="1"/>
  <c r="EK9" i="18" s="1"/>
  <c r="EK10" i="18" s="1"/>
  <c r="EK11" i="18" s="1"/>
  <c r="EK12" i="18" s="1"/>
  <c r="EK13" i="18" s="1"/>
  <c r="EK14" i="18" s="1"/>
  <c r="EK15" i="18" s="1"/>
  <c r="EK16" i="18" s="1"/>
  <c r="EK17" i="18" s="1"/>
  <c r="EK18" i="18" s="1"/>
  <c r="EK19" i="18" s="1"/>
  <c r="EK20" i="18" s="1"/>
  <c r="EK21" i="18" s="1"/>
  <c r="EK22" i="18" s="1"/>
  <c r="EK23" i="18" s="1"/>
  <c r="EK24" i="18" s="1"/>
  <c r="EK25" i="18" s="1"/>
  <c r="EK26" i="18" s="1"/>
  <c r="EK27" i="18" s="1"/>
  <c r="EK28" i="18" s="1"/>
  <c r="EJ6" i="18"/>
  <c r="EJ8" i="18" s="1"/>
  <c r="EJ9" i="18" s="1"/>
  <c r="EJ10" i="18" s="1"/>
  <c r="EJ11" i="18" s="1"/>
  <c r="EJ12" i="18" s="1"/>
  <c r="EJ13" i="18" s="1"/>
  <c r="EJ14" i="18" s="1"/>
  <c r="EJ15" i="18" s="1"/>
  <c r="EJ16" i="18" s="1"/>
  <c r="EJ17" i="18" s="1"/>
  <c r="EJ18" i="18" s="1"/>
  <c r="EJ19" i="18" s="1"/>
  <c r="EJ20" i="18" s="1"/>
  <c r="EJ21" i="18" s="1"/>
  <c r="EJ22" i="18" s="1"/>
  <c r="EJ23" i="18" s="1"/>
  <c r="EJ24" i="18" s="1"/>
  <c r="EJ25" i="18" s="1"/>
  <c r="EJ26" i="18" s="1"/>
  <c r="EJ27" i="18" s="1"/>
  <c r="EJ28" i="18" s="1"/>
  <c r="EI6" i="18"/>
  <c r="EI8" i="18" s="1"/>
  <c r="EI9" i="18" s="1"/>
  <c r="EI10" i="18" s="1"/>
  <c r="EI11" i="18" s="1"/>
  <c r="EI12" i="18" s="1"/>
  <c r="EI13" i="18" s="1"/>
  <c r="EI14" i="18" s="1"/>
  <c r="EI15" i="18" s="1"/>
  <c r="EI16" i="18" s="1"/>
  <c r="EI17" i="18" s="1"/>
  <c r="EI18" i="18" s="1"/>
  <c r="EI19" i="18" s="1"/>
  <c r="EI20" i="18" s="1"/>
  <c r="EI21" i="18" s="1"/>
  <c r="EI22" i="18" s="1"/>
  <c r="EI23" i="18" s="1"/>
  <c r="EI24" i="18" s="1"/>
  <c r="EI25" i="18" s="1"/>
  <c r="EI26" i="18" s="1"/>
  <c r="EI27" i="18" s="1"/>
  <c r="EI28" i="18" s="1"/>
  <c r="EH6" i="18"/>
  <c r="EH8" i="18" s="1"/>
  <c r="EH9" i="18" s="1"/>
  <c r="EH10" i="18" s="1"/>
  <c r="EH11" i="18" s="1"/>
  <c r="EH12" i="18" s="1"/>
  <c r="EH13" i="18" s="1"/>
  <c r="EH14" i="18" s="1"/>
  <c r="EH15" i="18" s="1"/>
  <c r="EH16" i="18" s="1"/>
  <c r="EH17" i="18" s="1"/>
  <c r="EH18" i="18" s="1"/>
  <c r="EH19" i="18" s="1"/>
  <c r="EH20" i="18" s="1"/>
  <c r="EH21" i="18" s="1"/>
  <c r="EH22" i="18" s="1"/>
  <c r="EH23" i="18" s="1"/>
  <c r="EH24" i="18" s="1"/>
  <c r="EH25" i="18" s="1"/>
  <c r="EH26" i="18" s="1"/>
  <c r="EH27" i="18" s="1"/>
  <c r="EH28" i="18" s="1"/>
  <c r="EG6" i="18"/>
  <c r="EG8" i="18" s="1"/>
  <c r="EG9" i="18" s="1"/>
  <c r="EG10" i="18" s="1"/>
  <c r="EG11" i="18" s="1"/>
  <c r="EG12" i="18" s="1"/>
  <c r="EG13" i="18" s="1"/>
  <c r="EG14" i="18" s="1"/>
  <c r="EG15" i="18" s="1"/>
  <c r="EG16" i="18" s="1"/>
  <c r="EG17" i="18" s="1"/>
  <c r="EG18" i="18" s="1"/>
  <c r="EG19" i="18" s="1"/>
  <c r="EG20" i="18" s="1"/>
  <c r="EG21" i="18" s="1"/>
  <c r="EG22" i="18" s="1"/>
  <c r="EG23" i="18" s="1"/>
  <c r="EG24" i="18" s="1"/>
  <c r="EG25" i="18" s="1"/>
  <c r="EG26" i="18" s="1"/>
  <c r="EG27" i="18" s="1"/>
  <c r="EG28" i="18" s="1"/>
  <c r="EF6" i="18"/>
  <c r="EF8" i="18" s="1"/>
  <c r="EF9" i="18" s="1"/>
  <c r="EF10" i="18" s="1"/>
  <c r="EF11" i="18" s="1"/>
  <c r="EF12" i="18" s="1"/>
  <c r="EF13" i="18" s="1"/>
  <c r="EF14" i="18" s="1"/>
  <c r="EF15" i="18" s="1"/>
  <c r="EF16" i="18" s="1"/>
  <c r="EF17" i="18" s="1"/>
  <c r="EF18" i="18" s="1"/>
  <c r="EF19" i="18" s="1"/>
  <c r="EF20" i="18" s="1"/>
  <c r="EF21" i="18" s="1"/>
  <c r="EF22" i="18" s="1"/>
  <c r="EF23" i="18" s="1"/>
  <c r="EF24" i="18" s="1"/>
  <c r="EF25" i="18" s="1"/>
  <c r="EF26" i="18" s="1"/>
  <c r="EF27" i="18" s="1"/>
  <c r="EF28" i="18" s="1"/>
  <c r="FO4" i="18" l="1"/>
  <c r="FI4" i="18"/>
  <c r="EW4" i="18"/>
  <c r="ET4" i="18"/>
  <c r="EU4" i="18"/>
  <c r="ES4" i="18"/>
  <c r="EP4" i="18"/>
  <c r="EH4" i="18"/>
  <c r="EG4" i="18"/>
  <c r="EE6" i="18"/>
  <c r="EE8" i="18" s="1"/>
  <c r="EE9" i="18" s="1"/>
  <c r="EE10" i="18" s="1"/>
  <c r="EE11" i="18" s="1"/>
  <c r="EE12" i="18" s="1"/>
  <c r="EE13" i="18" s="1"/>
  <c r="EE14" i="18" s="1"/>
  <c r="EE15" i="18" s="1"/>
  <c r="EE16" i="18" s="1"/>
  <c r="EE17" i="18" s="1"/>
  <c r="EE18" i="18" s="1"/>
  <c r="EE19" i="18" s="1"/>
  <c r="EE20" i="18" s="1"/>
  <c r="EE21" i="18" s="1"/>
  <c r="EE22" i="18" s="1"/>
  <c r="EE23" i="18" s="1"/>
  <c r="EE24" i="18" s="1"/>
  <c r="EE25" i="18" s="1"/>
  <c r="EE26" i="18" s="1"/>
  <c r="EE27" i="18" s="1"/>
  <c r="EE28" i="18" s="1"/>
  <c r="ED6" i="18"/>
  <c r="EC6" i="18"/>
  <c r="EC8" i="18" s="1"/>
  <c r="EC9" i="18" s="1"/>
  <c r="EC10" i="18" s="1"/>
  <c r="EC11" i="18" s="1"/>
  <c r="EC12" i="18" s="1"/>
  <c r="EC13" i="18" s="1"/>
  <c r="EC14" i="18" s="1"/>
  <c r="EC15" i="18" s="1"/>
  <c r="EC16" i="18" s="1"/>
  <c r="EC17" i="18" s="1"/>
  <c r="EC18" i="18" s="1"/>
  <c r="EC19" i="18" s="1"/>
  <c r="EC20" i="18" s="1"/>
  <c r="EC21" i="18" s="1"/>
  <c r="EC22" i="18" s="1"/>
  <c r="EC23" i="18" s="1"/>
  <c r="EC24" i="18" s="1"/>
  <c r="EC25" i="18" s="1"/>
  <c r="EC26" i="18" s="1"/>
  <c r="EC27" i="18" s="1"/>
  <c r="EC28" i="18" s="1"/>
  <c r="EB6" i="18"/>
  <c r="EA6" i="18"/>
  <c r="EA8" i="18" s="1"/>
  <c r="EA9" i="18" s="1"/>
  <c r="EA10" i="18" s="1"/>
  <c r="EA11" i="18" s="1"/>
  <c r="EA12" i="18" s="1"/>
  <c r="EA13" i="18" s="1"/>
  <c r="EA14" i="18" s="1"/>
  <c r="EA15" i="18" s="1"/>
  <c r="EA16" i="18" s="1"/>
  <c r="EA17" i="18" s="1"/>
  <c r="EA18" i="18" s="1"/>
  <c r="EA19" i="18" s="1"/>
  <c r="EA20" i="18" s="1"/>
  <c r="EA21" i="18" s="1"/>
  <c r="EA22" i="18" s="1"/>
  <c r="EA23" i="18" s="1"/>
  <c r="EA24" i="18" s="1"/>
  <c r="EA25" i="18" s="1"/>
  <c r="EA26" i="18" s="1"/>
  <c r="EA27" i="18" s="1"/>
  <c r="EA28" i="18" s="1"/>
  <c r="DZ6" i="18"/>
  <c r="DY6" i="18"/>
  <c r="DY8" i="18" s="1"/>
  <c r="DY9" i="18" s="1"/>
  <c r="DY10" i="18" s="1"/>
  <c r="DY11" i="18" s="1"/>
  <c r="DY12" i="18" s="1"/>
  <c r="DY13" i="18" s="1"/>
  <c r="DY14" i="18" s="1"/>
  <c r="DY15" i="18" s="1"/>
  <c r="DY16" i="18" s="1"/>
  <c r="DY17" i="18" s="1"/>
  <c r="DY18" i="18" s="1"/>
  <c r="DY19" i="18" s="1"/>
  <c r="DY20" i="18" s="1"/>
  <c r="DY21" i="18" s="1"/>
  <c r="DY22" i="18" s="1"/>
  <c r="DY23" i="18" s="1"/>
  <c r="DY24" i="18" s="1"/>
  <c r="DY25" i="18" s="1"/>
  <c r="DY26" i="18" s="1"/>
  <c r="DY27" i="18" s="1"/>
  <c r="DY28" i="18" s="1"/>
  <c r="DX6" i="18"/>
  <c r="DW6" i="18"/>
  <c r="DW8" i="18" s="1"/>
  <c r="DW9" i="18" s="1"/>
  <c r="DW10" i="18" s="1"/>
  <c r="DW11" i="18" s="1"/>
  <c r="DW12" i="18" s="1"/>
  <c r="DW13" i="18" s="1"/>
  <c r="DW14" i="18" s="1"/>
  <c r="DW15" i="18" s="1"/>
  <c r="DW16" i="18" s="1"/>
  <c r="DW17" i="18" s="1"/>
  <c r="DW18" i="18" s="1"/>
  <c r="DW19" i="18" s="1"/>
  <c r="DW20" i="18" s="1"/>
  <c r="DW21" i="18" s="1"/>
  <c r="DW22" i="18" s="1"/>
  <c r="DW23" i="18" s="1"/>
  <c r="DW24" i="18" s="1"/>
  <c r="DW25" i="18" s="1"/>
  <c r="DW26" i="18" s="1"/>
  <c r="DW27" i="18" s="1"/>
  <c r="DW28" i="18" s="1"/>
  <c r="DV6" i="18"/>
  <c r="DV8" i="18" s="1"/>
  <c r="DV9" i="18" s="1"/>
  <c r="DV10" i="18" s="1"/>
  <c r="DV11" i="18" s="1"/>
  <c r="DV12" i="18" s="1"/>
  <c r="DV13" i="18" s="1"/>
  <c r="DV14" i="18" s="1"/>
  <c r="DV15" i="18" s="1"/>
  <c r="DV16" i="18" s="1"/>
  <c r="DV17" i="18" s="1"/>
  <c r="DV18" i="18" s="1"/>
  <c r="DV19" i="18" s="1"/>
  <c r="DV20" i="18" s="1"/>
  <c r="DV21" i="18" s="1"/>
  <c r="DV22" i="18" s="1"/>
  <c r="DV23" i="18" s="1"/>
  <c r="DV24" i="18" s="1"/>
  <c r="DV25" i="18" s="1"/>
  <c r="DV26" i="18" s="1"/>
  <c r="DV27" i="18" s="1"/>
  <c r="DV28" i="18" s="1"/>
  <c r="DU6" i="18"/>
  <c r="DU8" i="18" s="1"/>
  <c r="DU9" i="18" s="1"/>
  <c r="DU10" i="18" s="1"/>
  <c r="DU11" i="18" s="1"/>
  <c r="DU12" i="18" s="1"/>
  <c r="DU13" i="18" s="1"/>
  <c r="DU14" i="18" s="1"/>
  <c r="DU15" i="18" s="1"/>
  <c r="DU16" i="18" s="1"/>
  <c r="DU17" i="18" s="1"/>
  <c r="DU18" i="18" s="1"/>
  <c r="DU19" i="18" s="1"/>
  <c r="DU20" i="18" s="1"/>
  <c r="DU21" i="18" s="1"/>
  <c r="DU22" i="18" s="1"/>
  <c r="DU23" i="18" s="1"/>
  <c r="DU24" i="18" s="1"/>
  <c r="DU25" i="18" s="1"/>
  <c r="DU26" i="18" s="1"/>
  <c r="DU27" i="18" s="1"/>
  <c r="DU28" i="18" s="1"/>
  <c r="DT6" i="18"/>
  <c r="DT8" i="18" s="1"/>
  <c r="DT9" i="18" s="1"/>
  <c r="DT10" i="18" s="1"/>
  <c r="DT11" i="18" s="1"/>
  <c r="DT12" i="18" s="1"/>
  <c r="DT13" i="18" s="1"/>
  <c r="DT14" i="18" s="1"/>
  <c r="DT15" i="18" s="1"/>
  <c r="DT16" i="18" s="1"/>
  <c r="DT17" i="18" s="1"/>
  <c r="DT18" i="18" s="1"/>
  <c r="DT19" i="18" s="1"/>
  <c r="DT20" i="18" s="1"/>
  <c r="DT21" i="18" s="1"/>
  <c r="DT22" i="18" s="1"/>
  <c r="DT23" i="18" s="1"/>
  <c r="DT24" i="18" s="1"/>
  <c r="DT25" i="18" s="1"/>
  <c r="DT26" i="18" s="1"/>
  <c r="DT27" i="18" s="1"/>
  <c r="DT28" i="18" s="1"/>
  <c r="DS6" i="18"/>
  <c r="DS8" i="18" s="1"/>
  <c r="DS9" i="18" s="1"/>
  <c r="DS10" i="18" s="1"/>
  <c r="DS11" i="18" s="1"/>
  <c r="DS12" i="18" s="1"/>
  <c r="DS13" i="18" s="1"/>
  <c r="DS14" i="18" s="1"/>
  <c r="DS15" i="18" s="1"/>
  <c r="DS16" i="18" s="1"/>
  <c r="DS17" i="18" s="1"/>
  <c r="DS18" i="18" s="1"/>
  <c r="DS19" i="18" s="1"/>
  <c r="DS20" i="18" s="1"/>
  <c r="DS21" i="18" s="1"/>
  <c r="DS22" i="18" s="1"/>
  <c r="DS23" i="18" s="1"/>
  <c r="DS24" i="18" s="1"/>
  <c r="DS25" i="18" s="1"/>
  <c r="DS26" i="18" s="1"/>
  <c r="DS27" i="18" s="1"/>
  <c r="DS28" i="18" s="1"/>
  <c r="DQ6" i="18"/>
  <c r="DQ8" i="18" s="1"/>
  <c r="DQ9" i="18" s="1"/>
  <c r="DQ10" i="18" s="1"/>
  <c r="DQ11" i="18" s="1"/>
  <c r="DQ12" i="18" s="1"/>
  <c r="DQ13" i="18" s="1"/>
  <c r="DQ14" i="18" s="1"/>
  <c r="DQ15" i="18" s="1"/>
  <c r="DQ16" i="18" s="1"/>
  <c r="DQ17" i="18" s="1"/>
  <c r="DQ18" i="18" s="1"/>
  <c r="DQ19" i="18" s="1"/>
  <c r="DQ20" i="18" s="1"/>
  <c r="DQ21" i="18" s="1"/>
  <c r="DQ22" i="18" s="1"/>
  <c r="DQ23" i="18" s="1"/>
  <c r="DQ24" i="18" s="1"/>
  <c r="DQ25" i="18" s="1"/>
  <c r="DQ26" i="18" s="1"/>
  <c r="DQ27" i="18" s="1"/>
  <c r="DQ28" i="18" s="1"/>
  <c r="DP6" i="18"/>
  <c r="DO6" i="18"/>
  <c r="DO8" i="18" s="1"/>
  <c r="DO9" i="18" s="1"/>
  <c r="DO10" i="18" s="1"/>
  <c r="DO11" i="18" s="1"/>
  <c r="DO12" i="18" s="1"/>
  <c r="DO13" i="18" s="1"/>
  <c r="DO14" i="18" s="1"/>
  <c r="DO15" i="18" s="1"/>
  <c r="DO16" i="18" s="1"/>
  <c r="DO17" i="18" s="1"/>
  <c r="DO18" i="18" s="1"/>
  <c r="DO19" i="18" s="1"/>
  <c r="DO20" i="18" s="1"/>
  <c r="DO21" i="18" s="1"/>
  <c r="DO22" i="18" s="1"/>
  <c r="DO23" i="18" s="1"/>
  <c r="DO24" i="18" s="1"/>
  <c r="DO25" i="18" s="1"/>
  <c r="DO26" i="18" s="1"/>
  <c r="DO27" i="18" s="1"/>
  <c r="DO28" i="18" s="1"/>
  <c r="DN6" i="18"/>
  <c r="DM6" i="18"/>
  <c r="DL6" i="18"/>
  <c r="DK6" i="18"/>
  <c r="DK8" i="18" s="1"/>
  <c r="DK9" i="18" s="1"/>
  <c r="DK10" i="18" s="1"/>
  <c r="DK11" i="18" s="1"/>
  <c r="DK12" i="18" s="1"/>
  <c r="DK13" i="18" s="1"/>
  <c r="DK14" i="18" s="1"/>
  <c r="DK15" i="18" s="1"/>
  <c r="DK16" i="18" s="1"/>
  <c r="DK17" i="18" s="1"/>
  <c r="DK18" i="18" s="1"/>
  <c r="DK19" i="18" s="1"/>
  <c r="DK20" i="18" s="1"/>
  <c r="DK21" i="18" s="1"/>
  <c r="DK22" i="18" s="1"/>
  <c r="DK23" i="18" s="1"/>
  <c r="DK24" i="18" s="1"/>
  <c r="DK25" i="18" s="1"/>
  <c r="DK26" i="18" s="1"/>
  <c r="DK27" i="18" s="1"/>
  <c r="DK28" i="18" s="1"/>
  <c r="DJ6" i="18"/>
  <c r="DJ8" i="18" s="1"/>
  <c r="DJ9" i="18" s="1"/>
  <c r="DJ10" i="18" s="1"/>
  <c r="DJ11" i="18" s="1"/>
  <c r="DJ12" i="18" s="1"/>
  <c r="DJ13" i="18" s="1"/>
  <c r="DJ14" i="18" s="1"/>
  <c r="DJ15" i="18" s="1"/>
  <c r="DJ16" i="18" s="1"/>
  <c r="DJ17" i="18" s="1"/>
  <c r="DJ18" i="18" s="1"/>
  <c r="DJ19" i="18" s="1"/>
  <c r="DJ20" i="18" s="1"/>
  <c r="DJ21" i="18" s="1"/>
  <c r="DJ22" i="18" s="1"/>
  <c r="DJ23" i="18" s="1"/>
  <c r="DJ24" i="18" s="1"/>
  <c r="DJ25" i="18" s="1"/>
  <c r="DJ26" i="18" s="1"/>
  <c r="DJ27" i="18" s="1"/>
  <c r="DJ28" i="18" s="1"/>
  <c r="DI6" i="18"/>
  <c r="DI8" i="18" s="1"/>
  <c r="DI9" i="18" s="1"/>
  <c r="DI10" i="18" s="1"/>
  <c r="DI11" i="18" s="1"/>
  <c r="DI12" i="18" s="1"/>
  <c r="DI13" i="18" s="1"/>
  <c r="DI14" i="18" s="1"/>
  <c r="DI15" i="18" s="1"/>
  <c r="DI16" i="18" s="1"/>
  <c r="DI17" i="18" s="1"/>
  <c r="DI18" i="18" s="1"/>
  <c r="DI19" i="18" s="1"/>
  <c r="DI20" i="18" s="1"/>
  <c r="DI21" i="18" s="1"/>
  <c r="DI22" i="18" s="1"/>
  <c r="DI23" i="18" s="1"/>
  <c r="DI24" i="18" s="1"/>
  <c r="DI25" i="18" s="1"/>
  <c r="DI26" i="18" s="1"/>
  <c r="DI27" i="18" s="1"/>
  <c r="DI28" i="18" s="1"/>
  <c r="DH6" i="18"/>
  <c r="DH8" i="18" s="1"/>
  <c r="DH9" i="18" s="1"/>
  <c r="DH10" i="18" s="1"/>
  <c r="DH11" i="18" s="1"/>
  <c r="DH12" i="18" s="1"/>
  <c r="DH13" i="18" s="1"/>
  <c r="DH14" i="18" s="1"/>
  <c r="DH15" i="18" s="1"/>
  <c r="DH16" i="18" s="1"/>
  <c r="DH17" i="18" s="1"/>
  <c r="DH18" i="18" s="1"/>
  <c r="DH19" i="18" s="1"/>
  <c r="DH20" i="18" s="1"/>
  <c r="DH21" i="18" s="1"/>
  <c r="DH22" i="18" s="1"/>
  <c r="DH23" i="18" s="1"/>
  <c r="DH24" i="18" s="1"/>
  <c r="DH25" i="18" s="1"/>
  <c r="DH26" i="18" s="1"/>
  <c r="DH27" i="18" s="1"/>
  <c r="DH28" i="18" s="1"/>
  <c r="DG6" i="18"/>
  <c r="DG8" i="18" s="1"/>
  <c r="DG9" i="18" s="1"/>
  <c r="DG10" i="18" s="1"/>
  <c r="DG11" i="18" s="1"/>
  <c r="DG12" i="18" s="1"/>
  <c r="DG13" i="18" s="1"/>
  <c r="DG14" i="18" s="1"/>
  <c r="DG15" i="18" s="1"/>
  <c r="DG16" i="18" s="1"/>
  <c r="DG17" i="18" s="1"/>
  <c r="DG18" i="18" s="1"/>
  <c r="DG19" i="18" s="1"/>
  <c r="DG20" i="18" s="1"/>
  <c r="DG21" i="18" s="1"/>
  <c r="DG22" i="18" s="1"/>
  <c r="DG23" i="18" s="1"/>
  <c r="DG24" i="18" s="1"/>
  <c r="DG25" i="18" s="1"/>
  <c r="DG26" i="18" s="1"/>
  <c r="DG27" i="18" s="1"/>
  <c r="DG28" i="18" s="1"/>
  <c r="DF6" i="18"/>
  <c r="DF8" i="18" s="1"/>
  <c r="DF9" i="18" s="1"/>
  <c r="DF10" i="18" s="1"/>
  <c r="DF11" i="18" s="1"/>
  <c r="DF12" i="18" s="1"/>
  <c r="DF13" i="18" s="1"/>
  <c r="DF14" i="18" s="1"/>
  <c r="DF15" i="18" s="1"/>
  <c r="DF16" i="18" s="1"/>
  <c r="DF17" i="18" s="1"/>
  <c r="DF18" i="18" s="1"/>
  <c r="DF19" i="18" s="1"/>
  <c r="DF20" i="18" s="1"/>
  <c r="DF21" i="18" s="1"/>
  <c r="DF22" i="18" s="1"/>
  <c r="DF23" i="18" s="1"/>
  <c r="DF24" i="18" s="1"/>
  <c r="DF25" i="18" s="1"/>
  <c r="DF26" i="18" s="1"/>
  <c r="DF27" i="18" s="1"/>
  <c r="DF28" i="18" s="1"/>
  <c r="DE6" i="18"/>
  <c r="DE8" i="18" s="1"/>
  <c r="DE9" i="18" s="1"/>
  <c r="DE10" i="18" s="1"/>
  <c r="DE11" i="18" s="1"/>
  <c r="DE12" i="18" s="1"/>
  <c r="DE13" i="18" s="1"/>
  <c r="DE14" i="18" s="1"/>
  <c r="DE15" i="18" s="1"/>
  <c r="DE16" i="18" s="1"/>
  <c r="DE17" i="18" s="1"/>
  <c r="DE18" i="18" s="1"/>
  <c r="DE19" i="18" s="1"/>
  <c r="DE20" i="18" s="1"/>
  <c r="DE21" i="18" s="1"/>
  <c r="DE22" i="18" s="1"/>
  <c r="DE23" i="18" s="1"/>
  <c r="DE24" i="18" s="1"/>
  <c r="DE25" i="18" s="1"/>
  <c r="DE26" i="18" s="1"/>
  <c r="DE27" i="18" s="1"/>
  <c r="DE28" i="18" s="1"/>
  <c r="DD6" i="18"/>
  <c r="DD8" i="18" s="1"/>
  <c r="DD9" i="18" s="1"/>
  <c r="DD10" i="18" s="1"/>
  <c r="DD11" i="18" s="1"/>
  <c r="DD12" i="18" s="1"/>
  <c r="DD13" i="18" s="1"/>
  <c r="DD14" i="18" s="1"/>
  <c r="DD15" i="18" s="1"/>
  <c r="DD16" i="18" s="1"/>
  <c r="DD17" i="18" s="1"/>
  <c r="DD18" i="18" s="1"/>
  <c r="DD19" i="18" s="1"/>
  <c r="DD20" i="18" s="1"/>
  <c r="DD21" i="18" s="1"/>
  <c r="DD22" i="18" s="1"/>
  <c r="DD23" i="18" s="1"/>
  <c r="DD24" i="18" s="1"/>
  <c r="DD25" i="18" s="1"/>
  <c r="DD26" i="18" s="1"/>
  <c r="DD27" i="18" s="1"/>
  <c r="DD28" i="18" s="1"/>
  <c r="DC6" i="18"/>
  <c r="DC8" i="18" s="1"/>
  <c r="DC9" i="18" s="1"/>
  <c r="DC10" i="18" s="1"/>
  <c r="DC11" i="18" s="1"/>
  <c r="DC12" i="18" s="1"/>
  <c r="DC13" i="18" s="1"/>
  <c r="DC14" i="18" s="1"/>
  <c r="DC15" i="18" s="1"/>
  <c r="DC16" i="18" s="1"/>
  <c r="DC17" i="18" s="1"/>
  <c r="DC18" i="18" s="1"/>
  <c r="DC19" i="18" s="1"/>
  <c r="DC20" i="18" s="1"/>
  <c r="DC21" i="18" s="1"/>
  <c r="DC22" i="18" s="1"/>
  <c r="DC23" i="18" s="1"/>
  <c r="DC24" i="18" s="1"/>
  <c r="DC25" i="18" s="1"/>
  <c r="DC26" i="18" s="1"/>
  <c r="DC27" i="18" s="1"/>
  <c r="DC28" i="18" s="1"/>
  <c r="DB6" i="18"/>
  <c r="DB8" i="18" s="1"/>
  <c r="DB9" i="18" s="1"/>
  <c r="DB10" i="18" s="1"/>
  <c r="DB11" i="18" s="1"/>
  <c r="DB12" i="18" s="1"/>
  <c r="DB13" i="18" s="1"/>
  <c r="DB14" i="18" s="1"/>
  <c r="DB15" i="18" s="1"/>
  <c r="DB16" i="18" s="1"/>
  <c r="DB17" i="18" s="1"/>
  <c r="DB18" i="18" s="1"/>
  <c r="DB19" i="18" s="1"/>
  <c r="DB20" i="18" s="1"/>
  <c r="DB21" i="18" s="1"/>
  <c r="DB22" i="18" s="1"/>
  <c r="DB23" i="18" s="1"/>
  <c r="DB24" i="18" s="1"/>
  <c r="DB25" i="18" s="1"/>
  <c r="DB26" i="18" s="1"/>
  <c r="DB27" i="18" s="1"/>
  <c r="DB28" i="18" s="1"/>
  <c r="DA6" i="18"/>
  <c r="DA8" i="18" s="1"/>
  <c r="DA9" i="18" s="1"/>
  <c r="DA10" i="18" s="1"/>
  <c r="DA11" i="18" s="1"/>
  <c r="DA12" i="18" s="1"/>
  <c r="DA13" i="18" s="1"/>
  <c r="DA14" i="18" s="1"/>
  <c r="DA15" i="18" s="1"/>
  <c r="DA16" i="18" s="1"/>
  <c r="DA17" i="18" s="1"/>
  <c r="DA18" i="18" s="1"/>
  <c r="DA19" i="18" s="1"/>
  <c r="DA20" i="18" s="1"/>
  <c r="DA21" i="18" s="1"/>
  <c r="DA22" i="18" s="1"/>
  <c r="DA23" i="18" s="1"/>
  <c r="DA24" i="18" s="1"/>
  <c r="DA25" i="18" s="1"/>
  <c r="DA26" i="18" s="1"/>
  <c r="DA27" i="18" s="1"/>
  <c r="DA28" i="18" s="1"/>
  <c r="CZ6" i="18"/>
  <c r="CZ8" i="18" s="1"/>
  <c r="CZ9" i="18" s="1"/>
  <c r="CZ10" i="18" s="1"/>
  <c r="CZ11" i="18" s="1"/>
  <c r="CZ12" i="18" s="1"/>
  <c r="CZ13" i="18" s="1"/>
  <c r="CZ14" i="18" s="1"/>
  <c r="CZ15" i="18" s="1"/>
  <c r="CZ16" i="18" s="1"/>
  <c r="CZ17" i="18" s="1"/>
  <c r="CZ18" i="18" s="1"/>
  <c r="CZ19" i="18" s="1"/>
  <c r="CZ20" i="18" s="1"/>
  <c r="CZ21" i="18" s="1"/>
  <c r="CZ22" i="18" s="1"/>
  <c r="CZ23" i="18" s="1"/>
  <c r="CZ24" i="18" s="1"/>
  <c r="CZ25" i="18" s="1"/>
  <c r="CZ26" i="18" s="1"/>
  <c r="CZ27" i="18" s="1"/>
  <c r="CZ28" i="18" s="1"/>
  <c r="CY6" i="18"/>
  <c r="CY8" i="18" s="1"/>
  <c r="CY9" i="18" s="1"/>
  <c r="CY10" i="18" s="1"/>
  <c r="CY11" i="18" s="1"/>
  <c r="CY12" i="18" s="1"/>
  <c r="CY13" i="18" s="1"/>
  <c r="CY14" i="18" s="1"/>
  <c r="CY15" i="18" s="1"/>
  <c r="CY16" i="18" s="1"/>
  <c r="CY17" i="18" s="1"/>
  <c r="CY18" i="18" s="1"/>
  <c r="CY19" i="18" s="1"/>
  <c r="CY20" i="18" s="1"/>
  <c r="CY21" i="18" s="1"/>
  <c r="CY22" i="18" s="1"/>
  <c r="CY23" i="18" s="1"/>
  <c r="CY24" i="18" s="1"/>
  <c r="CY25" i="18" s="1"/>
  <c r="CY26" i="18" s="1"/>
  <c r="CY27" i="18" s="1"/>
  <c r="CY28" i="18" s="1"/>
  <c r="CX6" i="18"/>
  <c r="CX8" i="18" s="1"/>
  <c r="CX9" i="18" s="1"/>
  <c r="CX10" i="18" s="1"/>
  <c r="CX11" i="18" s="1"/>
  <c r="CX12" i="18" s="1"/>
  <c r="CX13" i="18" s="1"/>
  <c r="CX14" i="18" s="1"/>
  <c r="CX15" i="18" s="1"/>
  <c r="CX16" i="18" s="1"/>
  <c r="CX17" i="18" s="1"/>
  <c r="CX18" i="18" s="1"/>
  <c r="CX19" i="18" s="1"/>
  <c r="CX20" i="18" s="1"/>
  <c r="CX21" i="18" s="1"/>
  <c r="CX22" i="18" s="1"/>
  <c r="CX23" i="18" s="1"/>
  <c r="CX24" i="18" s="1"/>
  <c r="CX25" i="18" s="1"/>
  <c r="CX26" i="18" s="1"/>
  <c r="CX27" i="18" s="1"/>
  <c r="CX28" i="18" s="1"/>
  <c r="CW6" i="18"/>
  <c r="CW8" i="18" s="1"/>
  <c r="CW9" i="18" s="1"/>
  <c r="CW10" i="18" s="1"/>
  <c r="CW11" i="18" s="1"/>
  <c r="CW12" i="18" s="1"/>
  <c r="CW13" i="18" s="1"/>
  <c r="CW14" i="18" s="1"/>
  <c r="CW15" i="18" s="1"/>
  <c r="CW16" i="18" s="1"/>
  <c r="CW17" i="18" s="1"/>
  <c r="CW18" i="18" s="1"/>
  <c r="CW19" i="18" s="1"/>
  <c r="CW20" i="18" s="1"/>
  <c r="CW21" i="18" s="1"/>
  <c r="CW22" i="18" s="1"/>
  <c r="CW23" i="18" s="1"/>
  <c r="CW24" i="18" s="1"/>
  <c r="CW25" i="18" s="1"/>
  <c r="CW26" i="18" s="1"/>
  <c r="CW27" i="18" s="1"/>
  <c r="CW28" i="18" s="1"/>
  <c r="CV6" i="18"/>
  <c r="CV8" i="18" s="1"/>
  <c r="CV9" i="18" s="1"/>
  <c r="CV10" i="18" s="1"/>
  <c r="CV11" i="18" s="1"/>
  <c r="CV12" i="18" s="1"/>
  <c r="CV13" i="18" s="1"/>
  <c r="CV14" i="18" s="1"/>
  <c r="CV15" i="18" s="1"/>
  <c r="CV16" i="18" s="1"/>
  <c r="CV17" i="18" s="1"/>
  <c r="CV18" i="18" s="1"/>
  <c r="CV19" i="18" s="1"/>
  <c r="CV20" i="18" s="1"/>
  <c r="CV21" i="18" s="1"/>
  <c r="CV22" i="18" s="1"/>
  <c r="CV23" i="18" s="1"/>
  <c r="CV24" i="18" s="1"/>
  <c r="CV25" i="18" s="1"/>
  <c r="CV26" i="18" s="1"/>
  <c r="CV27" i="18" s="1"/>
  <c r="CV28" i="18" s="1"/>
  <c r="CU6" i="18"/>
  <c r="CU8" i="18" s="1"/>
  <c r="CU9" i="18" s="1"/>
  <c r="CU10" i="18" s="1"/>
  <c r="CU11" i="18" s="1"/>
  <c r="CU12" i="18" s="1"/>
  <c r="CU13" i="18" s="1"/>
  <c r="CU14" i="18" s="1"/>
  <c r="CU15" i="18" s="1"/>
  <c r="CU16" i="18" s="1"/>
  <c r="CU17" i="18" s="1"/>
  <c r="CU18" i="18" s="1"/>
  <c r="CU19" i="18" s="1"/>
  <c r="CU20" i="18" s="1"/>
  <c r="CU21" i="18" s="1"/>
  <c r="CU22" i="18" s="1"/>
  <c r="CU23" i="18" s="1"/>
  <c r="CU24" i="18" s="1"/>
  <c r="CU25" i="18" s="1"/>
  <c r="CU26" i="18" s="1"/>
  <c r="CU27" i="18" s="1"/>
  <c r="CU28" i="18" s="1"/>
  <c r="CT6" i="18"/>
  <c r="CT8" i="18" s="1"/>
  <c r="CT9" i="18" s="1"/>
  <c r="CT10" i="18" s="1"/>
  <c r="CT11" i="18" s="1"/>
  <c r="CT12" i="18" s="1"/>
  <c r="CT13" i="18" s="1"/>
  <c r="CT14" i="18" s="1"/>
  <c r="CT15" i="18" s="1"/>
  <c r="CT16" i="18" s="1"/>
  <c r="CT17" i="18" s="1"/>
  <c r="CT18" i="18" s="1"/>
  <c r="CT19" i="18" s="1"/>
  <c r="CT20" i="18" s="1"/>
  <c r="CT21" i="18" s="1"/>
  <c r="CT22" i="18" s="1"/>
  <c r="CT23" i="18" s="1"/>
  <c r="CT24" i="18" s="1"/>
  <c r="CT25" i="18" s="1"/>
  <c r="CT26" i="18" s="1"/>
  <c r="CT27" i="18" s="1"/>
  <c r="CT28" i="18" s="1"/>
  <c r="CS6" i="18"/>
  <c r="CS8" i="18" s="1"/>
  <c r="CS9" i="18" s="1"/>
  <c r="CS10" i="18" s="1"/>
  <c r="CS11" i="18" s="1"/>
  <c r="CS12" i="18" s="1"/>
  <c r="CS13" i="18" s="1"/>
  <c r="CS14" i="18" s="1"/>
  <c r="CS15" i="18" s="1"/>
  <c r="CS16" i="18" s="1"/>
  <c r="CS17" i="18" s="1"/>
  <c r="CS18" i="18" s="1"/>
  <c r="CS19" i="18" s="1"/>
  <c r="CS20" i="18" s="1"/>
  <c r="CS21" i="18" s="1"/>
  <c r="CS22" i="18" s="1"/>
  <c r="CS23" i="18" s="1"/>
  <c r="CS24" i="18" s="1"/>
  <c r="CS25" i="18" s="1"/>
  <c r="CS26" i="18" s="1"/>
  <c r="CS27" i="18" s="1"/>
  <c r="CS28" i="18" s="1"/>
  <c r="CR6" i="18"/>
  <c r="CR8" i="18" s="1"/>
  <c r="CR9" i="18" s="1"/>
  <c r="CR10" i="18" s="1"/>
  <c r="CR11" i="18" s="1"/>
  <c r="CR12" i="18" s="1"/>
  <c r="CR13" i="18" s="1"/>
  <c r="CR14" i="18" s="1"/>
  <c r="CR15" i="18" s="1"/>
  <c r="CR16" i="18" s="1"/>
  <c r="CR17" i="18" s="1"/>
  <c r="CR18" i="18" s="1"/>
  <c r="CR19" i="18" s="1"/>
  <c r="CR20" i="18" s="1"/>
  <c r="CR21" i="18" s="1"/>
  <c r="CR22" i="18" s="1"/>
  <c r="CR23" i="18" s="1"/>
  <c r="CR24" i="18" s="1"/>
  <c r="CR25" i="18" s="1"/>
  <c r="CR26" i="18" s="1"/>
  <c r="CR27" i="18" s="1"/>
  <c r="CR28" i="18" s="1"/>
  <c r="CQ6" i="18"/>
  <c r="CQ8" i="18" s="1"/>
  <c r="CQ9" i="18" s="1"/>
  <c r="CQ10" i="18" s="1"/>
  <c r="CQ11" i="18" s="1"/>
  <c r="CQ12" i="18" s="1"/>
  <c r="CQ13" i="18" s="1"/>
  <c r="CQ14" i="18" s="1"/>
  <c r="CQ15" i="18" s="1"/>
  <c r="CQ16" i="18" s="1"/>
  <c r="CQ17" i="18" s="1"/>
  <c r="CQ18" i="18" s="1"/>
  <c r="CQ19" i="18" s="1"/>
  <c r="CQ20" i="18" s="1"/>
  <c r="CQ21" i="18" s="1"/>
  <c r="CQ22" i="18" s="1"/>
  <c r="CQ23" i="18" s="1"/>
  <c r="CQ24" i="18" s="1"/>
  <c r="CQ25" i="18" s="1"/>
  <c r="CQ26" i="18" s="1"/>
  <c r="CQ27" i="18" s="1"/>
  <c r="CQ28" i="18" s="1"/>
  <c r="CP6" i="18"/>
  <c r="CP8" i="18" s="1"/>
  <c r="CP9" i="18" s="1"/>
  <c r="CP10" i="18" s="1"/>
  <c r="CP11" i="18" s="1"/>
  <c r="CP12" i="18" s="1"/>
  <c r="CP13" i="18" s="1"/>
  <c r="CP14" i="18" s="1"/>
  <c r="CP15" i="18" s="1"/>
  <c r="CP16" i="18" s="1"/>
  <c r="CP17" i="18" s="1"/>
  <c r="CP18" i="18" s="1"/>
  <c r="CP19" i="18" s="1"/>
  <c r="CP20" i="18" s="1"/>
  <c r="CP21" i="18" s="1"/>
  <c r="CP22" i="18" s="1"/>
  <c r="CP23" i="18" s="1"/>
  <c r="CP24" i="18" s="1"/>
  <c r="CP25" i="18" s="1"/>
  <c r="CP26" i="18" s="1"/>
  <c r="CP27" i="18" s="1"/>
  <c r="CP28" i="18" s="1"/>
  <c r="CO6" i="18"/>
  <c r="CO8" i="18" s="1"/>
  <c r="CO9" i="18" s="1"/>
  <c r="CO10" i="18" s="1"/>
  <c r="CO11" i="18" s="1"/>
  <c r="CO12" i="18" s="1"/>
  <c r="CO13" i="18" s="1"/>
  <c r="CO14" i="18" s="1"/>
  <c r="CO15" i="18" s="1"/>
  <c r="CO16" i="18" s="1"/>
  <c r="CO17" i="18" s="1"/>
  <c r="CO18" i="18" s="1"/>
  <c r="CO19" i="18" s="1"/>
  <c r="CO20" i="18" s="1"/>
  <c r="CO21" i="18" s="1"/>
  <c r="CO22" i="18" s="1"/>
  <c r="CO23" i="18" s="1"/>
  <c r="CO24" i="18" s="1"/>
  <c r="CO25" i="18" s="1"/>
  <c r="CO26" i="18" s="1"/>
  <c r="CO27" i="18" s="1"/>
  <c r="CO28" i="18" s="1"/>
  <c r="CN6" i="18"/>
  <c r="CN8" i="18" s="1"/>
  <c r="CN9" i="18" s="1"/>
  <c r="CN10" i="18" s="1"/>
  <c r="CN11" i="18" s="1"/>
  <c r="CN12" i="18" s="1"/>
  <c r="CN13" i="18" s="1"/>
  <c r="CN14" i="18" s="1"/>
  <c r="CN15" i="18" s="1"/>
  <c r="CN16" i="18" s="1"/>
  <c r="CN17" i="18" s="1"/>
  <c r="CN18" i="18" s="1"/>
  <c r="CN19" i="18" s="1"/>
  <c r="CN20" i="18" s="1"/>
  <c r="CN21" i="18" s="1"/>
  <c r="CN22" i="18" s="1"/>
  <c r="CN23" i="18" s="1"/>
  <c r="CN24" i="18" s="1"/>
  <c r="CN25" i="18" s="1"/>
  <c r="CN26" i="18" s="1"/>
  <c r="CN27" i="18" s="1"/>
  <c r="CN28" i="18" s="1"/>
  <c r="CM6" i="18"/>
  <c r="CM8" i="18" s="1"/>
  <c r="CM9" i="18" s="1"/>
  <c r="CM10" i="18" s="1"/>
  <c r="CM11" i="18" s="1"/>
  <c r="CM12" i="18" s="1"/>
  <c r="CM13" i="18" s="1"/>
  <c r="CM14" i="18" s="1"/>
  <c r="CM15" i="18" s="1"/>
  <c r="CM16" i="18" s="1"/>
  <c r="CM17" i="18" s="1"/>
  <c r="CM18" i="18" s="1"/>
  <c r="CM19" i="18" s="1"/>
  <c r="CM20" i="18" s="1"/>
  <c r="CM21" i="18" s="1"/>
  <c r="CM22" i="18" s="1"/>
  <c r="CM23" i="18" s="1"/>
  <c r="CM24" i="18" s="1"/>
  <c r="CM25" i="18" s="1"/>
  <c r="CM26" i="18" s="1"/>
  <c r="CM27" i="18" s="1"/>
  <c r="CM28" i="18" s="1"/>
  <c r="CL6" i="18"/>
  <c r="CL8" i="18" s="1"/>
  <c r="CL9" i="18" s="1"/>
  <c r="CL10" i="18" s="1"/>
  <c r="CL11" i="18" s="1"/>
  <c r="CL12" i="18" s="1"/>
  <c r="CL13" i="18" s="1"/>
  <c r="CL14" i="18" s="1"/>
  <c r="CL15" i="18" s="1"/>
  <c r="CL16" i="18" s="1"/>
  <c r="CL17" i="18" s="1"/>
  <c r="CL18" i="18" s="1"/>
  <c r="CL19" i="18" s="1"/>
  <c r="CL20" i="18" s="1"/>
  <c r="CL21" i="18" s="1"/>
  <c r="CL22" i="18" s="1"/>
  <c r="CL23" i="18" s="1"/>
  <c r="CL24" i="18" s="1"/>
  <c r="CL25" i="18" s="1"/>
  <c r="CL26" i="18" s="1"/>
  <c r="CL27" i="18" s="1"/>
  <c r="CL28" i="18" s="1"/>
  <c r="CK6" i="18"/>
  <c r="CK8" i="18" s="1"/>
  <c r="CK9" i="18" s="1"/>
  <c r="CK10" i="18" s="1"/>
  <c r="CK11" i="18" s="1"/>
  <c r="CK12" i="18" s="1"/>
  <c r="CK13" i="18" s="1"/>
  <c r="CK14" i="18" s="1"/>
  <c r="CK15" i="18" s="1"/>
  <c r="CK16" i="18" s="1"/>
  <c r="CK17" i="18" s="1"/>
  <c r="CK18" i="18" s="1"/>
  <c r="CK19" i="18" s="1"/>
  <c r="CK20" i="18" s="1"/>
  <c r="CK21" i="18" s="1"/>
  <c r="CK22" i="18" s="1"/>
  <c r="CK23" i="18" s="1"/>
  <c r="CK24" i="18" s="1"/>
  <c r="CK25" i="18" s="1"/>
  <c r="CK26" i="18" s="1"/>
  <c r="CK27" i="18" s="1"/>
  <c r="CK28" i="18" s="1"/>
  <c r="CJ6" i="18"/>
  <c r="CJ8" i="18" s="1"/>
  <c r="CJ9" i="18" s="1"/>
  <c r="CJ10" i="18" s="1"/>
  <c r="CJ11" i="18" s="1"/>
  <c r="CJ12" i="18" s="1"/>
  <c r="CJ13" i="18" s="1"/>
  <c r="CJ14" i="18" s="1"/>
  <c r="CJ15" i="18" s="1"/>
  <c r="CJ16" i="18" s="1"/>
  <c r="CJ17" i="18" s="1"/>
  <c r="CJ18" i="18" s="1"/>
  <c r="CJ19" i="18" s="1"/>
  <c r="CJ20" i="18" s="1"/>
  <c r="CJ21" i="18" s="1"/>
  <c r="CJ22" i="18" s="1"/>
  <c r="CJ23" i="18" s="1"/>
  <c r="CJ24" i="18" s="1"/>
  <c r="CJ25" i="18" s="1"/>
  <c r="CJ26" i="18" s="1"/>
  <c r="CJ27" i="18" s="1"/>
  <c r="CJ28" i="18" s="1"/>
  <c r="CI6" i="18"/>
  <c r="CI8" i="18" s="1"/>
  <c r="CI9" i="18" s="1"/>
  <c r="CI10" i="18" s="1"/>
  <c r="CI11" i="18" s="1"/>
  <c r="CI12" i="18" s="1"/>
  <c r="CI13" i="18" s="1"/>
  <c r="CI14" i="18" s="1"/>
  <c r="CI15" i="18" s="1"/>
  <c r="CI16" i="18" s="1"/>
  <c r="CI17" i="18" s="1"/>
  <c r="CI18" i="18" s="1"/>
  <c r="CI19" i="18" s="1"/>
  <c r="CI20" i="18" s="1"/>
  <c r="CI21" i="18" s="1"/>
  <c r="CI22" i="18" s="1"/>
  <c r="CI23" i="18" s="1"/>
  <c r="CI24" i="18" s="1"/>
  <c r="CI25" i="18" s="1"/>
  <c r="CI26" i="18" s="1"/>
  <c r="CI27" i="18" s="1"/>
  <c r="CI28" i="18" s="1"/>
  <c r="CH6" i="18"/>
  <c r="CH8" i="18" s="1"/>
  <c r="CH9" i="18" s="1"/>
  <c r="CH10" i="18" s="1"/>
  <c r="CH11" i="18" s="1"/>
  <c r="CH12" i="18" s="1"/>
  <c r="CH13" i="18" s="1"/>
  <c r="CH14" i="18" s="1"/>
  <c r="CH15" i="18" s="1"/>
  <c r="CH16" i="18" s="1"/>
  <c r="CH17" i="18" s="1"/>
  <c r="CH18" i="18" s="1"/>
  <c r="CH19" i="18" s="1"/>
  <c r="CH20" i="18" s="1"/>
  <c r="CH21" i="18" s="1"/>
  <c r="CH22" i="18" s="1"/>
  <c r="CH23" i="18" s="1"/>
  <c r="CH24" i="18" s="1"/>
  <c r="CH25" i="18" s="1"/>
  <c r="CH26" i="18" s="1"/>
  <c r="CH27" i="18" s="1"/>
  <c r="CH28" i="18" s="1"/>
  <c r="CG6" i="18"/>
  <c r="CG8" i="18" s="1"/>
  <c r="CG9" i="18" s="1"/>
  <c r="CG10" i="18" s="1"/>
  <c r="CG11" i="18" s="1"/>
  <c r="CG12" i="18" s="1"/>
  <c r="CG13" i="18" s="1"/>
  <c r="CG14" i="18" s="1"/>
  <c r="CG15" i="18" s="1"/>
  <c r="CG16" i="18" s="1"/>
  <c r="CG17" i="18" s="1"/>
  <c r="CG18" i="18" s="1"/>
  <c r="CG19" i="18" s="1"/>
  <c r="CG20" i="18" s="1"/>
  <c r="CG21" i="18" s="1"/>
  <c r="CG22" i="18" s="1"/>
  <c r="CG23" i="18" s="1"/>
  <c r="CG24" i="18" s="1"/>
  <c r="CG25" i="18" s="1"/>
  <c r="CG26" i="18" s="1"/>
  <c r="CG27" i="18" s="1"/>
  <c r="CG28" i="18" s="1"/>
  <c r="CF6" i="18"/>
  <c r="CD6" i="18"/>
  <c r="CE6" i="18"/>
  <c r="CE8" i="18" s="1"/>
  <c r="CE9" i="18" s="1"/>
  <c r="CE10" i="18" s="1"/>
  <c r="CE11" i="18" s="1"/>
  <c r="CE12" i="18" s="1"/>
  <c r="CE13" i="18" s="1"/>
  <c r="CE14" i="18" s="1"/>
  <c r="CE15" i="18" s="1"/>
  <c r="CE16" i="18" s="1"/>
  <c r="CE17" i="18" s="1"/>
  <c r="CE18" i="18" s="1"/>
  <c r="CE19" i="18" s="1"/>
  <c r="CE20" i="18" s="1"/>
  <c r="CE21" i="18" s="1"/>
  <c r="CE22" i="18" s="1"/>
  <c r="CE23" i="18" s="1"/>
  <c r="CE24" i="18" s="1"/>
  <c r="CE25" i="18" s="1"/>
  <c r="CE26" i="18" s="1"/>
  <c r="CE27" i="18" s="1"/>
  <c r="CE28" i="18" s="1"/>
  <c r="CA6" i="18"/>
  <c r="BZ6" i="18"/>
  <c r="CB6" i="18"/>
  <c r="C17" i="18"/>
  <c r="C16" i="18"/>
  <c r="G36" i="18" l="1"/>
  <c r="DM8" i="18"/>
  <c r="DM9" i="18" s="1"/>
  <c r="DM10" i="18" s="1"/>
  <c r="DM11" i="18" s="1"/>
  <c r="DM12" i="18" s="1"/>
  <c r="DM13" i="18" s="1"/>
  <c r="DM14" i="18" s="1"/>
  <c r="DM15" i="18" s="1"/>
  <c r="DM16" i="18" s="1"/>
  <c r="DM17" i="18" s="1"/>
  <c r="DM18" i="18" s="1"/>
  <c r="DM19" i="18" s="1"/>
  <c r="DM20" i="18" s="1"/>
  <c r="DM21" i="18" s="1"/>
  <c r="DM22" i="18" s="1"/>
  <c r="DM23" i="18" s="1"/>
  <c r="DM24" i="18" s="1"/>
  <c r="DM25" i="18" s="1"/>
  <c r="DM26" i="18" s="1"/>
  <c r="DM27" i="18" s="1"/>
  <c r="DM28" i="18" s="1"/>
  <c r="CD8" i="18"/>
  <c r="CD9" i="18" s="1"/>
  <c r="CD10" i="18" s="1"/>
  <c r="CD11" i="18" s="1"/>
  <c r="CD12" i="18" s="1"/>
  <c r="CD13" i="18" s="1"/>
  <c r="CD14" i="18" s="1"/>
  <c r="CD15" i="18" s="1"/>
  <c r="CD16" i="18" s="1"/>
  <c r="CD17" i="18" s="1"/>
  <c r="CD18" i="18" s="1"/>
  <c r="CD19" i="18" s="1"/>
  <c r="CD20" i="18" s="1"/>
  <c r="CD21" i="18" s="1"/>
  <c r="CD22" i="18" s="1"/>
  <c r="CD23" i="18" s="1"/>
  <c r="CD24" i="18" s="1"/>
  <c r="CD25" i="18" s="1"/>
  <c r="CD26" i="18" s="1"/>
  <c r="CD27" i="18" s="1"/>
  <c r="CD28" i="18" s="1"/>
  <c r="FU4" i="18"/>
  <c r="FT4" i="18"/>
  <c r="FS4" i="18"/>
  <c r="FR4" i="18"/>
  <c r="FP4" i="18"/>
  <c r="FQ4" i="18"/>
  <c r="FN4" i="18"/>
  <c r="H39" i="18" s="1"/>
  <c r="FM4" i="18"/>
  <c r="FL4" i="18"/>
  <c r="FK4" i="18"/>
  <c r="FJ4" i="18"/>
  <c r="FH4" i="18"/>
  <c r="H36" i="18" s="1"/>
  <c r="FG4" i="18"/>
  <c r="FF4" i="18"/>
  <c r="FD4" i="18"/>
  <c r="FE4" i="18"/>
  <c r="FC4" i="18"/>
  <c r="FB4" i="18"/>
  <c r="FA4" i="18"/>
  <c r="EZ4" i="18"/>
  <c r="EY4" i="18"/>
  <c r="EX4" i="18"/>
  <c r="EV4" i="18"/>
  <c r="G37" i="18" s="1"/>
  <c r="ER4" i="18"/>
  <c r="F42" i="18" s="1"/>
  <c r="EQ4" i="18"/>
  <c r="F41" i="18" s="1"/>
  <c r="EN4" i="18"/>
  <c r="EO4" i="18"/>
  <c r="EM4" i="18"/>
  <c r="EL4" i="18"/>
  <c r="EK4" i="18"/>
  <c r="EJ4" i="18"/>
  <c r="EI4" i="18"/>
  <c r="F37" i="18" s="1"/>
  <c r="EF4" i="18"/>
  <c r="F36" i="18" s="1"/>
  <c r="DN8" i="18"/>
  <c r="DN9" i="18" s="1"/>
  <c r="DN10" i="18" s="1"/>
  <c r="DN11" i="18" s="1"/>
  <c r="DN12" i="18" s="1"/>
  <c r="DN13" i="18" s="1"/>
  <c r="DN14" i="18" s="1"/>
  <c r="DN15" i="18" s="1"/>
  <c r="DN16" i="18" s="1"/>
  <c r="DN17" i="18" s="1"/>
  <c r="DN18" i="18" s="1"/>
  <c r="DN19" i="18" s="1"/>
  <c r="DN20" i="18" s="1"/>
  <c r="DN21" i="18" s="1"/>
  <c r="DN22" i="18" s="1"/>
  <c r="DN23" i="18" s="1"/>
  <c r="DN24" i="18" s="1"/>
  <c r="DN25" i="18" s="1"/>
  <c r="DN26" i="18" s="1"/>
  <c r="DN27" i="18" s="1"/>
  <c r="DN28" i="18" s="1"/>
  <c r="DR8" i="18"/>
  <c r="DR9" i="18" s="1"/>
  <c r="DR10" i="18" s="1"/>
  <c r="DR11" i="18" s="1"/>
  <c r="DR12" i="18" s="1"/>
  <c r="DR13" i="18" s="1"/>
  <c r="DR14" i="18" s="1"/>
  <c r="DR15" i="18" s="1"/>
  <c r="DR16" i="18" s="1"/>
  <c r="DR17" i="18" s="1"/>
  <c r="DR18" i="18" s="1"/>
  <c r="DR19" i="18" s="1"/>
  <c r="DR20" i="18" s="1"/>
  <c r="DR21" i="18" s="1"/>
  <c r="DR22" i="18" s="1"/>
  <c r="DR23" i="18" s="1"/>
  <c r="DR24" i="18" s="1"/>
  <c r="DR25" i="18" s="1"/>
  <c r="DR26" i="18" s="1"/>
  <c r="DR27" i="18" s="1"/>
  <c r="DR28" i="18" s="1"/>
  <c r="ED8" i="18"/>
  <c r="ED9" i="18" s="1"/>
  <c r="ED10" i="18" s="1"/>
  <c r="ED11" i="18" s="1"/>
  <c r="ED12" i="18" s="1"/>
  <c r="ED13" i="18" s="1"/>
  <c r="ED14" i="18" s="1"/>
  <c r="ED15" i="18" s="1"/>
  <c r="ED16" i="18" s="1"/>
  <c r="ED17" i="18" s="1"/>
  <c r="ED18" i="18" s="1"/>
  <c r="ED19" i="18" s="1"/>
  <c r="ED20" i="18" s="1"/>
  <c r="ED21" i="18" s="1"/>
  <c r="ED22" i="18" s="1"/>
  <c r="ED23" i="18" s="1"/>
  <c r="ED24" i="18" s="1"/>
  <c r="ED25" i="18" s="1"/>
  <c r="ED26" i="18" s="1"/>
  <c r="ED27" i="18" s="1"/>
  <c r="ED28" i="18" s="1"/>
  <c r="CF8" i="18"/>
  <c r="CF9" i="18" s="1"/>
  <c r="CF10" i="18" s="1"/>
  <c r="CF11" i="18" s="1"/>
  <c r="CF12" i="18" s="1"/>
  <c r="CF13" i="18" s="1"/>
  <c r="CF14" i="18" s="1"/>
  <c r="CF15" i="18" s="1"/>
  <c r="CF16" i="18" s="1"/>
  <c r="CF17" i="18" s="1"/>
  <c r="CF18" i="18" s="1"/>
  <c r="CF19" i="18" s="1"/>
  <c r="CF20" i="18" s="1"/>
  <c r="CF21" i="18" s="1"/>
  <c r="CF22" i="18" s="1"/>
  <c r="CF23" i="18" s="1"/>
  <c r="CF24" i="18" s="1"/>
  <c r="CF25" i="18" s="1"/>
  <c r="CF26" i="18" s="1"/>
  <c r="CF27" i="18" s="1"/>
  <c r="CF28" i="18" s="1"/>
  <c r="DL8" i="18"/>
  <c r="DL9" i="18" s="1"/>
  <c r="DL10" i="18" s="1"/>
  <c r="DL11" i="18" s="1"/>
  <c r="DL12" i="18" s="1"/>
  <c r="DL13" i="18" s="1"/>
  <c r="DL14" i="18" s="1"/>
  <c r="DL15" i="18" s="1"/>
  <c r="DL16" i="18" s="1"/>
  <c r="DL17" i="18" s="1"/>
  <c r="DL18" i="18" s="1"/>
  <c r="DL19" i="18" s="1"/>
  <c r="DL20" i="18" s="1"/>
  <c r="DL21" i="18" s="1"/>
  <c r="DL22" i="18" s="1"/>
  <c r="DL23" i="18" s="1"/>
  <c r="DL24" i="18" s="1"/>
  <c r="DL25" i="18" s="1"/>
  <c r="DL26" i="18" s="1"/>
  <c r="DL27" i="18" s="1"/>
  <c r="DL28" i="18" s="1"/>
  <c r="DZ8" i="18"/>
  <c r="DZ9" i="18" s="1"/>
  <c r="DZ10" i="18" s="1"/>
  <c r="DZ11" i="18" s="1"/>
  <c r="DZ12" i="18" s="1"/>
  <c r="DZ13" i="18" s="1"/>
  <c r="DZ14" i="18" s="1"/>
  <c r="DZ15" i="18" s="1"/>
  <c r="DZ16" i="18" s="1"/>
  <c r="DZ17" i="18" s="1"/>
  <c r="DZ18" i="18" s="1"/>
  <c r="DZ19" i="18" s="1"/>
  <c r="DZ20" i="18" s="1"/>
  <c r="DZ21" i="18" s="1"/>
  <c r="DZ22" i="18" s="1"/>
  <c r="DZ23" i="18" s="1"/>
  <c r="DZ24" i="18" s="1"/>
  <c r="DZ25" i="18" s="1"/>
  <c r="DZ26" i="18" s="1"/>
  <c r="DZ27" i="18" s="1"/>
  <c r="DZ28" i="18" s="1"/>
  <c r="EB8" i="18"/>
  <c r="EB9" i="18" s="1"/>
  <c r="EB10" i="18" s="1"/>
  <c r="EB11" i="18" s="1"/>
  <c r="EB12" i="18" s="1"/>
  <c r="EB13" i="18" s="1"/>
  <c r="EB14" i="18" s="1"/>
  <c r="EB15" i="18" s="1"/>
  <c r="EB16" i="18" s="1"/>
  <c r="EB17" i="18" s="1"/>
  <c r="EB18" i="18" s="1"/>
  <c r="EB19" i="18" s="1"/>
  <c r="EB20" i="18" s="1"/>
  <c r="EB21" i="18" s="1"/>
  <c r="EB22" i="18" s="1"/>
  <c r="EB23" i="18" s="1"/>
  <c r="EB24" i="18" s="1"/>
  <c r="EB25" i="18" s="1"/>
  <c r="EB26" i="18" s="1"/>
  <c r="EB27" i="18" s="1"/>
  <c r="EB28" i="18" s="1"/>
  <c r="DP8" i="18"/>
  <c r="DP9" i="18" s="1"/>
  <c r="DP10" i="18" s="1"/>
  <c r="DP11" i="18" s="1"/>
  <c r="DP12" i="18" s="1"/>
  <c r="DP13" i="18" s="1"/>
  <c r="DP14" i="18" s="1"/>
  <c r="DP15" i="18" s="1"/>
  <c r="DP16" i="18" s="1"/>
  <c r="DP17" i="18" s="1"/>
  <c r="DP18" i="18" s="1"/>
  <c r="DP19" i="18" s="1"/>
  <c r="DP20" i="18" s="1"/>
  <c r="DP21" i="18" s="1"/>
  <c r="DP22" i="18" s="1"/>
  <c r="DP23" i="18" s="1"/>
  <c r="DP24" i="18" s="1"/>
  <c r="DP25" i="18" s="1"/>
  <c r="DP26" i="18" s="1"/>
  <c r="DP27" i="18" s="1"/>
  <c r="DP28" i="18" s="1"/>
  <c r="DX8" i="18"/>
  <c r="DX9" i="18" s="1"/>
  <c r="DX10" i="18" s="1"/>
  <c r="DX11" i="18" s="1"/>
  <c r="DX12" i="18" s="1"/>
  <c r="DX13" i="18" s="1"/>
  <c r="DX14" i="18" s="1"/>
  <c r="DX15" i="18" s="1"/>
  <c r="DX16" i="18" s="1"/>
  <c r="DX17" i="18" s="1"/>
  <c r="DX18" i="18" s="1"/>
  <c r="DX19" i="18" s="1"/>
  <c r="DX20" i="18" s="1"/>
  <c r="DX21" i="18" s="1"/>
  <c r="DX22" i="18" s="1"/>
  <c r="DX23" i="18" s="1"/>
  <c r="DX24" i="18" s="1"/>
  <c r="DX25" i="18" s="1"/>
  <c r="DX26" i="18" s="1"/>
  <c r="DX27" i="18" s="1"/>
  <c r="DX28" i="18" s="1"/>
  <c r="DJ4" i="18"/>
  <c r="DB4" i="18"/>
  <c r="CS4" i="18"/>
  <c r="CQ4" i="18"/>
  <c r="CM4" i="18"/>
  <c r="CB8" i="18"/>
  <c r="CB9" i="18" s="1"/>
  <c r="CB10" i="18" s="1"/>
  <c r="CB11" i="18" s="1"/>
  <c r="CB12" i="18" s="1"/>
  <c r="CB13" i="18" s="1"/>
  <c r="CB14" i="18" s="1"/>
  <c r="CB15" i="18" s="1"/>
  <c r="CB16" i="18" s="1"/>
  <c r="CB17" i="18" s="1"/>
  <c r="BZ8" i="18"/>
  <c r="F39" i="18" l="1"/>
  <c r="H38" i="18"/>
  <c r="H40" i="18"/>
  <c r="F38" i="18"/>
  <c r="G41" i="18"/>
  <c r="H37" i="18"/>
  <c r="G39" i="18"/>
  <c r="H41" i="18"/>
  <c r="F40" i="18"/>
  <c r="G38" i="18"/>
  <c r="G40" i="18"/>
  <c r="G42" i="18"/>
  <c r="H42" i="18"/>
  <c r="BZ9" i="18"/>
  <c r="BZ10" i="18" s="1"/>
  <c r="BZ11" i="18" s="1"/>
  <c r="BZ12" i="18" s="1"/>
  <c r="BZ13" i="18" s="1"/>
  <c r="BZ14" i="18" s="1"/>
  <c r="BZ15" i="18" s="1"/>
  <c r="BZ16" i="18" s="1"/>
  <c r="BZ17" i="18" s="1"/>
  <c r="BZ18" i="18" s="1"/>
  <c r="BZ19" i="18" s="1"/>
  <c r="BZ20" i="18" s="1"/>
  <c r="BZ21" i="18" s="1"/>
  <c r="BZ22" i="18" s="1"/>
  <c r="BZ23" i="18" s="1"/>
  <c r="BZ24" i="18" s="1"/>
  <c r="BZ25" i="18" s="1"/>
  <c r="BZ26" i="18" s="1"/>
  <c r="BZ27" i="18" s="1"/>
  <c r="BZ28" i="18" s="1"/>
  <c r="CB18" i="18"/>
  <c r="EE4" i="18"/>
  <c r="ED4" i="18"/>
  <c r="EB4" i="18"/>
  <c r="EC4" i="18"/>
  <c r="DZ4" i="18"/>
  <c r="EA4" i="18"/>
  <c r="DY4" i="18"/>
  <c r="DX4" i="18"/>
  <c r="DW4" i="18"/>
  <c r="DV4" i="18"/>
  <c r="DT4" i="18"/>
  <c r="DU4" i="18"/>
  <c r="DR4" i="18"/>
  <c r="DS4" i="18"/>
  <c r="DQ4" i="18"/>
  <c r="DP4" i="18"/>
  <c r="DN4" i="18"/>
  <c r="DO4" i="18"/>
  <c r="DM4" i="18"/>
  <c r="DL4" i="18"/>
  <c r="DK4" i="18"/>
  <c r="D39" i="18" s="1"/>
  <c r="DH4" i="18"/>
  <c r="DI4" i="18"/>
  <c r="DG4" i="18"/>
  <c r="DF4" i="18"/>
  <c r="DD4" i="18"/>
  <c r="DE4" i="18"/>
  <c r="DC4" i="18"/>
  <c r="O40" i="18" s="1"/>
  <c r="DA4" i="18"/>
  <c r="CZ4" i="18"/>
  <c r="CX4" i="18"/>
  <c r="CY4" i="18"/>
  <c r="CW4" i="18"/>
  <c r="CV4" i="18"/>
  <c r="CU4" i="18"/>
  <c r="CT4" i="18"/>
  <c r="CR4" i="18"/>
  <c r="N40" i="18" s="1"/>
  <c r="CP4" i="18"/>
  <c r="N39" i="18" s="1"/>
  <c r="CO4" i="18"/>
  <c r="CN4" i="18"/>
  <c r="CL4" i="18"/>
  <c r="N37" i="18" s="1"/>
  <c r="CK4" i="18"/>
  <c r="CJ4" i="18"/>
  <c r="CH4" i="18"/>
  <c r="CI4" i="18"/>
  <c r="CG4" i="18"/>
  <c r="CF4" i="18"/>
  <c r="CE4" i="18"/>
  <c r="CD4" i="18"/>
  <c r="M39" i="18" l="1"/>
  <c r="O37" i="18"/>
  <c r="O39" i="18"/>
  <c r="E38" i="18"/>
  <c r="E42" i="18"/>
  <c r="N36" i="18"/>
  <c r="O38" i="18"/>
  <c r="E37" i="18"/>
  <c r="E41" i="18"/>
  <c r="M38" i="18"/>
  <c r="D37" i="18"/>
  <c r="D38" i="18"/>
  <c r="D41" i="18"/>
  <c r="E36" i="18"/>
  <c r="E40" i="18"/>
  <c r="M40" i="18"/>
  <c r="N38" i="18"/>
  <c r="O36" i="18"/>
  <c r="D40" i="18"/>
  <c r="D42" i="18"/>
  <c r="E39" i="18"/>
  <c r="D36" i="18"/>
  <c r="CB19" i="18"/>
  <c r="CB20" i="18" s="1"/>
  <c r="CB21" i="18" s="1"/>
  <c r="CB22" i="18" s="1"/>
  <c r="CB23" i="18" s="1"/>
  <c r="CB24" i="18" s="1"/>
  <c r="CB25" i="18" s="1"/>
  <c r="CB26" i="18" s="1"/>
  <c r="CB27" i="18" s="1"/>
  <c r="CB28" i="18" s="1"/>
  <c r="BZ4" i="18"/>
  <c r="AB4" i="18"/>
  <c r="CB4" i="18" l="1"/>
  <c r="E68" i="18" l="1"/>
  <c r="L7" i="18"/>
  <c r="Z4" i="18" l="1"/>
  <c r="AA4" i="18"/>
  <c r="AC4" i="18"/>
  <c r="AD4" i="18"/>
  <c r="AE4" i="18"/>
  <c r="AF4" i="18"/>
  <c r="AG4" i="18"/>
  <c r="AH4" i="18"/>
  <c r="AI4" i="18"/>
  <c r="AJ4" i="18"/>
  <c r="AK4" i="18"/>
  <c r="AL4" i="18"/>
  <c r="AM4" i="18"/>
  <c r="AN4" i="18"/>
  <c r="AO4" i="18"/>
  <c r="AP4" i="18"/>
  <c r="AQ4" i="18"/>
  <c r="AR4" i="18"/>
  <c r="AS4" i="18"/>
  <c r="AT4" i="18"/>
  <c r="AU4" i="18"/>
  <c r="AV4" i="18"/>
  <c r="AW4" i="18"/>
  <c r="AX4" i="18"/>
  <c r="AY4" i="18"/>
  <c r="AZ4" i="18"/>
  <c r="BA4" i="18"/>
  <c r="BB4" i="18"/>
  <c r="BC4" i="18"/>
  <c r="BD4" i="18"/>
  <c r="BE4" i="18"/>
  <c r="BF4" i="18"/>
  <c r="BG4" i="18"/>
  <c r="BH4" i="18"/>
  <c r="BI4" i="18"/>
  <c r="BJ4" i="18"/>
  <c r="BK4" i="18"/>
  <c r="BL4" i="18"/>
  <c r="BM4" i="18"/>
  <c r="BN4" i="18"/>
  <c r="BO4" i="18"/>
  <c r="BP4" i="18"/>
  <c r="BQ4" i="18"/>
  <c r="BR4" i="18"/>
  <c r="BS4" i="18"/>
  <c r="BT4" i="18"/>
  <c r="BU4" i="18"/>
  <c r="BV4" i="18"/>
  <c r="BW4" i="18"/>
  <c r="J20" i="18"/>
  <c r="J16" i="18"/>
  <c r="J12" i="18"/>
  <c r="J8" i="18"/>
  <c r="AB3" i="19"/>
  <c r="AC3" i="19"/>
  <c r="AB4" i="19"/>
  <c r="AC4" i="19"/>
  <c r="AB5" i="19"/>
  <c r="AC5" i="19"/>
  <c r="AB6" i="19"/>
  <c r="AC6" i="19"/>
  <c r="AB7" i="19"/>
  <c r="AC7" i="19"/>
  <c r="AB8" i="19"/>
  <c r="AC8" i="19"/>
  <c r="AB9" i="19"/>
  <c r="AC9" i="19"/>
  <c r="AB10" i="19"/>
  <c r="AC10" i="19"/>
  <c r="AB11" i="19"/>
  <c r="AC11" i="19"/>
  <c r="AB12" i="19"/>
  <c r="AC12" i="19"/>
  <c r="AB13" i="19"/>
  <c r="AC13" i="19"/>
  <c r="AB14" i="19"/>
  <c r="AC14" i="19"/>
  <c r="AB15" i="19"/>
  <c r="AC15" i="19"/>
  <c r="AB16" i="19"/>
  <c r="AC16" i="19"/>
  <c r="AB17" i="19"/>
  <c r="AC17" i="19"/>
  <c r="AB18" i="19"/>
  <c r="AC18" i="19"/>
  <c r="AB19" i="19"/>
  <c r="AC19" i="19"/>
  <c r="AB20" i="19"/>
  <c r="AC20" i="19"/>
  <c r="AB21" i="19"/>
  <c r="AC21" i="19"/>
  <c r="AB22" i="19"/>
  <c r="AC22" i="19"/>
  <c r="AB23" i="19"/>
  <c r="AC23" i="19"/>
  <c r="AB24" i="19"/>
  <c r="AC24" i="19"/>
  <c r="AB25" i="19"/>
  <c r="AC25" i="19"/>
  <c r="AB26" i="19"/>
  <c r="AC26" i="19"/>
  <c r="AB27" i="19"/>
  <c r="AC27" i="19"/>
  <c r="AB28" i="19"/>
  <c r="AC28" i="19"/>
  <c r="AB29" i="19"/>
  <c r="AC29" i="19"/>
  <c r="AB30" i="19"/>
  <c r="AC30" i="19"/>
  <c r="AB31" i="19"/>
  <c r="AC31" i="19"/>
  <c r="AB32" i="19"/>
  <c r="AC32" i="19"/>
  <c r="AB33" i="19"/>
  <c r="AC33" i="19"/>
  <c r="AB34" i="19"/>
  <c r="AC34" i="19"/>
  <c r="AB35" i="19"/>
  <c r="AC35" i="19"/>
  <c r="AB36" i="19"/>
  <c r="AC36" i="19"/>
  <c r="AB37" i="19"/>
  <c r="AC37" i="19"/>
  <c r="AB38" i="19"/>
  <c r="AC38" i="19"/>
  <c r="AB39" i="19"/>
  <c r="AC39" i="19"/>
  <c r="AB40" i="19"/>
  <c r="AC40" i="19"/>
  <c r="AB41" i="19"/>
  <c r="AC41" i="19"/>
  <c r="AB42" i="19"/>
  <c r="AC42" i="19"/>
  <c r="AB43" i="19"/>
  <c r="AC43" i="19"/>
  <c r="AB44" i="19"/>
  <c r="AC44" i="19"/>
  <c r="AB45" i="19"/>
  <c r="AC45" i="19"/>
  <c r="AB46" i="19"/>
  <c r="AC46" i="19"/>
  <c r="AB47" i="19"/>
  <c r="AC47" i="19"/>
  <c r="AB48" i="19"/>
  <c r="AC48" i="19"/>
  <c r="AB49" i="19"/>
  <c r="AC49" i="19"/>
  <c r="AB50" i="19"/>
  <c r="AC50" i="19"/>
  <c r="AB51" i="19"/>
  <c r="AC51" i="19"/>
  <c r="AB52" i="19"/>
  <c r="AC52" i="19"/>
  <c r="AB53" i="19"/>
  <c r="AC53" i="19"/>
  <c r="AB54" i="19"/>
  <c r="AC54" i="19"/>
  <c r="AB55" i="19"/>
  <c r="AC55" i="19"/>
  <c r="AB56" i="19"/>
  <c r="AC56" i="19"/>
  <c r="AB57" i="19"/>
  <c r="AC57" i="19"/>
  <c r="AB58" i="19"/>
  <c r="AC58" i="19"/>
  <c r="AB59" i="19"/>
  <c r="AC59" i="19"/>
  <c r="AB60" i="19"/>
  <c r="AC60" i="19"/>
  <c r="AB61" i="19"/>
  <c r="AC61" i="19"/>
  <c r="AB62" i="19"/>
  <c r="AC62" i="19"/>
  <c r="AB63" i="19"/>
  <c r="AC63" i="19"/>
  <c r="AB64" i="19"/>
  <c r="AC64" i="19"/>
  <c r="AB65" i="19"/>
  <c r="AC65" i="19"/>
  <c r="AB66" i="19"/>
  <c r="AC66" i="19"/>
  <c r="AB67" i="19"/>
  <c r="AC67" i="19"/>
  <c r="AB68" i="19"/>
  <c r="AC68" i="19"/>
  <c r="AB69" i="19"/>
  <c r="AC69" i="19"/>
  <c r="AB70" i="19"/>
  <c r="AC70" i="19"/>
  <c r="AB71" i="19"/>
  <c r="AC71" i="19"/>
  <c r="AB72" i="19"/>
  <c r="AC72" i="19"/>
  <c r="AB73" i="19"/>
  <c r="AC73" i="19"/>
  <c r="AB74" i="19"/>
  <c r="AC74" i="19"/>
  <c r="AB75" i="19"/>
  <c r="AC75" i="19"/>
  <c r="AB76" i="19"/>
  <c r="AC76" i="19"/>
  <c r="AB77" i="19"/>
  <c r="AC77" i="19"/>
  <c r="AB78" i="19"/>
  <c r="AC78" i="19"/>
  <c r="AB79" i="19"/>
  <c r="AC79" i="19"/>
  <c r="AB80" i="19"/>
  <c r="AC80" i="19"/>
  <c r="AB81" i="19"/>
  <c r="AC81" i="19"/>
  <c r="AB82" i="19"/>
  <c r="AC82" i="19"/>
  <c r="AB83" i="19"/>
  <c r="AC83" i="19"/>
  <c r="AB84" i="19"/>
  <c r="AC84" i="19"/>
  <c r="AB85" i="19"/>
  <c r="AC85" i="19"/>
  <c r="AB86" i="19"/>
  <c r="AC86" i="19"/>
  <c r="AB87" i="19"/>
  <c r="AC87" i="19"/>
  <c r="AB88" i="19"/>
  <c r="AC88" i="19"/>
  <c r="AB89" i="19"/>
  <c r="AC89" i="19"/>
  <c r="AB90" i="19"/>
  <c r="AC90" i="19"/>
  <c r="AB91" i="19"/>
  <c r="AC91" i="19"/>
  <c r="AB92" i="19"/>
  <c r="AC92" i="19"/>
  <c r="AB93" i="19"/>
  <c r="AC93" i="19"/>
  <c r="AB94" i="19"/>
  <c r="AC94" i="19"/>
  <c r="AB95" i="19"/>
  <c r="AC95" i="19"/>
  <c r="AB96" i="19"/>
  <c r="AC96" i="19"/>
  <c r="AB97" i="19"/>
  <c r="AC97" i="19"/>
  <c r="AB98" i="19"/>
  <c r="AC98" i="19"/>
  <c r="AB99" i="19"/>
  <c r="AC99" i="19"/>
  <c r="AB100" i="19"/>
  <c r="AC100" i="19"/>
  <c r="AB101" i="19"/>
  <c r="AC101" i="19"/>
  <c r="AB102" i="19"/>
  <c r="AC102" i="19"/>
  <c r="AB103" i="19"/>
  <c r="AC103" i="19"/>
  <c r="AB104" i="19"/>
  <c r="AC104" i="19"/>
  <c r="AB105" i="19"/>
  <c r="AC105" i="19"/>
  <c r="AB106" i="19"/>
  <c r="AC106" i="19"/>
  <c r="AB107" i="19"/>
  <c r="AC107" i="19"/>
  <c r="AB108" i="19"/>
  <c r="AC108" i="19"/>
  <c r="AB109" i="19"/>
  <c r="AC109" i="19"/>
  <c r="AB110" i="19"/>
  <c r="AC110" i="19"/>
  <c r="AB111" i="19"/>
  <c r="AC111" i="19"/>
  <c r="AB112" i="19"/>
  <c r="AC112" i="19"/>
  <c r="AB113" i="19"/>
  <c r="AC113" i="19"/>
  <c r="AB114" i="19"/>
  <c r="AC114" i="19"/>
  <c r="AB115" i="19"/>
  <c r="AC115" i="19"/>
  <c r="AB116" i="19"/>
  <c r="AC116" i="19"/>
  <c r="AB117" i="19"/>
  <c r="AC117" i="19"/>
  <c r="AB118" i="19"/>
  <c r="AC118" i="19"/>
  <c r="AB119" i="19"/>
  <c r="AC119" i="19"/>
  <c r="AB120" i="19"/>
  <c r="AC120" i="19"/>
  <c r="AB121" i="19"/>
  <c r="AC121" i="19"/>
  <c r="AB122" i="19"/>
  <c r="AC122" i="19"/>
  <c r="AB123" i="19"/>
  <c r="AC123" i="19"/>
  <c r="AB124" i="19"/>
  <c r="AC124" i="19"/>
  <c r="AB125" i="19"/>
  <c r="AC125" i="19"/>
  <c r="AB126" i="19"/>
  <c r="AC126" i="19"/>
  <c r="AB127" i="19"/>
  <c r="AC127" i="19"/>
  <c r="AB128" i="19"/>
  <c r="AC128" i="19"/>
  <c r="AB129" i="19"/>
  <c r="AC129" i="19"/>
  <c r="AB130" i="19"/>
  <c r="AC130" i="19"/>
  <c r="AB131" i="19"/>
  <c r="AC131" i="19"/>
  <c r="AB132" i="19"/>
  <c r="AC132" i="19"/>
  <c r="AB133" i="19"/>
  <c r="AC133" i="19"/>
  <c r="AB134" i="19"/>
  <c r="AC134" i="19"/>
  <c r="AB135" i="19"/>
  <c r="AC135" i="19"/>
  <c r="AB136" i="19"/>
  <c r="AC136" i="19"/>
  <c r="AB137" i="19"/>
  <c r="AC137" i="19"/>
  <c r="AB138" i="19"/>
  <c r="AC138" i="19"/>
  <c r="AB139" i="19"/>
  <c r="AC139" i="19"/>
  <c r="AB140" i="19"/>
  <c r="AC140" i="19"/>
  <c r="AB141" i="19"/>
  <c r="AC141" i="19"/>
  <c r="AB142" i="19"/>
  <c r="AC142" i="19"/>
  <c r="AB143" i="19"/>
  <c r="AC143" i="19"/>
  <c r="AB144" i="19"/>
  <c r="AC144" i="19"/>
  <c r="AB145" i="19"/>
  <c r="AC145" i="19"/>
  <c r="AB146" i="19"/>
  <c r="AC146" i="19"/>
  <c r="AB147" i="19"/>
  <c r="AC147" i="19"/>
  <c r="AB148" i="19"/>
  <c r="AC148" i="19"/>
  <c r="AB149" i="19"/>
  <c r="AC149" i="19"/>
  <c r="AB150" i="19"/>
  <c r="AC150" i="19"/>
  <c r="AB151" i="19"/>
  <c r="AC151" i="19"/>
  <c r="AB152" i="19"/>
  <c r="AC152" i="19"/>
  <c r="AB153" i="19"/>
  <c r="AC153" i="19"/>
  <c r="AB154" i="19"/>
  <c r="AC154" i="19"/>
  <c r="AB155" i="19"/>
  <c r="AC155" i="19"/>
  <c r="AB156" i="19"/>
  <c r="AC156" i="19"/>
  <c r="AB157" i="19"/>
  <c r="AC157" i="19"/>
  <c r="AB158" i="19"/>
  <c r="AC158" i="19"/>
  <c r="AB159" i="19"/>
  <c r="AC159" i="19"/>
  <c r="AB160" i="19"/>
  <c r="AC160" i="19"/>
  <c r="AB161" i="19"/>
  <c r="AC161" i="19"/>
  <c r="AB162" i="19"/>
  <c r="AC162" i="19"/>
  <c r="AB163" i="19"/>
  <c r="AC163" i="19"/>
  <c r="AB164" i="19"/>
  <c r="AC164" i="19"/>
  <c r="AB165" i="19"/>
  <c r="AC165" i="19"/>
  <c r="AB166" i="19"/>
  <c r="AC166" i="19"/>
  <c r="AB167" i="19"/>
  <c r="AC167" i="19"/>
  <c r="AB168" i="19"/>
  <c r="AC168" i="19"/>
  <c r="AB169" i="19"/>
  <c r="AC169" i="19"/>
  <c r="AB170" i="19"/>
  <c r="AC170" i="19"/>
  <c r="AB171" i="19"/>
  <c r="AC171" i="19"/>
  <c r="AB172" i="19"/>
  <c r="AC172" i="19"/>
  <c r="AB173" i="19"/>
  <c r="AC173" i="19"/>
  <c r="AB174" i="19"/>
  <c r="AC174" i="19"/>
  <c r="AB175" i="19"/>
  <c r="AC175" i="19"/>
  <c r="AB176" i="19"/>
  <c r="AC176" i="19"/>
  <c r="AB177" i="19"/>
  <c r="AC177" i="19"/>
  <c r="AB178" i="19"/>
  <c r="AC178" i="19"/>
  <c r="AB179" i="19"/>
  <c r="AC179" i="19"/>
  <c r="AB180" i="19"/>
  <c r="AC180" i="19"/>
  <c r="AB181" i="19"/>
  <c r="AC181" i="19"/>
  <c r="AB182" i="19"/>
  <c r="AC182" i="19"/>
  <c r="AB183" i="19"/>
  <c r="AC183" i="19"/>
  <c r="AB184" i="19"/>
  <c r="AC184" i="19"/>
  <c r="AB185" i="19"/>
  <c r="AC185" i="19"/>
  <c r="AB186" i="19"/>
  <c r="AC186" i="19"/>
  <c r="AB187" i="19"/>
  <c r="AC187" i="19"/>
  <c r="AB188" i="19"/>
  <c r="AC188" i="19"/>
  <c r="AB189" i="19"/>
  <c r="AC189" i="19"/>
  <c r="AB190" i="19"/>
  <c r="AC190" i="19"/>
  <c r="AB191" i="19"/>
  <c r="AC191" i="19"/>
  <c r="AB192" i="19"/>
  <c r="AC192" i="19"/>
  <c r="AB193" i="19"/>
  <c r="AC193" i="19"/>
  <c r="AB194" i="19"/>
  <c r="AC194" i="19"/>
  <c r="AB195" i="19"/>
  <c r="AC195" i="19"/>
  <c r="AB196" i="19"/>
  <c r="AC196" i="19"/>
  <c r="AB197" i="19"/>
  <c r="AC197" i="19"/>
  <c r="AB198" i="19"/>
  <c r="AC198" i="19"/>
  <c r="AB199" i="19"/>
  <c r="AC199" i="19"/>
  <c r="AB200" i="19"/>
  <c r="AC200" i="19"/>
  <c r="AB201" i="19"/>
  <c r="AC201" i="19"/>
  <c r="AB202" i="19"/>
  <c r="AC202" i="19"/>
  <c r="AB203" i="19"/>
  <c r="AC203" i="19"/>
  <c r="AB204" i="19"/>
  <c r="AC204" i="19"/>
  <c r="AB205" i="19"/>
  <c r="AC205" i="19"/>
  <c r="AB206" i="19"/>
  <c r="AC206" i="19"/>
  <c r="AB207" i="19"/>
  <c r="AC207" i="19"/>
  <c r="AB208" i="19"/>
  <c r="AC208" i="19"/>
  <c r="AB209" i="19"/>
  <c r="AC209" i="19"/>
  <c r="AB210" i="19"/>
  <c r="AC210" i="19"/>
  <c r="AB211" i="19"/>
  <c r="AC211" i="19"/>
  <c r="AC2" i="19"/>
  <c r="AB2" i="19"/>
  <c r="L11" i="18" l="1"/>
  <c r="L10" i="18"/>
  <c r="BX4" i="18" l="1"/>
  <c r="S3" i="25"/>
  <c r="T3" i="25" s="1"/>
  <c r="S4" i="25"/>
  <c r="T4" i="25" s="1"/>
  <c r="S5" i="25"/>
  <c r="T5" i="25" s="1"/>
  <c r="S6" i="25"/>
  <c r="T6" i="25" s="1"/>
  <c r="S7" i="25"/>
  <c r="T7" i="25" s="1"/>
  <c r="S8" i="25"/>
  <c r="T8" i="25" s="1"/>
  <c r="S9" i="25"/>
  <c r="T9" i="25" s="1"/>
  <c r="S10" i="25"/>
  <c r="T10" i="25" s="1"/>
  <c r="S11" i="25"/>
  <c r="T11" i="25" s="1"/>
  <c r="S12" i="25"/>
  <c r="T12" i="25" s="1"/>
  <c r="S13" i="25"/>
  <c r="T13" i="25" s="1"/>
  <c r="S14" i="25"/>
  <c r="T14" i="25" s="1"/>
  <c r="S15" i="25"/>
  <c r="T15" i="25" s="1"/>
  <c r="S16" i="25"/>
  <c r="T16" i="25" s="1"/>
  <c r="S17" i="25"/>
  <c r="T17" i="25" s="1"/>
  <c r="S18" i="25"/>
  <c r="T18" i="25" s="1"/>
  <c r="S19" i="25"/>
  <c r="T19" i="25" s="1"/>
  <c r="S20" i="25"/>
  <c r="S21" i="25"/>
  <c r="S22" i="25"/>
  <c r="T22" i="25" s="1"/>
  <c r="S2" i="25"/>
  <c r="L2" i="22"/>
  <c r="K2" i="22"/>
  <c r="T2" i="25" l="1"/>
  <c r="Y8" i="25"/>
  <c r="X8" i="25"/>
  <c r="W8" i="25"/>
  <c r="T21" i="25"/>
  <c r="Y9" i="25"/>
  <c r="X9" i="25"/>
  <c r="W9" i="25"/>
  <c r="T20" i="25"/>
  <c r="Y7" i="25"/>
  <c r="X7" i="25"/>
  <c r="W7" i="25"/>
  <c r="V2" i="25"/>
  <c r="W2" i="25"/>
  <c r="K150" i="22" l="1"/>
  <c r="L150" i="22"/>
  <c r="M150" i="22"/>
  <c r="K151" i="22"/>
  <c r="L151" i="22"/>
  <c r="M151" i="22"/>
  <c r="K152" i="22"/>
  <c r="L152" i="22"/>
  <c r="M152" i="22"/>
  <c r="K153" i="22"/>
  <c r="L153" i="22"/>
  <c r="M153" i="22"/>
  <c r="K154" i="22"/>
  <c r="L154" i="22"/>
  <c r="M154" i="22"/>
  <c r="K155" i="22"/>
  <c r="L155" i="22"/>
  <c r="M155" i="22"/>
  <c r="K156" i="22"/>
  <c r="L156" i="22"/>
  <c r="M156" i="22"/>
  <c r="K157" i="22"/>
  <c r="L157" i="22"/>
  <c r="M157" i="22"/>
  <c r="K158" i="22"/>
  <c r="L158" i="22"/>
  <c r="M158" i="22"/>
  <c r="K159" i="22"/>
  <c r="L159" i="22"/>
  <c r="M159" i="22"/>
  <c r="K160" i="22"/>
  <c r="L160" i="22"/>
  <c r="M160" i="22"/>
  <c r="K161" i="22"/>
  <c r="L161" i="22"/>
  <c r="M161" i="22"/>
  <c r="K162" i="22"/>
  <c r="L162" i="22"/>
  <c r="M162" i="22"/>
  <c r="K163" i="22"/>
  <c r="L163" i="22"/>
  <c r="M163" i="22"/>
  <c r="K164" i="22"/>
  <c r="L164" i="22"/>
  <c r="M164" i="22"/>
  <c r="K165" i="22"/>
  <c r="L165" i="22"/>
  <c r="M165" i="22"/>
  <c r="K166" i="22"/>
  <c r="L166" i="22"/>
  <c r="M166" i="22"/>
  <c r="K167" i="22"/>
  <c r="L167" i="22"/>
  <c r="M167" i="22"/>
  <c r="K168" i="22"/>
  <c r="L168" i="22"/>
  <c r="M168" i="22"/>
  <c r="K169" i="22"/>
  <c r="L169" i="22"/>
  <c r="M169" i="22"/>
  <c r="K170" i="22"/>
  <c r="L170" i="22"/>
  <c r="M170" i="22"/>
  <c r="K171" i="22"/>
  <c r="L171" i="22"/>
  <c r="M171" i="22"/>
  <c r="K172" i="22"/>
  <c r="L172" i="22"/>
  <c r="M172" i="22"/>
  <c r="K173" i="22"/>
  <c r="L173" i="22"/>
  <c r="M173" i="22"/>
  <c r="K174" i="22"/>
  <c r="L174" i="22"/>
  <c r="M174" i="22"/>
  <c r="K175" i="22"/>
  <c r="L175" i="22"/>
  <c r="M175" i="22"/>
  <c r="K176" i="22"/>
  <c r="L176" i="22"/>
  <c r="M176" i="22"/>
  <c r="K177" i="22"/>
  <c r="L177" i="22"/>
  <c r="M177" i="22"/>
  <c r="K178" i="22"/>
  <c r="L178" i="22"/>
  <c r="M178" i="22"/>
  <c r="K179" i="22"/>
  <c r="L179" i="22"/>
  <c r="M179" i="22"/>
  <c r="K180" i="22"/>
  <c r="L180" i="22"/>
  <c r="M180" i="22"/>
  <c r="K181" i="22"/>
  <c r="L181" i="22"/>
  <c r="M181" i="22"/>
  <c r="K182" i="22"/>
  <c r="L182" i="22"/>
  <c r="M182" i="22"/>
  <c r="K183" i="22"/>
  <c r="L183" i="22"/>
  <c r="M183" i="22"/>
  <c r="K184" i="22"/>
  <c r="L184" i="22"/>
  <c r="M184" i="22"/>
  <c r="K185" i="22"/>
  <c r="L185" i="22"/>
  <c r="M185" i="22"/>
  <c r="K186" i="22"/>
  <c r="L186" i="22"/>
  <c r="M186" i="22"/>
  <c r="K187" i="22"/>
  <c r="L187" i="22"/>
  <c r="M187" i="22"/>
  <c r="K188" i="22"/>
  <c r="L188" i="22"/>
  <c r="M188" i="22"/>
  <c r="K189" i="22"/>
  <c r="L189" i="22"/>
  <c r="M189" i="22"/>
  <c r="K190" i="22"/>
  <c r="L190" i="22"/>
  <c r="M190" i="22"/>
  <c r="K191" i="22"/>
  <c r="L191" i="22"/>
  <c r="M191" i="22"/>
  <c r="K192" i="22"/>
  <c r="L192" i="22"/>
  <c r="M192" i="22"/>
  <c r="K193" i="22"/>
  <c r="L193" i="22"/>
  <c r="M193" i="22"/>
  <c r="K194" i="22"/>
  <c r="L194" i="22"/>
  <c r="M194" i="22"/>
  <c r="K195" i="22"/>
  <c r="L195" i="22"/>
  <c r="M195" i="22"/>
  <c r="K196" i="22"/>
  <c r="L196" i="22"/>
  <c r="M196" i="22"/>
  <c r="K197" i="22"/>
  <c r="L197" i="22"/>
  <c r="M197" i="22"/>
  <c r="K198" i="22"/>
  <c r="L198" i="22"/>
  <c r="M198" i="22"/>
  <c r="K199" i="22"/>
  <c r="L199" i="22"/>
  <c r="M199" i="22"/>
  <c r="K200" i="22"/>
  <c r="L200" i="22"/>
  <c r="M200" i="22"/>
  <c r="K201" i="22"/>
  <c r="L201" i="22"/>
  <c r="M201" i="22"/>
  <c r="K202" i="22"/>
  <c r="L202" i="22"/>
  <c r="M202" i="22"/>
  <c r="K203" i="22"/>
  <c r="L203" i="22"/>
  <c r="M203" i="22"/>
  <c r="K204" i="22"/>
  <c r="L204" i="22"/>
  <c r="M204" i="22"/>
  <c r="K205" i="22"/>
  <c r="L205" i="22"/>
  <c r="M205" i="22"/>
  <c r="K206" i="22"/>
  <c r="L206" i="22"/>
  <c r="M206" i="22"/>
  <c r="K207" i="22"/>
  <c r="L207" i="22"/>
  <c r="M207" i="22"/>
  <c r="K208" i="22"/>
  <c r="L208" i="22"/>
  <c r="M208" i="22"/>
  <c r="K209" i="22"/>
  <c r="L209" i="22"/>
  <c r="M209" i="22"/>
  <c r="K210" i="22"/>
  <c r="L210" i="22"/>
  <c r="M210" i="22"/>
  <c r="K211" i="22"/>
  <c r="L211" i="22"/>
  <c r="M211" i="22"/>
  <c r="K77" i="22"/>
  <c r="L77" i="22"/>
  <c r="M77" i="22"/>
  <c r="K78" i="22"/>
  <c r="L78" i="22"/>
  <c r="M78" i="22"/>
  <c r="K79" i="22"/>
  <c r="L79" i="22"/>
  <c r="M79" i="22"/>
  <c r="K80" i="22"/>
  <c r="L80" i="22"/>
  <c r="M80" i="22"/>
  <c r="K81" i="22"/>
  <c r="L81" i="22"/>
  <c r="M81" i="22"/>
  <c r="K82" i="22"/>
  <c r="L82" i="22"/>
  <c r="M82" i="22"/>
  <c r="K83" i="22"/>
  <c r="L83" i="22"/>
  <c r="M83" i="22"/>
  <c r="K84" i="22"/>
  <c r="L84" i="22"/>
  <c r="M84" i="22"/>
  <c r="K85" i="22"/>
  <c r="L85" i="22"/>
  <c r="M85" i="22"/>
  <c r="K86" i="22"/>
  <c r="L86" i="22"/>
  <c r="M86" i="22"/>
  <c r="K87" i="22"/>
  <c r="L87" i="22"/>
  <c r="M87" i="22"/>
  <c r="K88" i="22"/>
  <c r="L88" i="22"/>
  <c r="M88" i="22"/>
  <c r="K89" i="22"/>
  <c r="L89" i="22"/>
  <c r="M89" i="22"/>
  <c r="K90" i="22"/>
  <c r="L90" i="22"/>
  <c r="M90" i="22"/>
  <c r="K91" i="22"/>
  <c r="L91" i="22"/>
  <c r="M91" i="22"/>
  <c r="K92" i="22"/>
  <c r="L92" i="22"/>
  <c r="M92" i="22"/>
  <c r="K93" i="22"/>
  <c r="L93" i="22"/>
  <c r="M93" i="22"/>
  <c r="K94" i="22"/>
  <c r="L94" i="22"/>
  <c r="M94" i="22"/>
  <c r="K95" i="22"/>
  <c r="L95" i="22"/>
  <c r="M95" i="22"/>
  <c r="K96" i="22"/>
  <c r="L96" i="22"/>
  <c r="M96" i="22"/>
  <c r="K97" i="22"/>
  <c r="L97" i="22"/>
  <c r="M97" i="22"/>
  <c r="K98" i="22"/>
  <c r="L98" i="22"/>
  <c r="M98" i="22"/>
  <c r="K99" i="22"/>
  <c r="L99" i="22"/>
  <c r="M99" i="22"/>
  <c r="K100" i="22"/>
  <c r="L100" i="22"/>
  <c r="M100" i="22"/>
  <c r="K101" i="22"/>
  <c r="L101" i="22"/>
  <c r="M101" i="22"/>
  <c r="K102" i="22"/>
  <c r="L102" i="22"/>
  <c r="M102" i="22"/>
  <c r="K103" i="22"/>
  <c r="L103" i="22"/>
  <c r="M103" i="22"/>
  <c r="K104" i="22"/>
  <c r="L104" i="22"/>
  <c r="M104" i="22"/>
  <c r="K105" i="22"/>
  <c r="L105" i="22"/>
  <c r="M105" i="22"/>
  <c r="K106" i="22"/>
  <c r="L106" i="22"/>
  <c r="M106" i="22"/>
  <c r="K107" i="22"/>
  <c r="L107" i="22"/>
  <c r="M107" i="22"/>
  <c r="K108" i="22"/>
  <c r="L108" i="22"/>
  <c r="M108" i="22"/>
  <c r="K109" i="22"/>
  <c r="L109" i="22"/>
  <c r="M109" i="22"/>
  <c r="K110" i="22"/>
  <c r="L110" i="22"/>
  <c r="M110" i="22"/>
  <c r="K111" i="22"/>
  <c r="L111" i="22"/>
  <c r="M111" i="22"/>
  <c r="K112" i="22"/>
  <c r="L112" i="22"/>
  <c r="M112" i="22"/>
  <c r="K113" i="22"/>
  <c r="L113" i="22"/>
  <c r="M113" i="22"/>
  <c r="K114" i="22"/>
  <c r="L114" i="22"/>
  <c r="M114" i="22"/>
  <c r="K115" i="22"/>
  <c r="L115" i="22"/>
  <c r="M115" i="22"/>
  <c r="K116" i="22"/>
  <c r="L116" i="22"/>
  <c r="M116" i="22"/>
  <c r="K117" i="22"/>
  <c r="L117" i="22"/>
  <c r="M117" i="22"/>
  <c r="K118" i="22"/>
  <c r="L118" i="22"/>
  <c r="M118" i="22"/>
  <c r="K119" i="22"/>
  <c r="L119" i="22"/>
  <c r="M119" i="22"/>
  <c r="K120" i="22"/>
  <c r="L120" i="22"/>
  <c r="M120" i="22"/>
  <c r="K121" i="22"/>
  <c r="L121" i="22"/>
  <c r="M121" i="22"/>
  <c r="K122" i="22"/>
  <c r="L122" i="22"/>
  <c r="M122" i="22"/>
  <c r="K123" i="22"/>
  <c r="L123" i="22"/>
  <c r="M123" i="22"/>
  <c r="K124" i="22"/>
  <c r="L124" i="22"/>
  <c r="M124" i="22"/>
  <c r="K125" i="22"/>
  <c r="L125" i="22"/>
  <c r="M125" i="22"/>
  <c r="K126" i="22"/>
  <c r="L126" i="22"/>
  <c r="M126" i="22"/>
  <c r="K127" i="22"/>
  <c r="L127" i="22"/>
  <c r="M127" i="22"/>
  <c r="K128" i="22"/>
  <c r="L128" i="22"/>
  <c r="M128" i="22"/>
  <c r="K129" i="22"/>
  <c r="L129" i="22"/>
  <c r="M129" i="22"/>
  <c r="K130" i="22"/>
  <c r="L130" i="22"/>
  <c r="M130" i="22"/>
  <c r="K131" i="22"/>
  <c r="L131" i="22"/>
  <c r="M131" i="22"/>
  <c r="K132" i="22"/>
  <c r="L132" i="22"/>
  <c r="M132" i="22"/>
  <c r="K133" i="22"/>
  <c r="L133" i="22"/>
  <c r="M133" i="22"/>
  <c r="K134" i="22"/>
  <c r="L134" i="22"/>
  <c r="M134" i="22"/>
  <c r="K135" i="22"/>
  <c r="L135" i="22"/>
  <c r="M135" i="22"/>
  <c r="K136" i="22"/>
  <c r="L136" i="22"/>
  <c r="M136" i="22"/>
  <c r="K137" i="22"/>
  <c r="L137" i="22"/>
  <c r="M137" i="22"/>
  <c r="K138" i="22"/>
  <c r="L138" i="22"/>
  <c r="M138" i="22"/>
  <c r="K139" i="22"/>
  <c r="L139" i="22"/>
  <c r="M139" i="22"/>
  <c r="K140" i="22"/>
  <c r="L140" i="22"/>
  <c r="M140" i="22"/>
  <c r="K141" i="22"/>
  <c r="L141" i="22"/>
  <c r="M141" i="22"/>
  <c r="K142" i="22"/>
  <c r="L142" i="22"/>
  <c r="M142" i="22"/>
  <c r="K143" i="22"/>
  <c r="L143" i="22"/>
  <c r="M143" i="22"/>
  <c r="K144" i="22"/>
  <c r="L144" i="22"/>
  <c r="M144" i="22"/>
  <c r="K145" i="22"/>
  <c r="L145" i="22"/>
  <c r="M145" i="22"/>
  <c r="K146" i="22"/>
  <c r="L146" i="22"/>
  <c r="M146" i="22"/>
  <c r="K147" i="22"/>
  <c r="L147" i="22"/>
  <c r="M147" i="22"/>
  <c r="K148" i="22"/>
  <c r="L148" i="22"/>
  <c r="M148" i="22"/>
  <c r="K149" i="22"/>
  <c r="L149" i="22"/>
  <c r="M149" i="22"/>
  <c r="K3" i="22"/>
  <c r="L3" i="22"/>
  <c r="M3" i="22"/>
  <c r="K4" i="22"/>
  <c r="L4" i="22"/>
  <c r="M4" i="22"/>
  <c r="K5" i="22"/>
  <c r="L5" i="22"/>
  <c r="M5" i="22"/>
  <c r="K6" i="22"/>
  <c r="L6" i="22"/>
  <c r="M6" i="22"/>
  <c r="K7" i="22"/>
  <c r="L7" i="22"/>
  <c r="M7" i="22"/>
  <c r="K8" i="22"/>
  <c r="L8" i="22"/>
  <c r="M8" i="22"/>
  <c r="K9" i="22"/>
  <c r="L9" i="22"/>
  <c r="M9" i="22"/>
  <c r="K10" i="22"/>
  <c r="L10" i="22"/>
  <c r="M10" i="22"/>
  <c r="K11" i="22"/>
  <c r="L11" i="22"/>
  <c r="M11" i="22"/>
  <c r="K12" i="22"/>
  <c r="L12" i="22"/>
  <c r="M12" i="22"/>
  <c r="K13" i="22"/>
  <c r="L13" i="22"/>
  <c r="M13" i="22"/>
  <c r="K14" i="22"/>
  <c r="L14" i="22"/>
  <c r="M14" i="22"/>
  <c r="K15" i="22"/>
  <c r="L15" i="22"/>
  <c r="M15" i="22"/>
  <c r="K16" i="22"/>
  <c r="L16" i="22"/>
  <c r="M16" i="22"/>
  <c r="K17" i="22"/>
  <c r="L17" i="22"/>
  <c r="M17" i="22"/>
  <c r="K18" i="22"/>
  <c r="L18" i="22"/>
  <c r="M18" i="22"/>
  <c r="K19" i="22"/>
  <c r="L19" i="22"/>
  <c r="M19" i="22"/>
  <c r="K20" i="22"/>
  <c r="L20" i="22"/>
  <c r="M20" i="22"/>
  <c r="K21" i="22"/>
  <c r="L21" i="22"/>
  <c r="M21" i="22"/>
  <c r="K22" i="22"/>
  <c r="L22" i="22"/>
  <c r="M22" i="22"/>
  <c r="K23" i="22"/>
  <c r="L23" i="22"/>
  <c r="M23" i="22"/>
  <c r="K24" i="22"/>
  <c r="L24" i="22"/>
  <c r="M24" i="22"/>
  <c r="K25" i="22"/>
  <c r="L25" i="22"/>
  <c r="M25" i="22"/>
  <c r="K26" i="22"/>
  <c r="L26" i="22"/>
  <c r="M26" i="22"/>
  <c r="K27" i="22"/>
  <c r="L27" i="22"/>
  <c r="M27" i="22"/>
  <c r="K28" i="22"/>
  <c r="L28" i="22"/>
  <c r="M28" i="22"/>
  <c r="K29" i="22"/>
  <c r="L29" i="22"/>
  <c r="M29" i="22"/>
  <c r="K30" i="22"/>
  <c r="L30" i="22"/>
  <c r="M30" i="22"/>
  <c r="K31" i="22"/>
  <c r="L31" i="22"/>
  <c r="M31" i="22"/>
  <c r="K32" i="22"/>
  <c r="L32" i="22"/>
  <c r="M32" i="22"/>
  <c r="K33" i="22"/>
  <c r="L33" i="22"/>
  <c r="M33" i="22"/>
  <c r="K34" i="22"/>
  <c r="L34" i="22"/>
  <c r="M34" i="22"/>
  <c r="K35" i="22"/>
  <c r="L35" i="22"/>
  <c r="M35" i="22"/>
  <c r="K36" i="22"/>
  <c r="L36" i="22"/>
  <c r="M36" i="22"/>
  <c r="K37" i="22"/>
  <c r="L37" i="22"/>
  <c r="M37" i="22"/>
  <c r="K38" i="22"/>
  <c r="L38" i="22"/>
  <c r="M38" i="22"/>
  <c r="K39" i="22"/>
  <c r="L39" i="22"/>
  <c r="M39" i="22"/>
  <c r="K40" i="22"/>
  <c r="L40" i="22"/>
  <c r="M40" i="22"/>
  <c r="K41" i="22"/>
  <c r="L41" i="22"/>
  <c r="M41" i="22"/>
  <c r="K42" i="22"/>
  <c r="L42" i="22"/>
  <c r="M42" i="22"/>
  <c r="K43" i="22"/>
  <c r="L43" i="22"/>
  <c r="M43" i="22"/>
  <c r="K44" i="22"/>
  <c r="L44" i="22"/>
  <c r="M44" i="22"/>
  <c r="K45" i="22"/>
  <c r="L45" i="22"/>
  <c r="M45" i="22"/>
  <c r="K46" i="22"/>
  <c r="L46" i="22"/>
  <c r="M46" i="22"/>
  <c r="K47" i="22"/>
  <c r="L47" i="22"/>
  <c r="M47" i="22"/>
  <c r="K48" i="22"/>
  <c r="L48" i="22"/>
  <c r="M48" i="22"/>
  <c r="K49" i="22"/>
  <c r="L49" i="22"/>
  <c r="M49" i="22"/>
  <c r="K50" i="22"/>
  <c r="L50" i="22"/>
  <c r="M50" i="22"/>
  <c r="K51" i="22"/>
  <c r="L51" i="22"/>
  <c r="M51" i="22"/>
  <c r="K52" i="22"/>
  <c r="L52" i="22"/>
  <c r="M52" i="22"/>
  <c r="K53" i="22"/>
  <c r="L53" i="22"/>
  <c r="M53" i="22"/>
  <c r="K54" i="22"/>
  <c r="L54" i="22"/>
  <c r="M54" i="22"/>
  <c r="K55" i="22"/>
  <c r="L55" i="22"/>
  <c r="M55" i="22"/>
  <c r="K56" i="22"/>
  <c r="L56" i="22"/>
  <c r="M56" i="22"/>
  <c r="K57" i="22"/>
  <c r="L57" i="22"/>
  <c r="M57" i="22"/>
  <c r="K58" i="22"/>
  <c r="L58" i="22"/>
  <c r="M58" i="22"/>
  <c r="K59" i="22"/>
  <c r="L59" i="22"/>
  <c r="M59" i="22"/>
  <c r="K60" i="22"/>
  <c r="L60" i="22"/>
  <c r="M60" i="22"/>
  <c r="K61" i="22"/>
  <c r="L61" i="22"/>
  <c r="M61" i="22"/>
  <c r="K62" i="22"/>
  <c r="L62" i="22"/>
  <c r="M62" i="22"/>
  <c r="K63" i="22"/>
  <c r="L63" i="22"/>
  <c r="M63" i="22"/>
  <c r="K64" i="22"/>
  <c r="L64" i="22"/>
  <c r="M64" i="22"/>
  <c r="K65" i="22"/>
  <c r="L65" i="22"/>
  <c r="M65" i="22"/>
  <c r="K66" i="22"/>
  <c r="L66" i="22"/>
  <c r="M66" i="22"/>
  <c r="K67" i="22"/>
  <c r="L67" i="22"/>
  <c r="M67" i="22"/>
  <c r="K68" i="22"/>
  <c r="L68" i="22"/>
  <c r="M68" i="22"/>
  <c r="K69" i="22"/>
  <c r="L69" i="22"/>
  <c r="M69" i="22"/>
  <c r="K70" i="22"/>
  <c r="L70" i="22"/>
  <c r="M70" i="22"/>
  <c r="K71" i="22"/>
  <c r="L71" i="22"/>
  <c r="M71" i="22"/>
  <c r="K72" i="22"/>
  <c r="L72" i="22"/>
  <c r="M72" i="22"/>
  <c r="K73" i="22"/>
  <c r="L73" i="22"/>
  <c r="M73" i="22"/>
  <c r="K74" i="22"/>
  <c r="L74" i="22"/>
  <c r="M74" i="22"/>
  <c r="K75" i="22"/>
  <c r="L75" i="22"/>
  <c r="M75" i="22"/>
  <c r="K76" i="22"/>
  <c r="L76" i="22"/>
  <c r="M76" i="22"/>
  <c r="M2" i="22"/>
  <c r="L9" i="18"/>
  <c r="AA211" i="19" l="1"/>
  <c r="Z211" i="19"/>
  <c r="Y211" i="19"/>
  <c r="X211" i="19"/>
  <c r="W211" i="19"/>
  <c r="AA210" i="19"/>
  <c r="Z210" i="19"/>
  <c r="Y210" i="19"/>
  <c r="X210" i="19"/>
  <c r="W210" i="19"/>
  <c r="AA209" i="19"/>
  <c r="Z209" i="19"/>
  <c r="Y209" i="19"/>
  <c r="X209" i="19"/>
  <c r="W209" i="19"/>
  <c r="AA208" i="19"/>
  <c r="Z208" i="19"/>
  <c r="Y208" i="19"/>
  <c r="X208" i="19"/>
  <c r="W208" i="19"/>
  <c r="AA207" i="19"/>
  <c r="Z207" i="19"/>
  <c r="Y207" i="19"/>
  <c r="X207" i="19"/>
  <c r="W207" i="19"/>
  <c r="AA206" i="19"/>
  <c r="Z206" i="19"/>
  <c r="Y206" i="19"/>
  <c r="X206" i="19"/>
  <c r="W206" i="19"/>
  <c r="AA205" i="19"/>
  <c r="Z205" i="19"/>
  <c r="Y205" i="19"/>
  <c r="X205" i="19"/>
  <c r="W205" i="19"/>
  <c r="AA204" i="19"/>
  <c r="Z204" i="19"/>
  <c r="Y204" i="19"/>
  <c r="X204" i="19"/>
  <c r="W204" i="19"/>
  <c r="AA203" i="19"/>
  <c r="Z203" i="19"/>
  <c r="Y203" i="19"/>
  <c r="X203" i="19"/>
  <c r="W203" i="19"/>
  <c r="AA202" i="19"/>
  <c r="Z202" i="19"/>
  <c r="Y202" i="19"/>
  <c r="X202" i="19"/>
  <c r="W202" i="19"/>
  <c r="AA201" i="19"/>
  <c r="Z201" i="19"/>
  <c r="Y201" i="19"/>
  <c r="X201" i="19"/>
  <c r="W201" i="19"/>
  <c r="AA200" i="19"/>
  <c r="Z200" i="19"/>
  <c r="Y200" i="19"/>
  <c r="X200" i="19"/>
  <c r="W200" i="19"/>
  <c r="AA199" i="19"/>
  <c r="Z199" i="19"/>
  <c r="Y199" i="19"/>
  <c r="X199" i="19"/>
  <c r="W199" i="19"/>
  <c r="AA198" i="19"/>
  <c r="Z198" i="19"/>
  <c r="Y198" i="19"/>
  <c r="X198" i="19"/>
  <c r="W198" i="19"/>
  <c r="AA197" i="19"/>
  <c r="Z197" i="19"/>
  <c r="Y197" i="19"/>
  <c r="X197" i="19"/>
  <c r="W197" i="19"/>
  <c r="AA196" i="19"/>
  <c r="Z196" i="19"/>
  <c r="Y196" i="19"/>
  <c r="X196" i="19"/>
  <c r="W196" i="19"/>
  <c r="AA195" i="19"/>
  <c r="Z195" i="19"/>
  <c r="Y195" i="19"/>
  <c r="X195" i="19"/>
  <c r="W195" i="19"/>
  <c r="AA194" i="19"/>
  <c r="Z194" i="19"/>
  <c r="Y194" i="19"/>
  <c r="X194" i="19"/>
  <c r="W194" i="19"/>
  <c r="AA193" i="19"/>
  <c r="Z193" i="19"/>
  <c r="Y193" i="19"/>
  <c r="X193" i="19"/>
  <c r="W193" i="19"/>
  <c r="AA192" i="19"/>
  <c r="Z192" i="19"/>
  <c r="Y192" i="19"/>
  <c r="X192" i="19"/>
  <c r="W192" i="19"/>
  <c r="AA191" i="19"/>
  <c r="Z191" i="19"/>
  <c r="Y191" i="19"/>
  <c r="X191" i="19"/>
  <c r="W191" i="19"/>
  <c r="AA190" i="19"/>
  <c r="Z190" i="19"/>
  <c r="Y190" i="19"/>
  <c r="X190" i="19"/>
  <c r="W190" i="19"/>
  <c r="AA189" i="19"/>
  <c r="Z189" i="19"/>
  <c r="Y189" i="19"/>
  <c r="X189" i="19"/>
  <c r="W189" i="19"/>
  <c r="AA188" i="19"/>
  <c r="Z188" i="19"/>
  <c r="Y188" i="19"/>
  <c r="X188" i="19"/>
  <c r="W188" i="19"/>
  <c r="AA187" i="19"/>
  <c r="Z187" i="19"/>
  <c r="Y187" i="19"/>
  <c r="X187" i="19"/>
  <c r="W187" i="19"/>
  <c r="AA186" i="19"/>
  <c r="Z186" i="19"/>
  <c r="Y186" i="19"/>
  <c r="X186" i="19"/>
  <c r="W186" i="19"/>
  <c r="AA185" i="19"/>
  <c r="Z185" i="19"/>
  <c r="Y185" i="19"/>
  <c r="X185" i="19"/>
  <c r="W185" i="19"/>
  <c r="AA184" i="19"/>
  <c r="Z184" i="19"/>
  <c r="Y184" i="19"/>
  <c r="X184" i="19"/>
  <c r="W184" i="19"/>
  <c r="AA183" i="19"/>
  <c r="Z183" i="19"/>
  <c r="Y183" i="19"/>
  <c r="X183" i="19"/>
  <c r="W183" i="19"/>
  <c r="AA182" i="19"/>
  <c r="Z182" i="19"/>
  <c r="Y182" i="19"/>
  <c r="X182" i="19"/>
  <c r="W182" i="19"/>
  <c r="AA181" i="19"/>
  <c r="Z181" i="19"/>
  <c r="Y181" i="19"/>
  <c r="X181" i="19"/>
  <c r="W181" i="19"/>
  <c r="AA180" i="19"/>
  <c r="Z180" i="19"/>
  <c r="Y180" i="19"/>
  <c r="X180" i="19"/>
  <c r="W180" i="19"/>
  <c r="AA179" i="19"/>
  <c r="Z179" i="19"/>
  <c r="Y179" i="19"/>
  <c r="X179" i="19"/>
  <c r="W179" i="19"/>
  <c r="AA178" i="19"/>
  <c r="Z178" i="19"/>
  <c r="Y178" i="19"/>
  <c r="X178" i="19"/>
  <c r="W178" i="19"/>
  <c r="AA177" i="19"/>
  <c r="Z177" i="19"/>
  <c r="Y177" i="19"/>
  <c r="X177" i="19"/>
  <c r="W177" i="19"/>
  <c r="AA176" i="19"/>
  <c r="Z176" i="19"/>
  <c r="Y176" i="19"/>
  <c r="X176" i="19"/>
  <c r="W176" i="19"/>
  <c r="AA175" i="19"/>
  <c r="Z175" i="19"/>
  <c r="Y175" i="19"/>
  <c r="X175" i="19"/>
  <c r="W175" i="19"/>
  <c r="AA174" i="19"/>
  <c r="Z174" i="19"/>
  <c r="Y174" i="19"/>
  <c r="X174" i="19"/>
  <c r="W174" i="19"/>
  <c r="AA173" i="19"/>
  <c r="Z173" i="19"/>
  <c r="Y173" i="19"/>
  <c r="X173" i="19"/>
  <c r="W173" i="19"/>
  <c r="AA172" i="19"/>
  <c r="Z172" i="19"/>
  <c r="Y172" i="19"/>
  <c r="X172" i="19"/>
  <c r="W172" i="19"/>
  <c r="AA171" i="19"/>
  <c r="Z171" i="19"/>
  <c r="Y171" i="19"/>
  <c r="X171" i="19"/>
  <c r="W171" i="19"/>
  <c r="AA170" i="19"/>
  <c r="Z170" i="19"/>
  <c r="Y170" i="19"/>
  <c r="X170" i="19"/>
  <c r="W170" i="19"/>
  <c r="AA169" i="19"/>
  <c r="Z169" i="19"/>
  <c r="Y169" i="19"/>
  <c r="X169" i="19"/>
  <c r="W169" i="19"/>
  <c r="AA168" i="19"/>
  <c r="Z168" i="19"/>
  <c r="Y168" i="19"/>
  <c r="X168" i="19"/>
  <c r="W168" i="19"/>
  <c r="AA167" i="19"/>
  <c r="Z167" i="19"/>
  <c r="Y167" i="19"/>
  <c r="X167" i="19"/>
  <c r="W167" i="19"/>
  <c r="AA166" i="19"/>
  <c r="Z166" i="19"/>
  <c r="Y166" i="19"/>
  <c r="X166" i="19"/>
  <c r="W166" i="19"/>
  <c r="AA165" i="19"/>
  <c r="Z165" i="19"/>
  <c r="Y165" i="19"/>
  <c r="X165" i="19"/>
  <c r="W165" i="19"/>
  <c r="AA164" i="19"/>
  <c r="Z164" i="19"/>
  <c r="Y164" i="19"/>
  <c r="X164" i="19"/>
  <c r="W164" i="19"/>
  <c r="AA163" i="19"/>
  <c r="Z163" i="19"/>
  <c r="Y163" i="19"/>
  <c r="X163" i="19"/>
  <c r="W163" i="19"/>
  <c r="AA162" i="19"/>
  <c r="Z162" i="19"/>
  <c r="Y162" i="19"/>
  <c r="X162" i="19"/>
  <c r="W162" i="19"/>
  <c r="AA161" i="19"/>
  <c r="Z161" i="19"/>
  <c r="Y161" i="19"/>
  <c r="X161" i="19"/>
  <c r="W161" i="19"/>
  <c r="AA160" i="19"/>
  <c r="Z160" i="19"/>
  <c r="Y160" i="19"/>
  <c r="X160" i="19"/>
  <c r="W160" i="19"/>
  <c r="AA159" i="19"/>
  <c r="Z159" i="19"/>
  <c r="Y159" i="19"/>
  <c r="X159" i="19"/>
  <c r="W159" i="19"/>
  <c r="AA158" i="19"/>
  <c r="Z158" i="19"/>
  <c r="Y158" i="19"/>
  <c r="X158" i="19"/>
  <c r="W158" i="19"/>
  <c r="AA157" i="19"/>
  <c r="Z157" i="19"/>
  <c r="Y157" i="19"/>
  <c r="X157" i="19"/>
  <c r="W157" i="19"/>
  <c r="AA156" i="19"/>
  <c r="Z156" i="19"/>
  <c r="Y156" i="19"/>
  <c r="X156" i="19"/>
  <c r="W156" i="19"/>
  <c r="AA155" i="19"/>
  <c r="Z155" i="19"/>
  <c r="Y155" i="19"/>
  <c r="X155" i="19"/>
  <c r="W155" i="19"/>
  <c r="AA154" i="19"/>
  <c r="Z154" i="19"/>
  <c r="Y154" i="19"/>
  <c r="X154" i="19"/>
  <c r="W154" i="19"/>
  <c r="AA153" i="19"/>
  <c r="Z153" i="19"/>
  <c r="Y153" i="19"/>
  <c r="X153" i="19"/>
  <c r="W153" i="19"/>
  <c r="AA152" i="19"/>
  <c r="Z152" i="19"/>
  <c r="Y152" i="19"/>
  <c r="X152" i="19"/>
  <c r="W152" i="19"/>
  <c r="AA151" i="19"/>
  <c r="Z151" i="19"/>
  <c r="Y151" i="19"/>
  <c r="X151" i="19"/>
  <c r="W151" i="19"/>
  <c r="AA150" i="19"/>
  <c r="Z150" i="19"/>
  <c r="Y150" i="19"/>
  <c r="X150" i="19"/>
  <c r="W150" i="19"/>
  <c r="AA149" i="19"/>
  <c r="Z149" i="19"/>
  <c r="Y149" i="19"/>
  <c r="X149" i="19"/>
  <c r="W149" i="19"/>
  <c r="AA148" i="19"/>
  <c r="Z148" i="19"/>
  <c r="Y148" i="19"/>
  <c r="X148" i="19"/>
  <c r="W148" i="19"/>
  <c r="AA147" i="19"/>
  <c r="Z147" i="19"/>
  <c r="Y147" i="19"/>
  <c r="X147" i="19"/>
  <c r="W147" i="19"/>
  <c r="AA146" i="19"/>
  <c r="Z146" i="19"/>
  <c r="Y146" i="19"/>
  <c r="X146" i="19"/>
  <c r="W146" i="19"/>
  <c r="AA145" i="19"/>
  <c r="Z145" i="19"/>
  <c r="Y145" i="19"/>
  <c r="X145" i="19"/>
  <c r="W145" i="19"/>
  <c r="AA144" i="19"/>
  <c r="Z144" i="19"/>
  <c r="Y144" i="19"/>
  <c r="X144" i="19"/>
  <c r="W144" i="19"/>
  <c r="AA143" i="19"/>
  <c r="Z143" i="19"/>
  <c r="Y143" i="19"/>
  <c r="X143" i="19"/>
  <c r="W143" i="19"/>
  <c r="AA142" i="19"/>
  <c r="Z142" i="19"/>
  <c r="Y142" i="19"/>
  <c r="X142" i="19"/>
  <c r="W142" i="19"/>
  <c r="AA141" i="19"/>
  <c r="Z141" i="19"/>
  <c r="Y141" i="19"/>
  <c r="X141" i="19"/>
  <c r="W141" i="19"/>
  <c r="AA140" i="19"/>
  <c r="Z140" i="19"/>
  <c r="Y140" i="19"/>
  <c r="X140" i="19"/>
  <c r="W140" i="19"/>
  <c r="AA139" i="19"/>
  <c r="Z139" i="19"/>
  <c r="Y139" i="19"/>
  <c r="X139" i="19"/>
  <c r="W139" i="19"/>
  <c r="AA138" i="19"/>
  <c r="Z138" i="19"/>
  <c r="Y138" i="19"/>
  <c r="X138" i="19"/>
  <c r="W138" i="19"/>
  <c r="AA137" i="19"/>
  <c r="Z137" i="19"/>
  <c r="Y137" i="19"/>
  <c r="X137" i="19"/>
  <c r="W137" i="19"/>
  <c r="AA136" i="19"/>
  <c r="Z136" i="19"/>
  <c r="Y136" i="19"/>
  <c r="X136" i="19"/>
  <c r="W136" i="19"/>
  <c r="AA135" i="19"/>
  <c r="Z135" i="19"/>
  <c r="Y135" i="19"/>
  <c r="X135" i="19"/>
  <c r="W135" i="19"/>
  <c r="AA134" i="19"/>
  <c r="Z134" i="19"/>
  <c r="Y134" i="19"/>
  <c r="X134" i="19"/>
  <c r="W134" i="19"/>
  <c r="AA133" i="19"/>
  <c r="Z133" i="19"/>
  <c r="Y133" i="19"/>
  <c r="X133" i="19"/>
  <c r="W133" i="19"/>
  <c r="AA132" i="19"/>
  <c r="Z132" i="19"/>
  <c r="Y132" i="19"/>
  <c r="X132" i="19"/>
  <c r="W132" i="19"/>
  <c r="AA131" i="19"/>
  <c r="Z131" i="19"/>
  <c r="Y131" i="19"/>
  <c r="X131" i="19"/>
  <c r="W131" i="19"/>
  <c r="AA130" i="19"/>
  <c r="Z130" i="19"/>
  <c r="Y130" i="19"/>
  <c r="X130" i="19"/>
  <c r="W130" i="19"/>
  <c r="AA129" i="19"/>
  <c r="Z129" i="19"/>
  <c r="Y129" i="19"/>
  <c r="X129" i="19"/>
  <c r="W129" i="19"/>
  <c r="AA128" i="19"/>
  <c r="Z128" i="19"/>
  <c r="Y128" i="19"/>
  <c r="X128" i="19"/>
  <c r="W128" i="19"/>
  <c r="AA127" i="19"/>
  <c r="Z127" i="19"/>
  <c r="Y127" i="19"/>
  <c r="X127" i="19"/>
  <c r="W127" i="19"/>
  <c r="AA126" i="19"/>
  <c r="Z126" i="19"/>
  <c r="Y126" i="19"/>
  <c r="X126" i="19"/>
  <c r="W126" i="19"/>
  <c r="AA125" i="19"/>
  <c r="Z125" i="19"/>
  <c r="Y125" i="19"/>
  <c r="X125" i="19"/>
  <c r="W125" i="19"/>
  <c r="AA124" i="19"/>
  <c r="Z124" i="19"/>
  <c r="Y124" i="19"/>
  <c r="X124" i="19"/>
  <c r="W124" i="19"/>
  <c r="AA123" i="19"/>
  <c r="Z123" i="19"/>
  <c r="Y123" i="19"/>
  <c r="X123" i="19"/>
  <c r="W123" i="19"/>
  <c r="AA122" i="19"/>
  <c r="Z122" i="19"/>
  <c r="Y122" i="19"/>
  <c r="X122" i="19"/>
  <c r="W122" i="19"/>
  <c r="AA121" i="19"/>
  <c r="Z121" i="19"/>
  <c r="Y121" i="19"/>
  <c r="X121" i="19"/>
  <c r="W121" i="19"/>
  <c r="AA120" i="19"/>
  <c r="Z120" i="19"/>
  <c r="Y120" i="19"/>
  <c r="X120" i="19"/>
  <c r="W120" i="19"/>
  <c r="AA119" i="19"/>
  <c r="Z119" i="19"/>
  <c r="Y119" i="19"/>
  <c r="X119" i="19"/>
  <c r="W119" i="19"/>
  <c r="AA118" i="19"/>
  <c r="Z118" i="19"/>
  <c r="Y118" i="19"/>
  <c r="X118" i="19"/>
  <c r="W118" i="19"/>
  <c r="AA117" i="19"/>
  <c r="Z117" i="19"/>
  <c r="Y117" i="19"/>
  <c r="X117" i="19"/>
  <c r="W117" i="19"/>
  <c r="AA116" i="19"/>
  <c r="Z116" i="19"/>
  <c r="Y116" i="19"/>
  <c r="X116" i="19"/>
  <c r="W116" i="19"/>
  <c r="AA115" i="19"/>
  <c r="Z115" i="19"/>
  <c r="Y115" i="19"/>
  <c r="X115" i="19"/>
  <c r="W115" i="19"/>
  <c r="AA114" i="19"/>
  <c r="Z114" i="19"/>
  <c r="Y114" i="19"/>
  <c r="X114" i="19"/>
  <c r="W114" i="19"/>
  <c r="AA113" i="19"/>
  <c r="Z113" i="19"/>
  <c r="Y113" i="19"/>
  <c r="X113" i="19"/>
  <c r="W113" i="19"/>
  <c r="AA112" i="19"/>
  <c r="Z112" i="19"/>
  <c r="Y112" i="19"/>
  <c r="X112" i="19"/>
  <c r="W112" i="19"/>
  <c r="AA111" i="19"/>
  <c r="Z111" i="19"/>
  <c r="Y111" i="19"/>
  <c r="X111" i="19"/>
  <c r="W111" i="19"/>
  <c r="AA110" i="19"/>
  <c r="Z110" i="19"/>
  <c r="Y110" i="19"/>
  <c r="X110" i="19"/>
  <c r="W110" i="19"/>
  <c r="AA109" i="19"/>
  <c r="Z109" i="19"/>
  <c r="Y109" i="19"/>
  <c r="X109" i="19"/>
  <c r="W109" i="19"/>
  <c r="AA108" i="19"/>
  <c r="Z108" i="19"/>
  <c r="Y108" i="19"/>
  <c r="X108" i="19"/>
  <c r="W108" i="19"/>
  <c r="AA107" i="19"/>
  <c r="Z107" i="19"/>
  <c r="Y107" i="19"/>
  <c r="X107" i="19"/>
  <c r="W107" i="19"/>
  <c r="AA106" i="19"/>
  <c r="Z106" i="19"/>
  <c r="Y106" i="19"/>
  <c r="X106" i="19"/>
  <c r="W106" i="19"/>
  <c r="AA105" i="19"/>
  <c r="Z105" i="19"/>
  <c r="Y105" i="19"/>
  <c r="X105" i="19"/>
  <c r="W105" i="19"/>
  <c r="AA104" i="19"/>
  <c r="Z104" i="19"/>
  <c r="Y104" i="19"/>
  <c r="X104" i="19"/>
  <c r="W104" i="19"/>
  <c r="AA103" i="19"/>
  <c r="Z103" i="19"/>
  <c r="Y103" i="19"/>
  <c r="X103" i="19"/>
  <c r="W103" i="19"/>
  <c r="AA102" i="19"/>
  <c r="Z102" i="19"/>
  <c r="Y102" i="19"/>
  <c r="X102" i="19"/>
  <c r="W102" i="19"/>
  <c r="AA101" i="19"/>
  <c r="Z101" i="19"/>
  <c r="Y101" i="19"/>
  <c r="X101" i="19"/>
  <c r="W101" i="19"/>
  <c r="AA100" i="19"/>
  <c r="Z100" i="19"/>
  <c r="Y100" i="19"/>
  <c r="X100" i="19"/>
  <c r="W100" i="19"/>
  <c r="AA99" i="19"/>
  <c r="Z99" i="19"/>
  <c r="Y99" i="19"/>
  <c r="X99" i="19"/>
  <c r="W99" i="19"/>
  <c r="AA98" i="19"/>
  <c r="Z98" i="19"/>
  <c r="Y98" i="19"/>
  <c r="X98" i="19"/>
  <c r="W98" i="19"/>
  <c r="AA97" i="19"/>
  <c r="Z97" i="19"/>
  <c r="Y97" i="19"/>
  <c r="X97" i="19"/>
  <c r="W97" i="19"/>
  <c r="AA96" i="19"/>
  <c r="Z96" i="19"/>
  <c r="Y96" i="19"/>
  <c r="X96" i="19"/>
  <c r="W96" i="19"/>
  <c r="AA95" i="19"/>
  <c r="Z95" i="19"/>
  <c r="Y95" i="19"/>
  <c r="X95" i="19"/>
  <c r="W95" i="19"/>
  <c r="AA94" i="19"/>
  <c r="Z94" i="19"/>
  <c r="Y94" i="19"/>
  <c r="X94" i="19"/>
  <c r="W94" i="19"/>
  <c r="AA93" i="19"/>
  <c r="Z93" i="19"/>
  <c r="Y93" i="19"/>
  <c r="X93" i="19"/>
  <c r="W93" i="19"/>
  <c r="AA92" i="19"/>
  <c r="Z92" i="19"/>
  <c r="Y92" i="19"/>
  <c r="X92" i="19"/>
  <c r="W92" i="19"/>
  <c r="AA91" i="19"/>
  <c r="Z91" i="19"/>
  <c r="Y91" i="19"/>
  <c r="X91" i="19"/>
  <c r="W91" i="19"/>
  <c r="AA90" i="19"/>
  <c r="Z90" i="19"/>
  <c r="Y90" i="19"/>
  <c r="X90" i="19"/>
  <c r="W90" i="19"/>
  <c r="AA89" i="19"/>
  <c r="Z89" i="19"/>
  <c r="Y89" i="19"/>
  <c r="X89" i="19"/>
  <c r="W89" i="19"/>
  <c r="AA88" i="19"/>
  <c r="Z88" i="19"/>
  <c r="Y88" i="19"/>
  <c r="X88" i="19"/>
  <c r="W88" i="19"/>
  <c r="AA87" i="19"/>
  <c r="Z87" i="19"/>
  <c r="Y87" i="19"/>
  <c r="X87" i="19"/>
  <c r="W87" i="19"/>
  <c r="AA86" i="19"/>
  <c r="Z86" i="19"/>
  <c r="Y86" i="19"/>
  <c r="X86" i="19"/>
  <c r="W86" i="19"/>
  <c r="AA85" i="19"/>
  <c r="Z85" i="19"/>
  <c r="Y85" i="19"/>
  <c r="X85" i="19"/>
  <c r="W85" i="19"/>
  <c r="AA84" i="19"/>
  <c r="Z84" i="19"/>
  <c r="Y84" i="19"/>
  <c r="X84" i="19"/>
  <c r="W84" i="19"/>
  <c r="AA83" i="19"/>
  <c r="Z83" i="19"/>
  <c r="Y83" i="19"/>
  <c r="X83" i="19"/>
  <c r="W83" i="19"/>
  <c r="AA82" i="19"/>
  <c r="Z82" i="19"/>
  <c r="Y82" i="19"/>
  <c r="X82" i="19"/>
  <c r="W82" i="19"/>
  <c r="AA81" i="19"/>
  <c r="Z81" i="19"/>
  <c r="Y81" i="19"/>
  <c r="X81" i="19"/>
  <c r="W81" i="19"/>
  <c r="AA80" i="19"/>
  <c r="Z80" i="19"/>
  <c r="Y80" i="19"/>
  <c r="X80" i="19"/>
  <c r="W80" i="19"/>
  <c r="AA79" i="19"/>
  <c r="Z79" i="19"/>
  <c r="Y79" i="19"/>
  <c r="X79" i="19"/>
  <c r="W79" i="19"/>
  <c r="AA78" i="19"/>
  <c r="Z78" i="19"/>
  <c r="Y78" i="19"/>
  <c r="X78" i="19"/>
  <c r="W78" i="19"/>
  <c r="AA77" i="19"/>
  <c r="Z77" i="19"/>
  <c r="Y77" i="19"/>
  <c r="X77" i="19"/>
  <c r="W77" i="19"/>
  <c r="AA76" i="19"/>
  <c r="Z76" i="19"/>
  <c r="Y76" i="19"/>
  <c r="X76" i="19"/>
  <c r="W76" i="19"/>
  <c r="AA75" i="19"/>
  <c r="Z75" i="19"/>
  <c r="Y75" i="19"/>
  <c r="X75" i="19"/>
  <c r="W75" i="19"/>
  <c r="AA74" i="19"/>
  <c r="Z74" i="19"/>
  <c r="Y74" i="19"/>
  <c r="X74" i="19"/>
  <c r="W74" i="19"/>
  <c r="AA73" i="19"/>
  <c r="Z73" i="19"/>
  <c r="Y73" i="19"/>
  <c r="X73" i="19"/>
  <c r="W73" i="19"/>
  <c r="AA72" i="19"/>
  <c r="Z72" i="19"/>
  <c r="Y72" i="19"/>
  <c r="X72" i="19"/>
  <c r="W72" i="19"/>
  <c r="AA71" i="19"/>
  <c r="Z71" i="19"/>
  <c r="Y71" i="19"/>
  <c r="X71" i="19"/>
  <c r="W71" i="19"/>
  <c r="AA70" i="19"/>
  <c r="Z70" i="19"/>
  <c r="Y70" i="19"/>
  <c r="X70" i="19"/>
  <c r="W70" i="19"/>
  <c r="AA69" i="19"/>
  <c r="Z69" i="19"/>
  <c r="Y69" i="19"/>
  <c r="X69" i="19"/>
  <c r="W69" i="19"/>
  <c r="AA68" i="19"/>
  <c r="Z68" i="19"/>
  <c r="Y68" i="19"/>
  <c r="X68" i="19"/>
  <c r="W68" i="19"/>
  <c r="AA67" i="19"/>
  <c r="Z67" i="19"/>
  <c r="Y67" i="19"/>
  <c r="X67" i="19"/>
  <c r="W67" i="19"/>
  <c r="AA66" i="19"/>
  <c r="Z66" i="19"/>
  <c r="Y66" i="19"/>
  <c r="X66" i="19"/>
  <c r="W66" i="19"/>
  <c r="AA65" i="19"/>
  <c r="Z65" i="19"/>
  <c r="Y65" i="19"/>
  <c r="X65" i="19"/>
  <c r="W65" i="19"/>
  <c r="AA64" i="19"/>
  <c r="Z64" i="19"/>
  <c r="Y64" i="19"/>
  <c r="X64" i="19"/>
  <c r="W64" i="19"/>
  <c r="AA63" i="19"/>
  <c r="Z63" i="19"/>
  <c r="Y63" i="19"/>
  <c r="X63" i="19"/>
  <c r="W63" i="19"/>
  <c r="AA62" i="19"/>
  <c r="Z62" i="19"/>
  <c r="Y62" i="19"/>
  <c r="X62" i="19"/>
  <c r="W62" i="19"/>
  <c r="AA61" i="19"/>
  <c r="Z61" i="19"/>
  <c r="Y61" i="19"/>
  <c r="X61" i="19"/>
  <c r="W61" i="19"/>
  <c r="AA60" i="19"/>
  <c r="Z60" i="19"/>
  <c r="Y60" i="19"/>
  <c r="X60" i="19"/>
  <c r="W60" i="19"/>
  <c r="AA59" i="19"/>
  <c r="Z59" i="19"/>
  <c r="Y59" i="19"/>
  <c r="X59" i="19"/>
  <c r="W59" i="19"/>
  <c r="AA58" i="19"/>
  <c r="Z58" i="19"/>
  <c r="Y58" i="19"/>
  <c r="X58" i="19"/>
  <c r="W58" i="19"/>
  <c r="AA57" i="19"/>
  <c r="Z57" i="19"/>
  <c r="Y57" i="19"/>
  <c r="X57" i="19"/>
  <c r="W57" i="19"/>
  <c r="AA56" i="19"/>
  <c r="Z56" i="19"/>
  <c r="Y56" i="19"/>
  <c r="X56" i="19"/>
  <c r="W56" i="19"/>
  <c r="AA55" i="19"/>
  <c r="Z55" i="19"/>
  <c r="Y55" i="19"/>
  <c r="X55" i="19"/>
  <c r="W55" i="19"/>
  <c r="AA54" i="19"/>
  <c r="Z54" i="19"/>
  <c r="Y54" i="19"/>
  <c r="X54" i="19"/>
  <c r="W54" i="19"/>
  <c r="AA53" i="19"/>
  <c r="Z53" i="19"/>
  <c r="Y53" i="19"/>
  <c r="X53" i="19"/>
  <c r="W53" i="19"/>
  <c r="AA52" i="19"/>
  <c r="Z52" i="19"/>
  <c r="Y52" i="19"/>
  <c r="X52" i="19"/>
  <c r="W52" i="19"/>
  <c r="AA51" i="19"/>
  <c r="Z51" i="19"/>
  <c r="Y51" i="19"/>
  <c r="X51" i="19"/>
  <c r="W51" i="19"/>
  <c r="AA50" i="19"/>
  <c r="Z50" i="19"/>
  <c r="Y50" i="19"/>
  <c r="X50" i="19"/>
  <c r="W50" i="19"/>
  <c r="AA49" i="19"/>
  <c r="Z49" i="19"/>
  <c r="Y49" i="19"/>
  <c r="X49" i="19"/>
  <c r="W49" i="19"/>
  <c r="AA48" i="19"/>
  <c r="Z48" i="19"/>
  <c r="Y48" i="19"/>
  <c r="X48" i="19"/>
  <c r="W48" i="19"/>
  <c r="AA47" i="19"/>
  <c r="Z47" i="19"/>
  <c r="Y47" i="19"/>
  <c r="X47" i="19"/>
  <c r="W47" i="19"/>
  <c r="AA46" i="19"/>
  <c r="Z46" i="19"/>
  <c r="Y46" i="19"/>
  <c r="X46" i="19"/>
  <c r="W46" i="19"/>
  <c r="AA45" i="19"/>
  <c r="Z45" i="19"/>
  <c r="Y45" i="19"/>
  <c r="X45" i="19"/>
  <c r="W45" i="19"/>
  <c r="AA44" i="19"/>
  <c r="Z44" i="19"/>
  <c r="Y44" i="19"/>
  <c r="X44" i="19"/>
  <c r="W44" i="19"/>
  <c r="AA43" i="19"/>
  <c r="Z43" i="19"/>
  <c r="Y43" i="19"/>
  <c r="X43" i="19"/>
  <c r="W43" i="19"/>
  <c r="AA42" i="19"/>
  <c r="Z42" i="19"/>
  <c r="Y42" i="19"/>
  <c r="X42" i="19"/>
  <c r="W42" i="19"/>
  <c r="AA41" i="19"/>
  <c r="Z41" i="19"/>
  <c r="Y41" i="19"/>
  <c r="X41" i="19"/>
  <c r="W41" i="19"/>
  <c r="AA40" i="19"/>
  <c r="Z40" i="19"/>
  <c r="Y40" i="19"/>
  <c r="X40" i="19"/>
  <c r="W40" i="19"/>
  <c r="AA39" i="19"/>
  <c r="Z39" i="19"/>
  <c r="Y39" i="19"/>
  <c r="X39" i="19"/>
  <c r="W39" i="19"/>
  <c r="AA38" i="19"/>
  <c r="Z38" i="19"/>
  <c r="Y38" i="19"/>
  <c r="X38" i="19"/>
  <c r="W38" i="19"/>
  <c r="AA37" i="19"/>
  <c r="Z37" i="19"/>
  <c r="Y37" i="19"/>
  <c r="X37" i="19"/>
  <c r="W37" i="19"/>
  <c r="AA36" i="19"/>
  <c r="Z36" i="19"/>
  <c r="Y36" i="19"/>
  <c r="X36" i="19"/>
  <c r="W36" i="19"/>
  <c r="AA35" i="19"/>
  <c r="Z35" i="19"/>
  <c r="Y35" i="19"/>
  <c r="X35" i="19"/>
  <c r="W35" i="19"/>
  <c r="AA34" i="19"/>
  <c r="Z34" i="19"/>
  <c r="Y34" i="19"/>
  <c r="X34" i="19"/>
  <c r="W34" i="19"/>
  <c r="AA33" i="19"/>
  <c r="Z33" i="19"/>
  <c r="Y33" i="19"/>
  <c r="X33" i="19"/>
  <c r="W33" i="19"/>
  <c r="AA32" i="19"/>
  <c r="Z32" i="19"/>
  <c r="Y32" i="19"/>
  <c r="X32" i="19"/>
  <c r="W32" i="19"/>
  <c r="AA31" i="19"/>
  <c r="Z31" i="19"/>
  <c r="Y31" i="19"/>
  <c r="X31" i="19"/>
  <c r="W31" i="19"/>
  <c r="AA30" i="19"/>
  <c r="Z30" i="19"/>
  <c r="Y30" i="19"/>
  <c r="X30" i="19"/>
  <c r="W30" i="19"/>
  <c r="AA29" i="19"/>
  <c r="Z29" i="19"/>
  <c r="Y29" i="19"/>
  <c r="X29" i="19"/>
  <c r="W29" i="19"/>
  <c r="AA28" i="19"/>
  <c r="Z28" i="19"/>
  <c r="Y28" i="19"/>
  <c r="X28" i="19"/>
  <c r="W28" i="19"/>
  <c r="AA27" i="19"/>
  <c r="Z27" i="19"/>
  <c r="Y27" i="19"/>
  <c r="X27" i="19"/>
  <c r="W27" i="19"/>
  <c r="AA26" i="19"/>
  <c r="Z26" i="19"/>
  <c r="Y26" i="19"/>
  <c r="X26" i="19"/>
  <c r="W26" i="19"/>
  <c r="AA25" i="19"/>
  <c r="Z25" i="19"/>
  <c r="Y25" i="19"/>
  <c r="X25" i="19"/>
  <c r="W25" i="19"/>
  <c r="AA24" i="19"/>
  <c r="Z24" i="19"/>
  <c r="Y24" i="19"/>
  <c r="X24" i="19"/>
  <c r="W24" i="19"/>
  <c r="AA23" i="19"/>
  <c r="Z23" i="19"/>
  <c r="Y23" i="19"/>
  <c r="X23" i="19"/>
  <c r="W23" i="19"/>
  <c r="AA22" i="19"/>
  <c r="Z22" i="19"/>
  <c r="Y22" i="19"/>
  <c r="X22" i="19"/>
  <c r="W22" i="19"/>
  <c r="AA21" i="19"/>
  <c r="Z21" i="19"/>
  <c r="Y21" i="19"/>
  <c r="X21" i="19"/>
  <c r="W21" i="19"/>
  <c r="AA20" i="19"/>
  <c r="Z20" i="19"/>
  <c r="Y20" i="19"/>
  <c r="X20" i="19"/>
  <c r="W20" i="19"/>
  <c r="AA19" i="19"/>
  <c r="Z19" i="19"/>
  <c r="Y19" i="19"/>
  <c r="X19" i="19"/>
  <c r="W19" i="19"/>
  <c r="AA18" i="19"/>
  <c r="Z18" i="19"/>
  <c r="Y18" i="19"/>
  <c r="X18" i="19"/>
  <c r="W18" i="19"/>
  <c r="AA17" i="19"/>
  <c r="Z17" i="19"/>
  <c r="Y17" i="19"/>
  <c r="X17" i="19"/>
  <c r="W17" i="19"/>
  <c r="AA16" i="19"/>
  <c r="Z16" i="19"/>
  <c r="Y16" i="19"/>
  <c r="X16" i="19"/>
  <c r="W16" i="19"/>
  <c r="AA15" i="19"/>
  <c r="Z15" i="19"/>
  <c r="Y15" i="19"/>
  <c r="X15" i="19"/>
  <c r="W15" i="19"/>
  <c r="AA14" i="19"/>
  <c r="Z14" i="19"/>
  <c r="Y14" i="19"/>
  <c r="X14" i="19"/>
  <c r="W14" i="19"/>
  <c r="AA13" i="19"/>
  <c r="Z13" i="19"/>
  <c r="Y13" i="19"/>
  <c r="X13" i="19"/>
  <c r="W13" i="19"/>
  <c r="AA12" i="19"/>
  <c r="Z12" i="19"/>
  <c r="Y12" i="19"/>
  <c r="X12" i="19"/>
  <c r="W12" i="19"/>
  <c r="AA11" i="19"/>
  <c r="Z11" i="19"/>
  <c r="Y11" i="19"/>
  <c r="X11" i="19"/>
  <c r="W11" i="19"/>
  <c r="AA10" i="19"/>
  <c r="Z10" i="19"/>
  <c r="Y10" i="19"/>
  <c r="X10" i="19"/>
  <c r="W10" i="19"/>
  <c r="AA9" i="19"/>
  <c r="Z9" i="19"/>
  <c r="Y9" i="19"/>
  <c r="X9" i="19"/>
  <c r="W9" i="19"/>
  <c r="AA8" i="19"/>
  <c r="Z8" i="19"/>
  <c r="Y8" i="19"/>
  <c r="X8" i="19"/>
  <c r="W8" i="19"/>
  <c r="AA7" i="19"/>
  <c r="Z7" i="19"/>
  <c r="Y7" i="19"/>
  <c r="X7" i="19"/>
  <c r="W7" i="19"/>
  <c r="AA6" i="19"/>
  <c r="Z6" i="19"/>
  <c r="Y6" i="19"/>
  <c r="X6" i="19"/>
  <c r="W6" i="19"/>
  <c r="AA5" i="19"/>
  <c r="Z5" i="19"/>
  <c r="Y5" i="19"/>
  <c r="X5" i="19"/>
  <c r="W5" i="19"/>
  <c r="AA4" i="19"/>
  <c r="Z4" i="19"/>
  <c r="Y4" i="19"/>
  <c r="X4" i="19"/>
  <c r="W4" i="19"/>
  <c r="AA3" i="19"/>
  <c r="Z3" i="19"/>
  <c r="Y3" i="19"/>
  <c r="X3" i="19"/>
  <c r="W3" i="19"/>
  <c r="AA2" i="19"/>
  <c r="Z2" i="19"/>
  <c r="Y2" i="19"/>
  <c r="X2" i="19"/>
  <c r="W2" i="19"/>
  <c r="L8" i="18" l="1"/>
  <c r="Q12" i="18" s="1"/>
  <c r="S9" i="18" s="1"/>
  <c r="H25" i="18" s="1"/>
  <c r="AQ1" i="3"/>
  <c r="AP1" i="3"/>
  <c r="H26" i="18" l="1"/>
  <c r="H30" i="18"/>
  <c r="G27" i="18"/>
  <c r="G31" i="18"/>
  <c r="F28" i="18"/>
  <c r="F25" i="18"/>
  <c r="O26" i="18"/>
  <c r="H27" i="18"/>
  <c r="H31" i="18"/>
  <c r="G28" i="18"/>
  <c r="G25" i="18"/>
  <c r="F29" i="18"/>
  <c r="O27" i="18"/>
  <c r="H28" i="18"/>
  <c r="G29" i="18"/>
  <c r="F26" i="18"/>
  <c r="F30" i="18"/>
  <c r="O29" i="18"/>
  <c r="H29" i="18"/>
  <c r="G26" i="18"/>
  <c r="G30" i="18"/>
  <c r="F27" i="18"/>
  <c r="F31" i="18"/>
  <c r="O28" i="18"/>
  <c r="O25" i="18"/>
  <c r="Q4" i="18"/>
  <c r="S7" i="18" s="1"/>
  <c r="Q8" i="18"/>
  <c r="S8" i="18" s="1"/>
  <c r="E29" i="18" l="1"/>
  <c r="N25" i="18"/>
  <c r="E26" i="18"/>
  <c r="E30" i="18"/>
  <c r="N26" i="18"/>
  <c r="E27" i="18"/>
  <c r="E31" i="18"/>
  <c r="N27" i="18"/>
  <c r="E28" i="18"/>
  <c r="E25" i="18"/>
  <c r="N29" i="18"/>
  <c r="N28" i="18"/>
  <c r="D31" i="18"/>
  <c r="D30" i="18"/>
  <c r="D26" i="18"/>
  <c r="M26" i="18"/>
  <c r="M25" i="18"/>
  <c r="D29" i="18"/>
  <c r="D25" i="18"/>
  <c r="M27" i="18"/>
  <c r="D28" i="18"/>
  <c r="M28" i="18"/>
  <c r="D27" i="18"/>
  <c r="M29" i="18"/>
  <c r="W7" i="18"/>
  <c r="W8" i="18"/>
  <c r="W9" i="18"/>
  <c r="W11" i="18" l="1"/>
  <c r="W12" i="18" s="1"/>
  <c r="CA8" i="18"/>
  <c r="CA9" i="18" l="1"/>
  <c r="CA10" i="18" s="1"/>
  <c r="CA11" i="18" s="1"/>
  <c r="CA12" i="18" s="1"/>
  <c r="CA13" i="18" s="1"/>
  <c r="CA14" i="18" s="1"/>
  <c r="CA15" i="18" s="1"/>
  <c r="CA16" i="18" s="1"/>
  <c r="CA17" i="18" s="1"/>
  <c r="CA18" i="18" s="1"/>
  <c r="CA19" i="18" s="1"/>
  <c r="CA20" i="18" s="1"/>
  <c r="CA21" i="18" s="1"/>
  <c r="CA22" i="18" s="1"/>
  <c r="CA23" i="18" s="1"/>
  <c r="CA24" i="18" s="1"/>
  <c r="CA25" i="18" s="1"/>
  <c r="CA26" i="18" s="1"/>
  <c r="CA27" i="18" s="1"/>
  <c r="CA28" i="18" s="1"/>
  <c r="CA4" i="18" l="1"/>
  <c r="M36" i="18" s="1"/>
  <c r="CC6" i="18"/>
  <c r="CC8" i="18" s="1"/>
  <c r="CC9" i="18" s="1"/>
  <c r="CC10" i="18" s="1"/>
  <c r="CC11" i="18" s="1"/>
  <c r="CC12" i="18" s="1"/>
  <c r="CC13" i="18" s="1"/>
  <c r="CC14" i="18" s="1"/>
  <c r="CC15" i="18" s="1"/>
  <c r="CC16" i="18" s="1"/>
  <c r="CC17" i="18" s="1"/>
  <c r="CC18" i="18" s="1"/>
  <c r="CC19" i="18" s="1"/>
  <c r="CC20" i="18" s="1"/>
  <c r="CC21" i="18" s="1"/>
  <c r="CC22" i="18" s="1"/>
  <c r="CC23" i="18" s="1"/>
  <c r="CC24" i="18" s="1"/>
  <c r="CC25" i="18" s="1"/>
  <c r="CC26" i="18" s="1"/>
  <c r="CC27" i="18" s="1"/>
  <c r="CC28" i="18" s="1"/>
  <c r="CC4" i="18" l="1"/>
  <c r="M37" i="18" s="1"/>
</calcChain>
</file>

<file path=xl/comments1.xml><?xml version="1.0" encoding="utf-8"?>
<comments xmlns="http://schemas.openxmlformats.org/spreadsheetml/2006/main">
  <authors>
    <author>Arfil, Yuri: MR.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Arfil, Yuri: MR.:</t>
        </r>
        <r>
          <rPr>
            <sz val="9"/>
            <color indexed="81"/>
            <rFont val="Tahoma"/>
            <family val="2"/>
          </rPr>
          <t xml:space="preserve">
=RAND()</t>
        </r>
      </text>
    </comment>
    <comment ref="A94" authorId="0">
      <text>
        <r>
          <rPr>
            <b/>
            <sz val="9"/>
            <color indexed="81"/>
            <rFont val="Tahoma"/>
            <family val="2"/>
          </rPr>
          <t>Arfil, Yuri: MR.:</t>
        </r>
        <r>
          <rPr>
            <sz val="9"/>
            <color indexed="81"/>
            <rFont val="Tahoma"/>
            <family val="2"/>
          </rPr>
          <t xml:space="preserve">
=RAND()</t>
        </r>
      </text>
    </comment>
  </commentList>
</comments>
</file>

<file path=xl/comments2.xml><?xml version="1.0" encoding="utf-8"?>
<comments xmlns="http://schemas.openxmlformats.org/spreadsheetml/2006/main">
  <authors>
    <author>Arfil, Yuri: MR.</author>
  </authors>
  <commentList>
    <comment ref="A103" authorId="0">
      <text>
        <r>
          <rPr>
            <b/>
            <sz val="9"/>
            <color indexed="81"/>
            <rFont val="Tahoma"/>
            <family val="2"/>
          </rPr>
          <t>Arfil, Yuri: MR.:</t>
        </r>
        <r>
          <rPr>
            <sz val="9"/>
            <color indexed="81"/>
            <rFont val="Tahoma"/>
            <family val="2"/>
          </rPr>
          <t xml:space="preserve">
=RAND()</t>
        </r>
      </text>
    </comment>
  </commentList>
</comments>
</file>

<file path=xl/sharedStrings.xml><?xml version="1.0" encoding="utf-8"?>
<sst xmlns="http://schemas.openxmlformats.org/spreadsheetml/2006/main" count="935" uniqueCount="239">
  <si>
    <t>h1</t>
  </si>
  <si>
    <t>i1</t>
  </si>
  <si>
    <t>i2</t>
  </si>
  <si>
    <t>h2</t>
  </si>
  <si>
    <t>id</t>
  </si>
  <si>
    <t>diagnosis</t>
  </si>
  <si>
    <t>radius_mean</t>
  </si>
  <si>
    <t>texture_mean</t>
  </si>
  <si>
    <t>perimeter_mean</t>
  </si>
  <si>
    <t>area_mean</t>
  </si>
  <si>
    <t>smoothness_mean</t>
  </si>
  <si>
    <t>compactness_mean</t>
  </si>
  <si>
    <t>concavity_mean</t>
  </si>
  <si>
    <t>concave points_mean</t>
  </si>
  <si>
    <t>symmetry_mean</t>
  </si>
  <si>
    <t>fractal_dimension_mean</t>
  </si>
  <si>
    <t>radius_se</t>
  </si>
  <si>
    <t>texture_se</t>
  </si>
  <si>
    <t>perimeter_se</t>
  </si>
  <si>
    <t>area_se</t>
  </si>
  <si>
    <t>smoothness_se</t>
  </si>
  <si>
    <t>compactness_se</t>
  </si>
  <si>
    <t>concavity_se</t>
  </si>
  <si>
    <t>concave points_se</t>
  </si>
  <si>
    <t>symmetry_se</t>
  </si>
  <si>
    <t>fractal_dimension_se</t>
  </si>
  <si>
    <t>radius_worst</t>
  </si>
  <si>
    <t>texture_worst</t>
  </si>
  <si>
    <t>perimeter_worst</t>
  </si>
  <si>
    <t>area_worst</t>
  </si>
  <si>
    <t>smoothness_worst</t>
  </si>
  <si>
    <t>compactness_worst</t>
  </si>
  <si>
    <t>concavity_worst</t>
  </si>
  <si>
    <t>concave points_worst</t>
  </si>
  <si>
    <t>symmetry_worst</t>
  </si>
  <si>
    <t>fractal_dimension_worst</t>
  </si>
  <si>
    <t>M</t>
  </si>
  <si>
    <t>B</t>
  </si>
  <si>
    <t>W1</t>
  </si>
  <si>
    <t>W2</t>
  </si>
  <si>
    <t>W3</t>
  </si>
  <si>
    <t>W4</t>
  </si>
  <si>
    <t>W5</t>
  </si>
  <si>
    <t>W6</t>
  </si>
  <si>
    <t>W7</t>
  </si>
  <si>
    <t>W8</t>
  </si>
  <si>
    <t>y</t>
  </si>
  <si>
    <t>i3</t>
  </si>
  <si>
    <t>i4</t>
  </si>
  <si>
    <t>i5</t>
  </si>
  <si>
    <t>wf_O1</t>
  </si>
  <si>
    <t>wf_O2</t>
  </si>
  <si>
    <t>MSE</t>
  </si>
  <si>
    <t>y1</t>
  </si>
  <si>
    <t>y2</t>
  </si>
  <si>
    <t>LR</t>
  </si>
  <si>
    <t>wf_i1</t>
  </si>
  <si>
    <t>wf_i2</t>
  </si>
  <si>
    <t>Initial Weight</t>
  </si>
  <si>
    <t>ANN</t>
  </si>
  <si>
    <t>fe_no</t>
  </si>
  <si>
    <t>f1</t>
  </si>
  <si>
    <t>f2</t>
  </si>
  <si>
    <t>f3</t>
  </si>
  <si>
    <t>f4</t>
  </si>
  <si>
    <t>f5</t>
  </si>
  <si>
    <t>wf_i3</t>
  </si>
  <si>
    <t>h3</t>
  </si>
  <si>
    <t>y3</t>
  </si>
  <si>
    <t>wf_O3</t>
  </si>
  <si>
    <t>O1</t>
  </si>
  <si>
    <t>O2</t>
  </si>
  <si>
    <t>O3</t>
  </si>
  <si>
    <t>Weight Initialization</t>
  </si>
  <si>
    <t>randome</t>
  </si>
  <si>
    <t>no</t>
  </si>
  <si>
    <t>mse</t>
  </si>
  <si>
    <t>wf_O1.1</t>
  </si>
  <si>
    <t>wf_O1.2</t>
  </si>
  <si>
    <t>wf_O1.3</t>
  </si>
  <si>
    <t>wf_O2.1</t>
  </si>
  <si>
    <t>wf_O2.2</t>
  </si>
  <si>
    <t>wf_O2.3</t>
  </si>
  <si>
    <t>wf_O3.1</t>
  </si>
  <si>
    <t>wf_O3.2</t>
  </si>
  <si>
    <t>wf_O3.3</t>
  </si>
  <si>
    <t>wf_i1.1</t>
  </si>
  <si>
    <t>wf_i1.2</t>
  </si>
  <si>
    <t>wf_i1.3</t>
  </si>
  <si>
    <t>wf_i1.4</t>
  </si>
  <si>
    <t>wf_i1.5</t>
  </si>
  <si>
    <t>wf_i2.1</t>
  </si>
  <si>
    <t>wf_i2.2</t>
  </si>
  <si>
    <t>wf_i2.3</t>
  </si>
  <si>
    <t>wf_i2.4</t>
  </si>
  <si>
    <t>wf_i2.5</t>
  </si>
  <si>
    <t>wf_i3.1</t>
  </si>
  <si>
    <t>wf_i3.2</t>
  </si>
  <si>
    <t>wf_i3.3</t>
  </si>
  <si>
    <t>wf_i3.4</t>
  </si>
  <si>
    <t>wf_i3.5</t>
  </si>
  <si>
    <t>00000</t>
  </si>
  <si>
    <t>wf_i1w</t>
  </si>
  <si>
    <t>wf_i2w</t>
  </si>
  <si>
    <t>wf_i3w</t>
  </si>
  <si>
    <t>wf_O1w</t>
  </si>
  <si>
    <t>wf_O2w</t>
  </si>
  <si>
    <t>wf_O3w</t>
  </si>
  <si>
    <t>Gradient</t>
  </si>
  <si>
    <t>gradient</t>
  </si>
  <si>
    <t>sum mse</t>
  </si>
  <si>
    <t>y^</t>
  </si>
  <si>
    <t>OUT</t>
  </si>
  <si>
    <t>wf_i4</t>
  </si>
  <si>
    <t>wf_i5</t>
  </si>
  <si>
    <t>h4</t>
  </si>
  <si>
    <t>h5</t>
  </si>
  <si>
    <t>ReLu_h2</t>
  </si>
  <si>
    <t>ReLu_h3</t>
  </si>
  <si>
    <t>ReLu_h4</t>
  </si>
  <si>
    <t>ReLu_h5</t>
  </si>
  <si>
    <t>ReLu_h1</t>
  </si>
  <si>
    <t>f6</t>
  </si>
  <si>
    <t>f7</t>
  </si>
  <si>
    <t>i6</t>
  </si>
  <si>
    <t>i7</t>
  </si>
  <si>
    <t>wf_O1.4</t>
  </si>
  <si>
    <t>wf_O1.5</t>
  </si>
  <si>
    <t>wf_O2.4</t>
  </si>
  <si>
    <t>wf_O2.5</t>
  </si>
  <si>
    <t>wf_O3.4</t>
  </si>
  <si>
    <t>wf_O3.5</t>
  </si>
  <si>
    <t>wf_i1.6</t>
  </si>
  <si>
    <t>wf_i1.7</t>
  </si>
  <si>
    <t>wf_i2.6</t>
  </si>
  <si>
    <t>wf_i2.7</t>
  </si>
  <si>
    <t>wf_i3.6</t>
  </si>
  <si>
    <t>wf_i3.7</t>
  </si>
  <si>
    <t>wf_i4.1</t>
  </si>
  <si>
    <t>wf_i4.2</t>
  </si>
  <si>
    <t>wf_i4.3</t>
  </si>
  <si>
    <t>wf_i4.4</t>
  </si>
  <si>
    <t>wf_i4.5</t>
  </si>
  <si>
    <t>wf_i4.6</t>
  </si>
  <si>
    <t>wf_i4.7</t>
  </si>
  <si>
    <t>wf_i5.1</t>
  </si>
  <si>
    <t>wf_i5.2</t>
  </si>
  <si>
    <t>wf_i5.3</t>
  </si>
  <si>
    <t>wf_i5.4</t>
  </si>
  <si>
    <t>wf_i5.5</t>
  </si>
  <si>
    <t>wf_i5.6</t>
  </si>
  <si>
    <t>wf_i5.7</t>
  </si>
  <si>
    <t>wf_i4w</t>
  </si>
  <si>
    <t>wf_i5w</t>
  </si>
  <si>
    <t>i</t>
  </si>
  <si>
    <t>Sigmoid_o1</t>
  </si>
  <si>
    <t>Sigmoid_o2</t>
  </si>
  <si>
    <t>Sigmoid_o3</t>
  </si>
  <si>
    <t>K-Fold Cross Validation</t>
  </si>
  <si>
    <t>beta1</t>
  </si>
  <si>
    <t>beta2</t>
  </si>
  <si>
    <t>m(t)</t>
  </si>
  <si>
    <t>v(t)</t>
  </si>
  <si>
    <t>O1.1</t>
  </si>
  <si>
    <t>O1.2</t>
  </si>
  <si>
    <t>O1.3</t>
  </si>
  <si>
    <t>epsilon</t>
  </si>
  <si>
    <t>O1.4</t>
  </si>
  <si>
    <t>O1.5</t>
  </si>
  <si>
    <t>O2.1</t>
  </si>
  <si>
    <t>O2.2</t>
  </si>
  <si>
    <t>O2.3</t>
  </si>
  <si>
    <t>O2.4</t>
  </si>
  <si>
    <t>O2.5</t>
  </si>
  <si>
    <t>O3.1</t>
  </si>
  <si>
    <t>O3.2</t>
  </si>
  <si>
    <t>O3.3</t>
  </si>
  <si>
    <t>O3.4</t>
  </si>
  <si>
    <t>O3.5</t>
  </si>
  <si>
    <t>i1.1</t>
  </si>
  <si>
    <t>i1.2</t>
  </si>
  <si>
    <t>i1.3</t>
  </si>
  <si>
    <t>i1.4</t>
  </si>
  <si>
    <t>i1.5</t>
  </si>
  <si>
    <t>i1.6</t>
  </si>
  <si>
    <t>i1.7</t>
  </si>
  <si>
    <t>i2.1</t>
  </si>
  <si>
    <t>i2.2</t>
  </si>
  <si>
    <t>i2.3</t>
  </si>
  <si>
    <t>i2.4</t>
  </si>
  <si>
    <t>i2.5</t>
  </si>
  <si>
    <t>i2.6</t>
  </si>
  <si>
    <t>i2.7</t>
  </si>
  <si>
    <t>i3.1</t>
  </si>
  <si>
    <t>i3.2</t>
  </si>
  <si>
    <t>i3.3</t>
  </si>
  <si>
    <t>i3.4</t>
  </si>
  <si>
    <t>i3.5</t>
  </si>
  <si>
    <t>i3.6</t>
  </si>
  <si>
    <t>i3.7</t>
  </si>
  <si>
    <t>i4.1</t>
  </si>
  <si>
    <t>i4.2</t>
  </si>
  <si>
    <t>i4.3</t>
  </si>
  <si>
    <t>i4.4</t>
  </si>
  <si>
    <t>i4.5</t>
  </si>
  <si>
    <t>i4.6</t>
  </si>
  <si>
    <t>i4.7</t>
  </si>
  <si>
    <t>i5.1</t>
  </si>
  <si>
    <t>i5.2</t>
  </si>
  <si>
    <t>i5.3</t>
  </si>
  <si>
    <t>i5.4</t>
  </si>
  <si>
    <t>i5.5</t>
  </si>
  <si>
    <t>i5.6</t>
  </si>
  <si>
    <t>i5.7</t>
  </si>
  <si>
    <t>Moment and Variance</t>
  </si>
  <si>
    <t>New Weight without Adam</t>
  </si>
  <si>
    <t>New Weight with Adam</t>
  </si>
  <si>
    <t>wf_i1wA</t>
  </si>
  <si>
    <t>wf_i2wA</t>
  </si>
  <si>
    <t>wf_i3wA</t>
  </si>
  <si>
    <t>wf_i4wA</t>
  </si>
  <si>
    <t>wf_i5wA</t>
  </si>
  <si>
    <t>wf_O1wA</t>
  </si>
  <si>
    <t>wf_O2wA</t>
  </si>
  <si>
    <t>wf_O3wA</t>
  </si>
  <si>
    <t>Input</t>
  </si>
  <si>
    <t>Output</t>
  </si>
  <si>
    <t>https://machinelearningmastery.com/adam-optimization-from-scratch/</t>
  </si>
  <si>
    <t>Hyperparameters</t>
  </si>
  <si>
    <t>https://machinelearningmastery.com/k-fold-cross-validation/</t>
  </si>
  <si>
    <t>https://machinelearningmastery.com/how-to-improve-neural-network-stability-and-modeling-performance-with-data-scaling/</t>
  </si>
  <si>
    <t>https://machinelearningmastery.com/weight-initialization-for-deep-learning-neural-networks/</t>
  </si>
  <si>
    <t>https://machinelearningmastery.com/one-hot-encoding-for-categorical-data/</t>
  </si>
  <si>
    <t>https://datascience.stackexchange.com/questions/24511/why-should-the-data-be-shuffled-for-machine-learning-tasks</t>
  </si>
  <si>
    <t>https://keras.rstudio.com/reference/fit.html</t>
  </si>
  <si>
    <t>https://machinelearningmastery.com/implement-backpropagation-algorithm-scratch-python/</t>
  </si>
  <si>
    <t>https://machinelearningmastery.com/confusion-matrix-machine-learning/</t>
  </si>
  <si>
    <t>https://archive.ics.uci.edu/ml/datasets/seeds</t>
  </si>
  <si>
    <t>https://raw.githubusercontent.com/jbrownlee/Datasets/master/wheat-seeds.csv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</si>
</sst>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00"/>
    <numFmt numFmtId="166" formatCode="0.000000000"/>
    <numFmt numFmtId="167" formatCode="0.00000"/>
    <numFmt numFmtId="168" formatCode="0.0000000000"/>
    <numFmt numFmtId="169" formatCode="0.0000000"/>
    <numFmt numFmtId="170" formatCode="0.0"/>
  </numFmts>
  <fonts count="22" x14ac:knownFonts="1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sz val="10"/>
      <name val="Arial"/>
      <family val="2"/>
    </font>
    <font>
      <b/>
      <sz val="18"/>
      <color indexed="62"/>
      <name val="Cambria"/>
      <family val="1"/>
    </font>
    <font>
      <b/>
      <sz val="10"/>
      <color rgb="FF000000"/>
      <name val="Arial"/>
      <family val="2"/>
    </font>
    <font>
      <sz val="10"/>
      <color rgb="FF000000"/>
      <name val="Arial Unicode MS"/>
      <family val="2"/>
    </font>
    <font>
      <sz val="10"/>
      <color rgb="FF000000"/>
      <name val="Arial"/>
      <family val="2"/>
    </font>
    <font>
      <b/>
      <sz val="13.5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 Unicode MS"/>
      <family val="2"/>
    </font>
    <font>
      <b/>
      <sz val="15"/>
      <color rgb="FF000000"/>
      <name val="Arial"/>
      <family val="2"/>
    </font>
    <font>
      <u/>
      <sz val="10"/>
      <color theme="10"/>
      <name val="Arial"/>
      <family val="2"/>
    </font>
    <font>
      <b/>
      <sz val="10"/>
      <color theme="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27"/>
        <bgColor indexed="27"/>
      </patternFill>
    </fill>
    <fill>
      <patternFill patternType="solid">
        <fgColor indexed="31"/>
        <bgColor indexed="31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4"/>
        <bgColor indexed="44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34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4" borderId="0" applyNumberFormat="0" applyBorder="0" applyAlignment="0" applyProtection="0"/>
    <xf numFmtId="0" fontId="8" fillId="6" borderId="0" applyNumberFormat="0" applyBorder="0" applyAlignment="0" applyProtection="0"/>
    <xf numFmtId="0" fontId="7" fillId="5" borderId="0" applyNumberFormat="0" applyBorder="0" applyAlignment="0" applyProtection="0"/>
    <xf numFmtId="0" fontId="7" fillId="7" borderId="0" applyNumberFormat="0" applyBorder="0" applyAlignment="0" applyProtection="0"/>
    <xf numFmtId="0" fontId="8" fillId="4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4" borderId="0" applyNumberFormat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8" borderId="0" applyNumberFormat="0" applyBorder="0" applyAlignment="0" applyProtection="0"/>
    <xf numFmtId="0" fontId="7" fillId="5" borderId="0" applyNumberFormat="0" applyBorder="0" applyAlignment="0" applyProtection="0"/>
    <xf numFmtId="0" fontId="7" fillId="9" borderId="0" applyNumberFormat="0" applyBorder="0" applyAlignment="0" applyProtection="0"/>
    <xf numFmtId="0" fontId="8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7" fillId="0" borderId="0"/>
    <xf numFmtId="0" fontId="10" fillId="0" borderId="0"/>
    <xf numFmtId="0" fontId="6" fillId="0" borderId="0"/>
    <xf numFmtId="0" fontId="6" fillId="0" borderId="0"/>
    <xf numFmtId="0" fontId="6" fillId="0" borderId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5" fillId="0" borderId="0"/>
    <xf numFmtId="0" fontId="4" fillId="0" borderId="0"/>
    <xf numFmtId="9" fontId="14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" fillId="0" borderId="0"/>
  </cellStyleXfs>
  <cellXfs count="96">
    <xf numFmtId="0" fontId="0" fillId="0" borderId="0" xfId="0"/>
    <xf numFmtId="0" fontId="5" fillId="0" borderId="0" xfId="29"/>
    <xf numFmtId="2" fontId="5" fillId="0" borderId="0" xfId="29" applyNumberFormat="1"/>
    <xf numFmtId="0" fontId="0" fillId="0" borderId="0" xfId="0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horizontal="center" vertical="center"/>
    </xf>
    <xf numFmtId="0" fontId="12" fillId="0" borderId="0" xfId="0" applyFont="1"/>
    <xf numFmtId="0" fontId="13" fillId="0" borderId="0" xfId="0" applyFont="1" applyAlignment="1">
      <alignment vertical="center"/>
    </xf>
    <xf numFmtId="164" fontId="0" fillId="0" borderId="0" xfId="0" applyNumberFormat="1" applyAlignment="1">
      <alignment horizontal="center"/>
    </xf>
    <xf numFmtId="0" fontId="0" fillId="0" borderId="0" xfId="0" quotePrefix="1"/>
    <xf numFmtId="165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0" xfId="0" applyNumberFormat="1"/>
    <xf numFmtId="0" fontId="12" fillId="0" borderId="0" xfId="0" applyFont="1" applyAlignment="1">
      <alignment horizontal="right" vertical="center"/>
    </xf>
    <xf numFmtId="166" fontId="0" fillId="13" borderId="0" xfId="0" applyNumberFormat="1" applyFill="1" applyBorder="1" applyAlignment="1">
      <alignment horizontal="center"/>
    </xf>
    <xf numFmtId="0" fontId="0" fillId="13" borderId="0" xfId="0" applyFill="1" applyBorder="1"/>
    <xf numFmtId="165" fontId="0" fillId="13" borderId="0" xfId="0" applyNumberFormat="1" applyFill="1" applyBorder="1" applyAlignment="1">
      <alignment horizontal="center"/>
    </xf>
    <xf numFmtId="0" fontId="12" fillId="13" borderId="0" xfId="0" applyFont="1" applyFill="1" applyBorder="1" applyAlignment="1">
      <alignment horizontal="right"/>
    </xf>
    <xf numFmtId="0" fontId="0" fillId="13" borderId="0" xfId="0" applyFill="1" applyBorder="1" applyAlignment="1">
      <alignment horizontal="center"/>
    </xf>
    <xf numFmtId="0" fontId="12" fillId="13" borderId="0" xfId="0" applyFont="1" applyFill="1" applyBorder="1" applyAlignment="1">
      <alignment horizontal="center" vertical="center"/>
    </xf>
    <xf numFmtId="0" fontId="12" fillId="14" borderId="0" xfId="0" applyFont="1" applyFill="1" applyAlignment="1">
      <alignment horizontal="center" vertical="center"/>
    </xf>
    <xf numFmtId="0" fontId="12" fillId="14" borderId="0" xfId="0" applyFont="1" applyFill="1" applyAlignment="1">
      <alignment horizontal="right"/>
    </xf>
    <xf numFmtId="166" fontId="12" fillId="0" borderId="0" xfId="0" applyNumberFormat="1" applyFont="1" applyAlignment="1">
      <alignment horizontal="center" vertical="center"/>
    </xf>
    <xf numFmtId="0" fontId="4" fillId="0" borderId="0" xfId="30"/>
    <xf numFmtId="167" fontId="4" fillId="0" borderId="0" xfId="30" applyNumberFormat="1"/>
    <xf numFmtId="168" fontId="0" fillId="0" borderId="0" xfId="0" applyNumberFormat="1" applyAlignment="1">
      <alignment horizontal="right"/>
    </xf>
    <xf numFmtId="10" fontId="0" fillId="0" borderId="0" xfId="31" applyNumberFormat="1" applyFont="1"/>
    <xf numFmtId="0" fontId="3" fillId="0" borderId="0" xfId="30" applyFont="1" applyFill="1"/>
    <xf numFmtId="0" fontId="2" fillId="0" borderId="0" xfId="30" applyFont="1"/>
    <xf numFmtId="167" fontId="0" fillId="0" borderId="0" xfId="0" applyNumberFormat="1"/>
    <xf numFmtId="0" fontId="0" fillId="0" borderId="0" xfId="0" applyAlignment="1">
      <alignment horizontal="center" vertical="center"/>
    </xf>
    <xf numFmtId="0" fontId="12" fillId="14" borderId="0" xfId="0" applyFont="1" applyFill="1" applyAlignment="1">
      <alignment horizontal="center"/>
    </xf>
    <xf numFmtId="167" fontId="0" fillId="0" borderId="0" xfId="0" applyNumberFormat="1" applyFill="1"/>
    <xf numFmtId="0" fontId="0" fillId="0" borderId="0" xfId="0" applyFill="1"/>
    <xf numFmtId="168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left"/>
    </xf>
    <xf numFmtId="169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168" fontId="13" fillId="0" borderId="0" xfId="0" applyNumberFormat="1" applyFont="1" applyFill="1" applyAlignment="1">
      <alignment vertical="center"/>
    </xf>
    <xf numFmtId="0" fontId="12" fillId="15" borderId="0" xfId="0" applyFont="1" applyFill="1" applyBorder="1" applyAlignment="1">
      <alignment horizontal="center" vertical="center"/>
    </xf>
    <xf numFmtId="0" fontId="0" fillId="0" borderId="0" xfId="0" quotePrefix="1" applyAlignment="1">
      <alignment horizontal="left"/>
    </xf>
    <xf numFmtId="164" fontId="0" fillId="0" borderId="0" xfId="0" applyNumberFormat="1"/>
    <xf numFmtId="0" fontId="12" fillId="0" borderId="0" xfId="0" applyFont="1" applyFill="1" applyBorder="1" applyAlignment="1">
      <alignment horizontal="center" vertical="center"/>
    </xf>
    <xf numFmtId="165" fontId="0" fillId="15" borderId="0" xfId="0" applyNumberFormat="1" applyFill="1"/>
    <xf numFmtId="0" fontId="12" fillId="16" borderId="0" xfId="0" applyFont="1" applyFill="1" applyBorder="1" applyAlignment="1">
      <alignment horizontal="center" vertical="center"/>
    </xf>
    <xf numFmtId="166" fontId="0" fillId="16" borderId="0" xfId="0" applyNumberFormat="1" applyFill="1" applyBorder="1" applyAlignment="1">
      <alignment horizontal="center"/>
    </xf>
    <xf numFmtId="9" fontId="0" fillId="0" borderId="0" xfId="31" applyNumberFormat="1" applyFont="1"/>
    <xf numFmtId="0" fontId="12" fillId="16" borderId="0" xfId="0" applyFont="1" applyFill="1" applyBorder="1" applyAlignment="1">
      <alignment horizontal="center" vertical="center"/>
    </xf>
    <xf numFmtId="170" fontId="0" fillId="0" borderId="0" xfId="0" applyNumberFormat="1" applyFill="1"/>
    <xf numFmtId="170" fontId="0" fillId="0" borderId="0" xfId="0" applyNumberFormat="1"/>
    <xf numFmtId="165" fontId="0" fillId="0" borderId="0" xfId="0" quotePrefix="1" applyNumberFormat="1"/>
    <xf numFmtId="165" fontId="0" fillId="0" borderId="0" xfId="0" applyNumberFormat="1" applyFill="1"/>
    <xf numFmtId="1" fontId="0" fillId="0" borderId="0" xfId="0" applyNumberFormat="1" applyFill="1"/>
    <xf numFmtId="0" fontId="0" fillId="13" borderId="0" xfId="0" applyFill="1"/>
    <xf numFmtId="11" fontId="18" fillId="0" borderId="0" xfId="0" applyNumberFormat="1" applyFont="1" applyAlignment="1">
      <alignment vertical="center"/>
    </xf>
    <xf numFmtId="11" fontId="0" fillId="0" borderId="0" xfId="0" applyNumberFormat="1"/>
    <xf numFmtId="2" fontId="0" fillId="0" borderId="0" xfId="0" applyNumberFormat="1" applyFill="1"/>
    <xf numFmtId="2" fontId="0" fillId="0" borderId="0" xfId="0" applyNumberFormat="1"/>
    <xf numFmtId="0" fontId="0" fillId="14" borderId="0" xfId="0" applyFill="1"/>
    <xf numFmtId="0" fontId="0" fillId="14" borderId="0" xfId="0" applyFill="1" applyAlignment="1">
      <alignment horizontal="center"/>
    </xf>
    <xf numFmtId="1" fontId="12" fillId="0" borderId="0" xfId="0" applyNumberFormat="1" applyFont="1" applyFill="1" applyAlignment="1">
      <alignment horizontal="center" vertical="center"/>
    </xf>
    <xf numFmtId="166" fontId="0" fillId="17" borderId="0" xfId="0" applyNumberFormat="1" applyFill="1" applyAlignment="1">
      <alignment horizontal="center" vertical="center"/>
    </xf>
    <xf numFmtId="0" fontId="12" fillId="17" borderId="0" xfId="0" applyFon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165" fontId="0" fillId="17" borderId="0" xfId="0" applyNumberFormat="1" applyFill="1" applyAlignment="1">
      <alignment horizontal="center" vertical="center"/>
    </xf>
    <xf numFmtId="11" fontId="0" fillId="0" borderId="0" xfId="0" applyNumberFormat="1" applyAlignment="1">
      <alignment horizontal="center"/>
    </xf>
    <xf numFmtId="0" fontId="12" fillId="0" borderId="0" xfId="0" applyFont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12" fillId="17" borderId="0" xfId="0" applyFont="1" applyFill="1" applyBorder="1" applyAlignment="1">
      <alignment horizontal="center" vertical="center"/>
    </xf>
    <xf numFmtId="0" fontId="0" fillId="17" borderId="0" xfId="0" applyFill="1" applyBorder="1"/>
    <xf numFmtId="0" fontId="12" fillId="18" borderId="0" xfId="0" applyFont="1" applyFill="1" applyBorder="1" applyAlignment="1">
      <alignment horizontal="center" vertical="center"/>
    </xf>
    <xf numFmtId="0" fontId="0" fillId="18" borderId="0" xfId="0" applyFill="1" applyBorder="1"/>
    <xf numFmtId="166" fontId="0" fillId="18" borderId="0" xfId="0" applyNumberFormat="1" applyFill="1" applyBorder="1" applyAlignment="1">
      <alignment horizontal="center"/>
    </xf>
    <xf numFmtId="165" fontId="0" fillId="18" borderId="0" xfId="0" applyNumberFormat="1" applyFill="1" applyBorder="1" applyAlignment="1">
      <alignment horizontal="center"/>
    </xf>
    <xf numFmtId="0" fontId="12" fillId="18" borderId="0" xfId="0" applyFont="1" applyFill="1" applyBorder="1" applyAlignment="1">
      <alignment horizontal="right"/>
    </xf>
    <xf numFmtId="0" fontId="0" fillId="18" borderId="0" xfId="0" applyFill="1" applyBorder="1" applyAlignment="1">
      <alignment horizontal="center"/>
    </xf>
    <xf numFmtId="0" fontId="12" fillId="18" borderId="0" xfId="0" applyFont="1" applyFill="1" applyBorder="1"/>
    <xf numFmtId="0" fontId="20" fillId="0" borderId="0" xfId="32"/>
    <xf numFmtId="0" fontId="21" fillId="19" borderId="0" xfId="0" applyFont="1" applyFill="1" applyAlignment="1">
      <alignment horizontal="center"/>
    </xf>
    <xf numFmtId="0" fontId="21" fillId="19" borderId="0" xfId="0" applyFont="1" applyFill="1" applyAlignment="1">
      <alignment horizontal="right" vertical="center"/>
    </xf>
    <xf numFmtId="0" fontId="1" fillId="0" borderId="0" xfId="33"/>
    <xf numFmtId="165" fontId="0" fillId="20" borderId="0" xfId="0" applyNumberFormat="1" applyFill="1" applyAlignment="1">
      <alignment horizontal="center"/>
    </xf>
    <xf numFmtId="165" fontId="0" fillId="20" borderId="0" xfId="0" applyNumberFormat="1" applyFill="1"/>
    <xf numFmtId="0" fontId="0" fillId="20" borderId="0" xfId="0" applyFill="1"/>
    <xf numFmtId="0" fontId="0" fillId="20" borderId="0" xfId="0" applyFill="1" applyAlignment="1">
      <alignment horizontal="center"/>
    </xf>
    <xf numFmtId="0" fontId="12" fillId="17" borderId="0" xfId="0" applyFont="1" applyFill="1" applyAlignment="1">
      <alignment horizontal="center"/>
    </xf>
    <xf numFmtId="0" fontId="12" fillId="17" borderId="0" xfId="0" applyFont="1" applyFill="1" applyBorder="1" applyAlignment="1">
      <alignment horizontal="center"/>
    </xf>
    <xf numFmtId="0" fontId="12" fillId="0" borderId="0" xfId="0" applyFont="1" applyFill="1" applyAlignment="1">
      <alignment horizontal="center"/>
    </xf>
    <xf numFmtId="0" fontId="12" fillId="16" borderId="0" xfId="0" applyFont="1" applyFill="1" applyBorder="1" applyAlignment="1">
      <alignment horizontal="center" vertical="center"/>
    </xf>
    <xf numFmtId="0" fontId="12" fillId="13" borderId="0" xfId="0" applyFont="1" applyFill="1" applyBorder="1" applyAlignment="1">
      <alignment horizontal="center"/>
    </xf>
    <xf numFmtId="0" fontId="12" fillId="18" borderId="0" xfId="0" applyFont="1" applyFill="1" applyBorder="1" applyAlignment="1">
      <alignment horizontal="center"/>
    </xf>
    <xf numFmtId="165" fontId="12" fillId="13" borderId="0" xfId="0" applyNumberFormat="1" applyFont="1" applyFill="1" applyAlignment="1">
      <alignment horizontal="center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</cellXfs>
  <cellStyles count="34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Emphasis 1" xfId="19"/>
    <cellStyle name="Emphasis 2" xfId="20"/>
    <cellStyle name="Emphasis 3" xfId="21"/>
    <cellStyle name="Hyperlink" xfId="32" builtinId="8"/>
    <cellStyle name="Normal" xfId="0" builtinId="0"/>
    <cellStyle name="Normal 2" xfId="22"/>
    <cellStyle name="Normal 2 2" xfId="23"/>
    <cellStyle name="Normal 3" xfId="24"/>
    <cellStyle name="Normal 4" xfId="25"/>
    <cellStyle name="Normal 5" xfId="26"/>
    <cellStyle name="Normal 6" xfId="29"/>
    <cellStyle name="Normal 7" xfId="30"/>
    <cellStyle name="Normal 8" xfId="33"/>
    <cellStyle name="Percent" xfId="31" builtinId="5"/>
    <cellStyle name="Percent 2" xfId="27"/>
    <cellStyle name="Sheet Title" xf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error/epoch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nn_backprop_gd!$D$70:$D$570</c:f>
              <c:numCache>
                <c:formatCode>0.0000000</c:formatCode>
                <c:ptCount val="501"/>
                <c:pt idx="0">
                  <c:v>2944.9137360220816</c:v>
                </c:pt>
                <c:pt idx="1">
                  <c:v>1859.797561221143</c:v>
                </c:pt>
                <c:pt idx="2">
                  <c:v>1607.0752702487971</c:v>
                </c:pt>
                <c:pt idx="3">
                  <c:v>1596.1767302157202</c:v>
                </c:pt>
                <c:pt idx="4">
                  <c:v>1589.0630539077636</c:v>
                </c:pt>
                <c:pt idx="5">
                  <c:v>1584.0095340160854</c:v>
                </c:pt>
                <c:pt idx="6">
                  <c:v>1605.0339578825719</c:v>
                </c:pt>
                <c:pt idx="7">
                  <c:v>1605.0913760386384</c:v>
                </c:pt>
                <c:pt idx="8">
                  <c:v>1613.7358674848472</c:v>
                </c:pt>
                <c:pt idx="9">
                  <c:v>1568.8073960141985</c:v>
                </c:pt>
                <c:pt idx="10">
                  <c:v>1584.6663903963367</c:v>
                </c:pt>
                <c:pt idx="11">
                  <c:v>1548.3271264921968</c:v>
                </c:pt>
                <c:pt idx="12">
                  <c:v>1559.4654597875287</c:v>
                </c:pt>
                <c:pt idx="13">
                  <c:v>1497.2190205406396</c:v>
                </c:pt>
                <c:pt idx="14">
                  <c:v>1480.1666531747644</c:v>
                </c:pt>
                <c:pt idx="15">
                  <c:v>1452.1122256105318</c:v>
                </c:pt>
                <c:pt idx="16">
                  <c:v>1423.125175682085</c:v>
                </c:pt>
                <c:pt idx="17">
                  <c:v>1516.0096561448304</c:v>
                </c:pt>
                <c:pt idx="18">
                  <c:v>1286.6083234579837</c:v>
                </c:pt>
                <c:pt idx="19">
                  <c:v>1362.6240480384347</c:v>
                </c:pt>
                <c:pt idx="20">
                  <c:v>1153.7128911676318</c:v>
                </c:pt>
                <c:pt idx="21">
                  <c:v>1205.1569816610668</c:v>
                </c:pt>
                <c:pt idx="22">
                  <c:v>1096.590928864445</c:v>
                </c:pt>
                <c:pt idx="23">
                  <c:v>1181.7155692118661</c:v>
                </c:pt>
                <c:pt idx="24">
                  <c:v>942.93239154997445</c:v>
                </c:pt>
                <c:pt idx="25">
                  <c:v>1100.3599091421311</c:v>
                </c:pt>
                <c:pt idx="26">
                  <c:v>1179.0343032194749</c:v>
                </c:pt>
                <c:pt idx="27">
                  <c:v>734.38729298257294</c:v>
                </c:pt>
                <c:pt idx="28">
                  <c:v>1005.9519916363918</c:v>
                </c:pt>
                <c:pt idx="29">
                  <c:v>925.15485770593421</c:v>
                </c:pt>
                <c:pt idx="30">
                  <c:v>934.3915150895258</c:v>
                </c:pt>
                <c:pt idx="31">
                  <c:v>835.9363765537604</c:v>
                </c:pt>
                <c:pt idx="32">
                  <c:v>801.52482968514767</c:v>
                </c:pt>
                <c:pt idx="33">
                  <c:v>735.14272886870003</c:v>
                </c:pt>
                <c:pt idx="34">
                  <c:v>924.31286807849654</c:v>
                </c:pt>
                <c:pt idx="35">
                  <c:v>1071.1611079680772</c:v>
                </c:pt>
                <c:pt idx="36">
                  <c:v>597.00672684131223</c:v>
                </c:pt>
                <c:pt idx="37">
                  <c:v>923.20318329787153</c:v>
                </c:pt>
                <c:pt idx="38">
                  <c:v>863.49099097066528</c:v>
                </c:pt>
                <c:pt idx="39">
                  <c:v>816.13807326159474</c:v>
                </c:pt>
                <c:pt idx="40">
                  <c:v>747.50372772546484</c:v>
                </c:pt>
                <c:pt idx="41">
                  <c:v>709.02505270826146</c:v>
                </c:pt>
                <c:pt idx="42">
                  <c:v>670.53982205697559</c:v>
                </c:pt>
                <c:pt idx="43">
                  <c:v>843.23156880311183</c:v>
                </c:pt>
                <c:pt idx="44">
                  <c:v>1008.6443149952364</c:v>
                </c:pt>
                <c:pt idx="45">
                  <c:v>528.48265738678697</c:v>
                </c:pt>
                <c:pt idx="46">
                  <c:v>878.84229194205841</c:v>
                </c:pt>
                <c:pt idx="47">
                  <c:v>810.24970954886783</c:v>
                </c:pt>
                <c:pt idx="48">
                  <c:v>737.85283936657402</c:v>
                </c:pt>
                <c:pt idx="49">
                  <c:v>689.25235124364315</c:v>
                </c:pt>
                <c:pt idx="50">
                  <c:v>665.50148032436732</c:v>
                </c:pt>
                <c:pt idx="51">
                  <c:v>633.4320572751401</c:v>
                </c:pt>
                <c:pt idx="52">
                  <c:v>791.06995377911664</c:v>
                </c:pt>
                <c:pt idx="53">
                  <c:v>965.06576603898782</c:v>
                </c:pt>
                <c:pt idx="54">
                  <c:v>485.15814333189229</c:v>
                </c:pt>
                <c:pt idx="55">
                  <c:v>843.21272902544342</c:v>
                </c:pt>
                <c:pt idx="56">
                  <c:v>773.09467858730454</c:v>
                </c:pt>
                <c:pt idx="57">
                  <c:v>682.74512767743795</c:v>
                </c:pt>
                <c:pt idx="58">
                  <c:v>647.66945974912733</c:v>
                </c:pt>
                <c:pt idx="59">
                  <c:v>632.0324552711902</c:v>
                </c:pt>
                <c:pt idx="60">
                  <c:v>603.74328836947961</c:v>
                </c:pt>
                <c:pt idx="61">
                  <c:v>746.85020190393641</c:v>
                </c:pt>
                <c:pt idx="62">
                  <c:v>929.81496079953513</c:v>
                </c:pt>
                <c:pt idx="63">
                  <c:v>453.57829715929392</c:v>
                </c:pt>
                <c:pt idx="64">
                  <c:v>812.74034719999895</c:v>
                </c:pt>
                <c:pt idx="65">
                  <c:v>741.58193393642409</c:v>
                </c:pt>
                <c:pt idx="66">
                  <c:v>641.74507933691336</c:v>
                </c:pt>
                <c:pt idx="67">
                  <c:v>615.01754099104221</c:v>
                </c:pt>
                <c:pt idx="68">
                  <c:v>605.97186463625621</c:v>
                </c:pt>
                <c:pt idx="69">
                  <c:v>578.04403427783802</c:v>
                </c:pt>
                <c:pt idx="70">
                  <c:v>710.03770526167682</c:v>
                </c:pt>
                <c:pt idx="71">
                  <c:v>899.92927844968358</c:v>
                </c:pt>
                <c:pt idx="72">
                  <c:v>428.28151905173956</c:v>
                </c:pt>
                <c:pt idx="73">
                  <c:v>786.24616887742673</c:v>
                </c:pt>
                <c:pt idx="74">
                  <c:v>714.38293982096457</c:v>
                </c:pt>
                <c:pt idx="75">
                  <c:v>609.56298328794071</c:v>
                </c:pt>
                <c:pt idx="76">
                  <c:v>587.08924890226626</c:v>
                </c:pt>
                <c:pt idx="77">
                  <c:v>581.81576341024163</c:v>
                </c:pt>
                <c:pt idx="78">
                  <c:v>553.80859706495551</c:v>
                </c:pt>
                <c:pt idx="79">
                  <c:v>681.79229558268912</c:v>
                </c:pt>
                <c:pt idx="80">
                  <c:v>871.9313155030876</c:v>
                </c:pt>
                <c:pt idx="81">
                  <c:v>407.98658662915238</c:v>
                </c:pt>
                <c:pt idx="82">
                  <c:v>762.98933484650843</c:v>
                </c:pt>
                <c:pt idx="83">
                  <c:v>690.85209224856158</c:v>
                </c:pt>
                <c:pt idx="84">
                  <c:v>582.08503953591571</c:v>
                </c:pt>
                <c:pt idx="85">
                  <c:v>562.24949490504912</c:v>
                </c:pt>
                <c:pt idx="86">
                  <c:v>560.44926377592935</c:v>
                </c:pt>
                <c:pt idx="87">
                  <c:v>533.31235053517742</c:v>
                </c:pt>
                <c:pt idx="88">
                  <c:v>656.1028419959971</c:v>
                </c:pt>
                <c:pt idx="89">
                  <c:v>847.06900801297581</c:v>
                </c:pt>
                <c:pt idx="90">
                  <c:v>389.64133440474797</c:v>
                </c:pt>
                <c:pt idx="91">
                  <c:v>740.56309695556843</c:v>
                </c:pt>
                <c:pt idx="92">
                  <c:v>668.34682790051284</c:v>
                </c:pt>
                <c:pt idx="93">
                  <c:v>557.79446007263539</c:v>
                </c:pt>
                <c:pt idx="94">
                  <c:v>539.68653021441582</c:v>
                </c:pt>
                <c:pt idx="95">
                  <c:v>542.14024741875562</c:v>
                </c:pt>
                <c:pt idx="96">
                  <c:v>514.35926541621939</c:v>
                </c:pt>
                <c:pt idx="97">
                  <c:v>634.86476672058359</c:v>
                </c:pt>
                <c:pt idx="98">
                  <c:v>823.49495856848625</c:v>
                </c:pt>
                <c:pt idx="99">
                  <c:v>373.43180174109915</c:v>
                </c:pt>
                <c:pt idx="100">
                  <c:v>719.2509148098876</c:v>
                </c:pt>
                <c:pt idx="101">
                  <c:v>648.00299848051679</c:v>
                </c:pt>
                <c:pt idx="102">
                  <c:v>536.6613660897483</c:v>
                </c:pt>
                <c:pt idx="103">
                  <c:v>519.14340397943909</c:v>
                </c:pt>
                <c:pt idx="104">
                  <c:v>524.37723103954613</c:v>
                </c:pt>
                <c:pt idx="105">
                  <c:v>496.76464214379257</c:v>
                </c:pt>
                <c:pt idx="106">
                  <c:v>616.60143148887892</c:v>
                </c:pt>
                <c:pt idx="107">
                  <c:v>801.40451204806459</c:v>
                </c:pt>
                <c:pt idx="108">
                  <c:v>359.00232063228106</c:v>
                </c:pt>
                <c:pt idx="109">
                  <c:v>699.67843945779771</c:v>
                </c:pt>
                <c:pt idx="110">
                  <c:v>629.57014716605067</c:v>
                </c:pt>
                <c:pt idx="111">
                  <c:v>518.35056241543361</c:v>
                </c:pt>
                <c:pt idx="112">
                  <c:v>500.12643562490956</c:v>
                </c:pt>
                <c:pt idx="113">
                  <c:v>506.24579920103713</c:v>
                </c:pt>
                <c:pt idx="114">
                  <c:v>481.55191665242882</c:v>
                </c:pt>
                <c:pt idx="115">
                  <c:v>600.87411949124623</c:v>
                </c:pt>
                <c:pt idx="116">
                  <c:v>781.49216085099533</c:v>
                </c:pt>
                <c:pt idx="117">
                  <c:v>345.63793152806335</c:v>
                </c:pt>
                <c:pt idx="118">
                  <c:v>681.2344892805387</c:v>
                </c:pt>
                <c:pt idx="119">
                  <c:v>612.69961260938021</c:v>
                </c:pt>
                <c:pt idx="120">
                  <c:v>501.11483323928974</c:v>
                </c:pt>
                <c:pt idx="121">
                  <c:v>481.74645732624327</c:v>
                </c:pt>
                <c:pt idx="122">
                  <c:v>491.16694259925515</c:v>
                </c:pt>
                <c:pt idx="123">
                  <c:v>467.95257080264764</c:v>
                </c:pt>
                <c:pt idx="124">
                  <c:v>586.45641807083052</c:v>
                </c:pt>
                <c:pt idx="125">
                  <c:v>762.94466448297271</c:v>
                </c:pt>
                <c:pt idx="126">
                  <c:v>333.29979072256589</c:v>
                </c:pt>
                <c:pt idx="127">
                  <c:v>663.70464827718047</c:v>
                </c:pt>
                <c:pt idx="128">
                  <c:v>596.96731880209393</c:v>
                </c:pt>
                <c:pt idx="129">
                  <c:v>485.82599391014639</c:v>
                </c:pt>
                <c:pt idx="130">
                  <c:v>464.24210249816008</c:v>
                </c:pt>
                <c:pt idx="131">
                  <c:v>476.96405998895415</c:v>
                </c:pt>
                <c:pt idx="132">
                  <c:v>455.3277129249314</c:v>
                </c:pt>
                <c:pt idx="133">
                  <c:v>574.39156523844792</c:v>
                </c:pt>
                <c:pt idx="134">
                  <c:v>745.82899002233557</c:v>
                </c:pt>
                <c:pt idx="135">
                  <c:v>321.67316531768972</c:v>
                </c:pt>
                <c:pt idx="136">
                  <c:v>646.904727457072</c:v>
                </c:pt>
                <c:pt idx="137">
                  <c:v>582.77110844829519</c:v>
                </c:pt>
                <c:pt idx="138">
                  <c:v>472.84009707846371</c:v>
                </c:pt>
                <c:pt idx="139">
                  <c:v>448.40681762626815</c:v>
                </c:pt>
                <c:pt idx="140">
                  <c:v>462.14359868034251</c:v>
                </c:pt>
                <c:pt idx="141">
                  <c:v>443.61251105958445</c:v>
                </c:pt>
                <c:pt idx="142">
                  <c:v>563.67066040999634</c:v>
                </c:pt>
                <c:pt idx="143">
                  <c:v>730.09116974149185</c:v>
                </c:pt>
                <c:pt idx="144">
                  <c:v>311.39231208256393</c:v>
                </c:pt>
                <c:pt idx="145">
                  <c:v>631.39793163690979</c:v>
                </c:pt>
                <c:pt idx="146">
                  <c:v>570.18566958205531</c:v>
                </c:pt>
                <c:pt idx="147">
                  <c:v>461.5269390286893</c:v>
                </c:pt>
                <c:pt idx="148">
                  <c:v>433.77625377468212</c:v>
                </c:pt>
                <c:pt idx="149">
                  <c:v>448.24266285583445</c:v>
                </c:pt>
                <c:pt idx="150">
                  <c:v>432.78645606045228</c:v>
                </c:pt>
                <c:pt idx="151">
                  <c:v>554.0884476697737</c:v>
                </c:pt>
                <c:pt idx="152">
                  <c:v>715.55821023912347</c:v>
                </c:pt>
                <c:pt idx="153">
                  <c:v>301.80470565550775</c:v>
                </c:pt>
                <c:pt idx="154">
                  <c:v>616.46693795963563</c:v>
                </c:pt>
                <c:pt idx="155">
                  <c:v>558.92431377334333</c:v>
                </c:pt>
                <c:pt idx="156">
                  <c:v>450.04809332853955</c:v>
                </c:pt>
                <c:pt idx="157">
                  <c:v>419.17093645972926</c:v>
                </c:pt>
                <c:pt idx="158">
                  <c:v>435.91633093012445</c:v>
                </c:pt>
                <c:pt idx="159">
                  <c:v>422.64825938636852</c:v>
                </c:pt>
                <c:pt idx="160">
                  <c:v>545.49982175141713</c:v>
                </c:pt>
                <c:pt idx="161">
                  <c:v>702.39065680279214</c:v>
                </c:pt>
                <c:pt idx="162">
                  <c:v>293.14100901643206</c:v>
                </c:pt>
                <c:pt idx="163">
                  <c:v>602.46714853075059</c:v>
                </c:pt>
                <c:pt idx="164">
                  <c:v>548.47606392435546</c:v>
                </c:pt>
                <c:pt idx="165">
                  <c:v>440.35542832716561</c:v>
                </c:pt>
                <c:pt idx="166">
                  <c:v>405.78930749813787</c:v>
                </c:pt>
                <c:pt idx="167">
                  <c:v>423.75756037828313</c:v>
                </c:pt>
                <c:pt idx="168">
                  <c:v>413.31880719988294</c:v>
                </c:pt>
                <c:pt idx="169">
                  <c:v>537.87287779680707</c:v>
                </c:pt>
                <c:pt idx="170">
                  <c:v>689.9418734942833</c:v>
                </c:pt>
                <c:pt idx="171">
                  <c:v>285.47397616661118</c:v>
                </c:pt>
                <c:pt idx="172">
                  <c:v>590.07978600072363</c:v>
                </c:pt>
                <c:pt idx="173">
                  <c:v>541.14045995824483</c:v>
                </c:pt>
                <c:pt idx="174">
                  <c:v>430.45491638614271</c:v>
                </c:pt>
                <c:pt idx="175">
                  <c:v>394.46973772341443</c:v>
                </c:pt>
                <c:pt idx="176">
                  <c:v>415.57400805468126</c:v>
                </c:pt>
                <c:pt idx="177">
                  <c:v>406.50806891087018</c:v>
                </c:pt>
                <c:pt idx="178">
                  <c:v>526.75245925682668</c:v>
                </c:pt>
                <c:pt idx="179">
                  <c:v>678.07221387997549</c:v>
                </c:pt>
                <c:pt idx="180">
                  <c:v>277.66585824873454</c:v>
                </c:pt>
                <c:pt idx="181">
                  <c:v>578.00983248419061</c:v>
                </c:pt>
                <c:pt idx="182">
                  <c:v>529.98447933447301</c:v>
                </c:pt>
                <c:pt idx="183">
                  <c:v>421.31845799101472</c:v>
                </c:pt>
                <c:pt idx="184">
                  <c:v>380.88221503807262</c:v>
                </c:pt>
                <c:pt idx="185">
                  <c:v>405.17581137291069</c:v>
                </c:pt>
                <c:pt idx="186">
                  <c:v>397.84776902005024</c:v>
                </c:pt>
                <c:pt idx="187">
                  <c:v>523.21912918755936</c:v>
                </c:pt>
                <c:pt idx="188">
                  <c:v>667.70329361371421</c:v>
                </c:pt>
                <c:pt idx="189">
                  <c:v>270.79821175183372</c:v>
                </c:pt>
                <c:pt idx="190">
                  <c:v>567.14565111698698</c:v>
                </c:pt>
                <c:pt idx="191">
                  <c:v>523.7925556315123</c:v>
                </c:pt>
                <c:pt idx="192">
                  <c:v>413.28254898089142</c:v>
                </c:pt>
                <c:pt idx="193">
                  <c:v>371.21069125699995</c:v>
                </c:pt>
                <c:pt idx="194">
                  <c:v>396.74039430823416</c:v>
                </c:pt>
                <c:pt idx="195">
                  <c:v>391.8351258368117</c:v>
                </c:pt>
                <c:pt idx="196">
                  <c:v>514.04690624191539</c:v>
                </c:pt>
                <c:pt idx="197">
                  <c:v>657.04919445914322</c:v>
                </c:pt>
                <c:pt idx="198">
                  <c:v>264.64791471369182</c:v>
                </c:pt>
                <c:pt idx="199">
                  <c:v>556.63864612370003</c:v>
                </c:pt>
                <c:pt idx="200">
                  <c:v>515.700248803195</c:v>
                </c:pt>
                <c:pt idx="201">
                  <c:v>405.58505838709704</c:v>
                </c:pt>
                <c:pt idx="202">
                  <c:v>360.95465760679286</c:v>
                </c:pt>
                <c:pt idx="203">
                  <c:v>389.83308759173707</c:v>
                </c:pt>
                <c:pt idx="204">
                  <c:v>385.69546897879081</c:v>
                </c:pt>
                <c:pt idx="205">
                  <c:v>507.38818128854683</c:v>
                </c:pt>
                <c:pt idx="206">
                  <c:v>648.02567483171674</c:v>
                </c:pt>
                <c:pt idx="207">
                  <c:v>258.51305230827944</c:v>
                </c:pt>
                <c:pt idx="208">
                  <c:v>546.3791869935759</c:v>
                </c:pt>
                <c:pt idx="209">
                  <c:v>508.18369483212655</c:v>
                </c:pt>
                <c:pt idx="210">
                  <c:v>399.79425575980588</c:v>
                </c:pt>
                <c:pt idx="211">
                  <c:v>352.11707212661048</c:v>
                </c:pt>
                <c:pt idx="212">
                  <c:v>381.42181256558615</c:v>
                </c:pt>
                <c:pt idx="213">
                  <c:v>380.00900567940459</c:v>
                </c:pt>
                <c:pt idx="214">
                  <c:v>501.30883300509407</c:v>
                </c:pt>
                <c:pt idx="215">
                  <c:v>638.19170026241568</c:v>
                </c:pt>
                <c:pt idx="216">
                  <c:v>254.4978788072909</c:v>
                </c:pt>
                <c:pt idx="217">
                  <c:v>538.27894756190597</c:v>
                </c:pt>
                <c:pt idx="218">
                  <c:v>499.93446521943855</c:v>
                </c:pt>
                <c:pt idx="219">
                  <c:v>393.70731264354578</c:v>
                </c:pt>
                <c:pt idx="220">
                  <c:v>342.32052268562927</c:v>
                </c:pt>
                <c:pt idx="221">
                  <c:v>373.47614108983527</c:v>
                </c:pt>
                <c:pt idx="222">
                  <c:v>374.11767623622245</c:v>
                </c:pt>
                <c:pt idx="223">
                  <c:v>498.08757751863226</c:v>
                </c:pt>
                <c:pt idx="224">
                  <c:v>630.52221605711657</c:v>
                </c:pt>
                <c:pt idx="225">
                  <c:v>249.10416451514359</c:v>
                </c:pt>
                <c:pt idx="226">
                  <c:v>528.62285550578292</c:v>
                </c:pt>
                <c:pt idx="227">
                  <c:v>495.21021376770238</c:v>
                </c:pt>
                <c:pt idx="228">
                  <c:v>387.95533900340803</c:v>
                </c:pt>
                <c:pt idx="229">
                  <c:v>335.20213820341854</c:v>
                </c:pt>
                <c:pt idx="230">
                  <c:v>368.76167866714752</c:v>
                </c:pt>
                <c:pt idx="231">
                  <c:v>369.78827180231866</c:v>
                </c:pt>
                <c:pt idx="232">
                  <c:v>488.72553330168012</c:v>
                </c:pt>
                <c:pt idx="233">
                  <c:v>622.89515756619141</c:v>
                </c:pt>
                <c:pt idx="234">
                  <c:v>244.66168867147667</c:v>
                </c:pt>
                <c:pt idx="235">
                  <c:v>520.33368269628534</c:v>
                </c:pt>
                <c:pt idx="236">
                  <c:v>487.13965594358524</c:v>
                </c:pt>
                <c:pt idx="237">
                  <c:v>382.63676416141772</c:v>
                </c:pt>
                <c:pt idx="238">
                  <c:v>326.1626760577189</c:v>
                </c:pt>
                <c:pt idx="239">
                  <c:v>361.36812195515995</c:v>
                </c:pt>
                <c:pt idx="240">
                  <c:v>364.22693650894115</c:v>
                </c:pt>
                <c:pt idx="241">
                  <c:v>486.9585679163585</c:v>
                </c:pt>
                <c:pt idx="242">
                  <c:v>616.30917535647382</c:v>
                </c:pt>
                <c:pt idx="243">
                  <c:v>239.85808530774361</c:v>
                </c:pt>
                <c:pt idx="244">
                  <c:v>511.69815412966682</c:v>
                </c:pt>
                <c:pt idx="245">
                  <c:v>483.43412811536086</c:v>
                </c:pt>
                <c:pt idx="246">
                  <c:v>377.88700688501132</c:v>
                </c:pt>
                <c:pt idx="247">
                  <c:v>320.16789052056254</c:v>
                </c:pt>
                <c:pt idx="248">
                  <c:v>356.86622421183853</c:v>
                </c:pt>
                <c:pt idx="249">
                  <c:v>360.25533115171044</c:v>
                </c:pt>
                <c:pt idx="250">
                  <c:v>478.66769581325832</c:v>
                </c:pt>
                <c:pt idx="251">
                  <c:v>609.56052247014213</c:v>
                </c:pt>
                <c:pt idx="252">
                  <c:v>236.0452900761471</c:v>
                </c:pt>
                <c:pt idx="253">
                  <c:v>504.01333026401187</c:v>
                </c:pt>
                <c:pt idx="254">
                  <c:v>478.1749062552517</c:v>
                </c:pt>
                <c:pt idx="255">
                  <c:v>373.33015483450373</c:v>
                </c:pt>
                <c:pt idx="256">
                  <c:v>313.90010535857726</c:v>
                </c:pt>
                <c:pt idx="257">
                  <c:v>351.9969973659139</c:v>
                </c:pt>
                <c:pt idx="258">
                  <c:v>356.2499423564297</c:v>
                </c:pt>
                <c:pt idx="259">
                  <c:v>473.11362646644085</c:v>
                </c:pt>
                <c:pt idx="260">
                  <c:v>603.87828091897268</c:v>
                </c:pt>
                <c:pt idx="261">
                  <c:v>232.13096802889581</c:v>
                </c:pt>
                <c:pt idx="262">
                  <c:v>496.39959725622379</c:v>
                </c:pt>
                <c:pt idx="263">
                  <c:v>473.18444991558556</c:v>
                </c:pt>
                <c:pt idx="264">
                  <c:v>368.98894873948257</c:v>
                </c:pt>
                <c:pt idx="265">
                  <c:v>307.85152139910321</c:v>
                </c:pt>
                <c:pt idx="266">
                  <c:v>347.14814760664109</c:v>
                </c:pt>
                <c:pt idx="267">
                  <c:v>352.27469094239319</c:v>
                </c:pt>
                <c:pt idx="268">
                  <c:v>468.05043207636737</c:v>
                </c:pt>
                <c:pt idx="269">
                  <c:v>598.55213525299632</c:v>
                </c:pt>
                <c:pt idx="270">
                  <c:v>228.4999652510684</c:v>
                </c:pt>
                <c:pt idx="271">
                  <c:v>488.84342198205053</c:v>
                </c:pt>
                <c:pt idx="272">
                  <c:v>467.26114549343157</c:v>
                </c:pt>
                <c:pt idx="273">
                  <c:v>365.27110821001475</c:v>
                </c:pt>
                <c:pt idx="274">
                  <c:v>300.72190759776345</c:v>
                </c:pt>
                <c:pt idx="275">
                  <c:v>340.08823712305053</c:v>
                </c:pt>
                <c:pt idx="276">
                  <c:v>347.16240889654995</c:v>
                </c:pt>
                <c:pt idx="277">
                  <c:v>467.45742038577515</c:v>
                </c:pt>
                <c:pt idx="278">
                  <c:v>593.30937947256689</c:v>
                </c:pt>
                <c:pt idx="279">
                  <c:v>224.77257832773446</c:v>
                </c:pt>
                <c:pt idx="280">
                  <c:v>481.52201792388513</c:v>
                </c:pt>
                <c:pt idx="281">
                  <c:v>465.59744615885057</c:v>
                </c:pt>
                <c:pt idx="282">
                  <c:v>361.83646555572011</c:v>
                </c:pt>
                <c:pt idx="283">
                  <c:v>296.12779502068935</c:v>
                </c:pt>
                <c:pt idx="284">
                  <c:v>336.14453916907064</c:v>
                </c:pt>
                <c:pt idx="285">
                  <c:v>343.68642923355043</c:v>
                </c:pt>
                <c:pt idx="286">
                  <c:v>460.6242477418304</c:v>
                </c:pt>
                <c:pt idx="287">
                  <c:v>587.91684442290807</c:v>
                </c:pt>
                <c:pt idx="288">
                  <c:v>221.90064488166695</c:v>
                </c:pt>
                <c:pt idx="289">
                  <c:v>474.78382441672011</c:v>
                </c:pt>
                <c:pt idx="290">
                  <c:v>462.51354114119664</c:v>
                </c:pt>
                <c:pt idx="291">
                  <c:v>358.55167003398827</c:v>
                </c:pt>
                <c:pt idx="292">
                  <c:v>291.12990080639781</c:v>
                </c:pt>
                <c:pt idx="293">
                  <c:v>331.89195506065749</c:v>
                </c:pt>
                <c:pt idx="294">
                  <c:v>340.08299956735465</c:v>
                </c:pt>
                <c:pt idx="295">
                  <c:v>456.01473599141201</c:v>
                </c:pt>
                <c:pt idx="296">
                  <c:v>583.3067651293178</c:v>
                </c:pt>
                <c:pt idx="297">
                  <c:v>218.88450455884484</c:v>
                </c:pt>
                <c:pt idx="298">
                  <c:v>468.08332674102496</c:v>
                </c:pt>
                <c:pt idx="299">
                  <c:v>459.42516984050786</c:v>
                </c:pt>
                <c:pt idx="300">
                  <c:v>355.45699998909737</c:v>
                </c:pt>
                <c:pt idx="301">
                  <c:v>286.21032156507874</c:v>
                </c:pt>
                <c:pt idx="302">
                  <c:v>327.64797841124016</c:v>
                </c:pt>
                <c:pt idx="303">
                  <c:v>336.45469621710203</c:v>
                </c:pt>
                <c:pt idx="304">
                  <c:v>451.91086833989453</c:v>
                </c:pt>
                <c:pt idx="305">
                  <c:v>578.94658412905073</c:v>
                </c:pt>
                <c:pt idx="306">
                  <c:v>216.00836323973783</c:v>
                </c:pt>
                <c:pt idx="307">
                  <c:v>461.62393897761439</c:v>
                </c:pt>
                <c:pt idx="308">
                  <c:v>456.54581874244786</c:v>
                </c:pt>
                <c:pt idx="309">
                  <c:v>352.58299395368977</c:v>
                </c:pt>
                <c:pt idx="310">
                  <c:v>281.51152143371689</c:v>
                </c:pt>
                <c:pt idx="311">
                  <c:v>323.53142129318121</c:v>
                </c:pt>
                <c:pt idx="312">
                  <c:v>332.88525979120629</c:v>
                </c:pt>
                <c:pt idx="313">
                  <c:v>447.99502675514498</c:v>
                </c:pt>
                <c:pt idx="314">
                  <c:v>574.61599276653874</c:v>
                </c:pt>
                <c:pt idx="315">
                  <c:v>214.93160614112622</c:v>
                </c:pt>
                <c:pt idx="316">
                  <c:v>457.66213538996095</c:v>
                </c:pt>
                <c:pt idx="317">
                  <c:v>454.18361707348095</c:v>
                </c:pt>
                <c:pt idx="318">
                  <c:v>350.08696287915706</c:v>
                </c:pt>
                <c:pt idx="319">
                  <c:v>277.32257993867756</c:v>
                </c:pt>
                <c:pt idx="320">
                  <c:v>319.92513880462747</c:v>
                </c:pt>
                <c:pt idx="321">
                  <c:v>329.62710116487909</c:v>
                </c:pt>
                <c:pt idx="322">
                  <c:v>443.10984863543194</c:v>
                </c:pt>
                <c:pt idx="323">
                  <c:v>570.24364596161001</c:v>
                </c:pt>
                <c:pt idx="324">
                  <c:v>212.30873803421321</c:v>
                </c:pt>
                <c:pt idx="325">
                  <c:v>451.43997438591373</c:v>
                </c:pt>
                <c:pt idx="326">
                  <c:v>451.11142895692785</c:v>
                </c:pt>
                <c:pt idx="327">
                  <c:v>347.57455507126838</c:v>
                </c:pt>
                <c:pt idx="328">
                  <c:v>273.23532344565615</c:v>
                </c:pt>
                <c:pt idx="329">
                  <c:v>316.48199431467538</c:v>
                </c:pt>
                <c:pt idx="330">
                  <c:v>326.19325939854912</c:v>
                </c:pt>
                <c:pt idx="331">
                  <c:v>438.52901401841933</c:v>
                </c:pt>
                <c:pt idx="332">
                  <c:v>566.34270292282304</c:v>
                </c:pt>
                <c:pt idx="333">
                  <c:v>209.8544809069605</c:v>
                </c:pt>
                <c:pt idx="334">
                  <c:v>445.36590496939726</c:v>
                </c:pt>
                <c:pt idx="335">
                  <c:v>448.08368969693498</c:v>
                </c:pt>
                <c:pt idx="336">
                  <c:v>345.39796461157988</c:v>
                </c:pt>
                <c:pt idx="337">
                  <c:v>269.43575320241939</c:v>
                </c:pt>
                <c:pt idx="338">
                  <c:v>313.1928066182823</c:v>
                </c:pt>
                <c:pt idx="339">
                  <c:v>322.91927788028033</c:v>
                </c:pt>
                <c:pt idx="340">
                  <c:v>433.6457794081519</c:v>
                </c:pt>
                <c:pt idx="341">
                  <c:v>562.3850399194198</c:v>
                </c:pt>
                <c:pt idx="342">
                  <c:v>207.64297812914614</c:v>
                </c:pt>
                <c:pt idx="343">
                  <c:v>439.59876542037574</c:v>
                </c:pt>
                <c:pt idx="344">
                  <c:v>445.23153675499447</c:v>
                </c:pt>
                <c:pt idx="345">
                  <c:v>343.3205388501338</c:v>
                </c:pt>
                <c:pt idx="346">
                  <c:v>265.87352674148963</c:v>
                </c:pt>
                <c:pt idx="347">
                  <c:v>309.9102859996807</c:v>
                </c:pt>
                <c:pt idx="348">
                  <c:v>319.72087397415407</c:v>
                </c:pt>
                <c:pt idx="349">
                  <c:v>428.94929558461837</c:v>
                </c:pt>
                <c:pt idx="350">
                  <c:v>558.45921935457568</c:v>
                </c:pt>
                <c:pt idx="351">
                  <c:v>205.57239584951972</c:v>
                </c:pt>
                <c:pt idx="352">
                  <c:v>434.05452743408006</c:v>
                </c:pt>
                <c:pt idx="353">
                  <c:v>442.65471612250792</c:v>
                </c:pt>
                <c:pt idx="354">
                  <c:v>341.36425325294618</c:v>
                </c:pt>
                <c:pt idx="355">
                  <c:v>262.41922625237123</c:v>
                </c:pt>
                <c:pt idx="356">
                  <c:v>306.68437512495893</c:v>
                </c:pt>
                <c:pt idx="357">
                  <c:v>316.53374372510007</c:v>
                </c:pt>
                <c:pt idx="358">
                  <c:v>424.67519037346955</c:v>
                </c:pt>
                <c:pt idx="359">
                  <c:v>554.85250204895567</c:v>
                </c:pt>
                <c:pt idx="360">
                  <c:v>203.51354888810775</c:v>
                </c:pt>
                <c:pt idx="361">
                  <c:v>428.62114360789508</c:v>
                </c:pt>
                <c:pt idx="362">
                  <c:v>440.12688842889469</c:v>
                </c:pt>
                <c:pt idx="363">
                  <c:v>339.46942464095673</c:v>
                </c:pt>
                <c:pt idx="364">
                  <c:v>259.06129809947697</c:v>
                </c:pt>
                <c:pt idx="365">
                  <c:v>303.60534615127762</c:v>
                </c:pt>
                <c:pt idx="366">
                  <c:v>313.38975878446143</c:v>
                </c:pt>
                <c:pt idx="367">
                  <c:v>420.57306072219183</c:v>
                </c:pt>
                <c:pt idx="368">
                  <c:v>551.31788837217357</c:v>
                </c:pt>
                <c:pt idx="369">
                  <c:v>201.39763683550095</c:v>
                </c:pt>
                <c:pt idx="370">
                  <c:v>423.11342398777691</c:v>
                </c:pt>
                <c:pt idx="371">
                  <c:v>437.53669803576508</c:v>
                </c:pt>
                <c:pt idx="372">
                  <c:v>337.64826197969529</c:v>
                </c:pt>
                <c:pt idx="373">
                  <c:v>255.66624661970059</c:v>
                </c:pt>
                <c:pt idx="374">
                  <c:v>300.47527256089523</c:v>
                </c:pt>
                <c:pt idx="375">
                  <c:v>310.1698707843056</c:v>
                </c:pt>
                <c:pt idx="376">
                  <c:v>416.86255636341872</c:v>
                </c:pt>
                <c:pt idx="377">
                  <c:v>547.84024272408806</c:v>
                </c:pt>
                <c:pt idx="378">
                  <c:v>199.50746506381128</c:v>
                </c:pt>
                <c:pt idx="379">
                  <c:v>417.98798722327314</c:v>
                </c:pt>
                <c:pt idx="380">
                  <c:v>435.28183137060796</c:v>
                </c:pt>
                <c:pt idx="381">
                  <c:v>335.96424922540098</c:v>
                </c:pt>
                <c:pt idx="382">
                  <c:v>252.47355018333599</c:v>
                </c:pt>
                <c:pt idx="383">
                  <c:v>297.52353470690946</c:v>
                </c:pt>
                <c:pt idx="384">
                  <c:v>307.03637574978927</c:v>
                </c:pt>
                <c:pt idx="385">
                  <c:v>413.05477057168747</c:v>
                </c:pt>
                <c:pt idx="386">
                  <c:v>544.39375191473096</c:v>
                </c:pt>
                <c:pt idx="387">
                  <c:v>197.73654796218068</c:v>
                </c:pt>
                <c:pt idx="388">
                  <c:v>413.07635164696325</c:v>
                </c:pt>
                <c:pt idx="389">
                  <c:v>433.23790648852741</c:v>
                </c:pt>
                <c:pt idx="390">
                  <c:v>334.36882846273915</c:v>
                </c:pt>
                <c:pt idx="391">
                  <c:v>249.39932444465495</c:v>
                </c:pt>
                <c:pt idx="392">
                  <c:v>294.6793380095786</c:v>
                </c:pt>
                <c:pt idx="393">
                  <c:v>303.96220872024747</c:v>
                </c:pt>
                <c:pt idx="394">
                  <c:v>409.24822766892885</c:v>
                </c:pt>
                <c:pt idx="395">
                  <c:v>540.9923291294017</c:v>
                </c:pt>
                <c:pt idx="396">
                  <c:v>196.11824374036001</c:v>
                </c:pt>
                <c:pt idx="397">
                  <c:v>408.41284028638728</c:v>
                </c:pt>
                <c:pt idx="398">
                  <c:v>431.55647196937139</c:v>
                </c:pt>
                <c:pt idx="399">
                  <c:v>332.90170993119096</c:v>
                </c:pt>
                <c:pt idx="400">
                  <c:v>246.44589404791725</c:v>
                </c:pt>
                <c:pt idx="401">
                  <c:v>291.80677957533828</c:v>
                </c:pt>
                <c:pt idx="402">
                  <c:v>300.96652727084199</c:v>
                </c:pt>
                <c:pt idx="403">
                  <c:v>405.36436118472528</c:v>
                </c:pt>
                <c:pt idx="404">
                  <c:v>537.49893175113402</c:v>
                </c:pt>
                <c:pt idx="405">
                  <c:v>194.60563831770367</c:v>
                </c:pt>
                <c:pt idx="406">
                  <c:v>404.01790225860816</c:v>
                </c:pt>
                <c:pt idx="407">
                  <c:v>429.97977296539443</c:v>
                </c:pt>
                <c:pt idx="408">
                  <c:v>332.44030884713669</c:v>
                </c:pt>
                <c:pt idx="409">
                  <c:v>244.17597440211179</c:v>
                </c:pt>
                <c:pt idx="410">
                  <c:v>287.55834749480914</c:v>
                </c:pt>
                <c:pt idx="411">
                  <c:v>298.21019688638546</c:v>
                </c:pt>
                <c:pt idx="412">
                  <c:v>401.94866293592145</c:v>
                </c:pt>
                <c:pt idx="413">
                  <c:v>533.91463114809335</c:v>
                </c:pt>
                <c:pt idx="414">
                  <c:v>193.31129115451063</c:v>
                </c:pt>
                <c:pt idx="415">
                  <c:v>399.94389841603333</c:v>
                </c:pt>
                <c:pt idx="416">
                  <c:v>428.28119454827095</c:v>
                </c:pt>
                <c:pt idx="417">
                  <c:v>331.20940569309255</c:v>
                </c:pt>
                <c:pt idx="418">
                  <c:v>241.0349467441975</c:v>
                </c:pt>
                <c:pt idx="419">
                  <c:v>284.85860693917698</c:v>
                </c:pt>
                <c:pt idx="420">
                  <c:v>295.51928663520073</c:v>
                </c:pt>
                <c:pt idx="421">
                  <c:v>398.07527329783341</c:v>
                </c:pt>
                <c:pt idx="422">
                  <c:v>530.58983989654644</c:v>
                </c:pt>
                <c:pt idx="423">
                  <c:v>191.74186866793781</c:v>
                </c:pt>
                <c:pt idx="424">
                  <c:v>395.63125889715684</c:v>
                </c:pt>
                <c:pt idx="425">
                  <c:v>426.33156748173917</c:v>
                </c:pt>
                <c:pt idx="426">
                  <c:v>330.32925073172635</c:v>
                </c:pt>
                <c:pt idx="427">
                  <c:v>237.55925848050833</c:v>
                </c:pt>
                <c:pt idx="428">
                  <c:v>279.78851582303696</c:v>
                </c:pt>
                <c:pt idx="429">
                  <c:v>291.35320606536385</c:v>
                </c:pt>
                <c:pt idx="430">
                  <c:v>400.91284869941563</c:v>
                </c:pt>
                <c:pt idx="431">
                  <c:v>528.56320557805168</c:v>
                </c:pt>
                <c:pt idx="432">
                  <c:v>189.86774824320904</c:v>
                </c:pt>
                <c:pt idx="433">
                  <c:v>390.95114832650677</c:v>
                </c:pt>
                <c:pt idx="434">
                  <c:v>426.01037652059841</c:v>
                </c:pt>
                <c:pt idx="435">
                  <c:v>329.37582232876207</c:v>
                </c:pt>
                <c:pt idx="436">
                  <c:v>234.96638803442733</c:v>
                </c:pt>
                <c:pt idx="437">
                  <c:v>277.17388037058015</c:v>
                </c:pt>
                <c:pt idx="438">
                  <c:v>288.7920485100064</c:v>
                </c:pt>
                <c:pt idx="439">
                  <c:v>396.99103243958018</c:v>
                </c:pt>
                <c:pt idx="440">
                  <c:v>524.93016529529166</c:v>
                </c:pt>
                <c:pt idx="441">
                  <c:v>188.67788408141868</c:v>
                </c:pt>
                <c:pt idx="442">
                  <c:v>387.34228081367002</c:v>
                </c:pt>
                <c:pt idx="443">
                  <c:v>424.53723014400776</c:v>
                </c:pt>
                <c:pt idx="444">
                  <c:v>328.47954642498638</c:v>
                </c:pt>
                <c:pt idx="445">
                  <c:v>231.95165726360787</c:v>
                </c:pt>
                <c:pt idx="446">
                  <c:v>274.35446686677511</c:v>
                </c:pt>
                <c:pt idx="447">
                  <c:v>286.04590277507066</c:v>
                </c:pt>
                <c:pt idx="448">
                  <c:v>394.31113093105455</c:v>
                </c:pt>
                <c:pt idx="449">
                  <c:v>521.79583198669843</c:v>
                </c:pt>
                <c:pt idx="450">
                  <c:v>187.35072304493355</c:v>
                </c:pt>
                <c:pt idx="451">
                  <c:v>383.72839812640547</c:v>
                </c:pt>
                <c:pt idx="452">
                  <c:v>422.87914532500503</c:v>
                </c:pt>
                <c:pt idx="453">
                  <c:v>327.54038452534866</c:v>
                </c:pt>
                <c:pt idx="454">
                  <c:v>228.87425959506416</c:v>
                </c:pt>
                <c:pt idx="455">
                  <c:v>271.6500674664079</c:v>
                </c:pt>
                <c:pt idx="456">
                  <c:v>283.30222207858498</c:v>
                </c:pt>
                <c:pt idx="457">
                  <c:v>391.80573602509554</c:v>
                </c:pt>
                <c:pt idx="458">
                  <c:v>518.75334099410134</c:v>
                </c:pt>
                <c:pt idx="459">
                  <c:v>186.02039085184069</c:v>
                </c:pt>
                <c:pt idx="460">
                  <c:v>380.20699190799036</c:v>
                </c:pt>
                <c:pt idx="461">
                  <c:v>421.23341162639127</c:v>
                </c:pt>
                <c:pt idx="462">
                  <c:v>326.64062646158118</c:v>
                </c:pt>
                <c:pt idx="463">
                  <c:v>225.82920288433351</c:v>
                </c:pt>
                <c:pt idx="464">
                  <c:v>269.04525516667877</c:v>
                </c:pt>
                <c:pt idx="465">
                  <c:v>280.58575304062055</c:v>
                </c:pt>
                <c:pt idx="466">
                  <c:v>389.23227223831822</c:v>
                </c:pt>
                <c:pt idx="467">
                  <c:v>515.5368272018768</c:v>
                </c:pt>
                <c:pt idx="468">
                  <c:v>184.85387245994568</c:v>
                </c:pt>
                <c:pt idx="469">
                  <c:v>376.88925800136138</c:v>
                </c:pt>
                <c:pt idx="470">
                  <c:v>420.21497308146155</c:v>
                </c:pt>
                <c:pt idx="471">
                  <c:v>325.79367279793553</c:v>
                </c:pt>
                <c:pt idx="472">
                  <c:v>223.07945549143969</c:v>
                </c:pt>
                <c:pt idx="473">
                  <c:v>266.2392027726741</c:v>
                </c:pt>
                <c:pt idx="474">
                  <c:v>277.98521559705671</c:v>
                </c:pt>
                <c:pt idx="475">
                  <c:v>386.41795578974205</c:v>
                </c:pt>
                <c:pt idx="476">
                  <c:v>512.28531323622587</c:v>
                </c:pt>
                <c:pt idx="477">
                  <c:v>183.61809912010048</c:v>
                </c:pt>
                <c:pt idx="478">
                  <c:v>373.66656296317603</c:v>
                </c:pt>
                <c:pt idx="479">
                  <c:v>419.05587183857159</c:v>
                </c:pt>
                <c:pt idx="480">
                  <c:v>324.92543638195974</c:v>
                </c:pt>
                <c:pt idx="481">
                  <c:v>220.3324338852149</c:v>
                </c:pt>
                <c:pt idx="482">
                  <c:v>263.29551368073834</c:v>
                </c:pt>
                <c:pt idx="483">
                  <c:v>275.46375433529369</c:v>
                </c:pt>
                <c:pt idx="484">
                  <c:v>383.05182919045507</c:v>
                </c:pt>
                <c:pt idx="485">
                  <c:v>508.65634243467474</c:v>
                </c:pt>
                <c:pt idx="486">
                  <c:v>182.51059442305171</c:v>
                </c:pt>
                <c:pt idx="487">
                  <c:v>370.65360391256252</c:v>
                </c:pt>
                <c:pt idx="488">
                  <c:v>418.53870318717782</c:v>
                </c:pt>
                <c:pt idx="489">
                  <c:v>324.25644459745001</c:v>
                </c:pt>
                <c:pt idx="490">
                  <c:v>217.83195839917889</c:v>
                </c:pt>
                <c:pt idx="491">
                  <c:v>259.98827130992993</c:v>
                </c:pt>
                <c:pt idx="492">
                  <c:v>272.95658615370814</c:v>
                </c:pt>
                <c:pt idx="493">
                  <c:v>380.58235851514291</c:v>
                </c:pt>
                <c:pt idx="494">
                  <c:v>505.36702065447537</c:v>
                </c:pt>
                <c:pt idx="495">
                  <c:v>181.30576334380055</c:v>
                </c:pt>
                <c:pt idx="496">
                  <c:v>367.61501358071428</c:v>
                </c:pt>
                <c:pt idx="497">
                  <c:v>418.85378635135226</c:v>
                </c:pt>
                <c:pt idx="498">
                  <c:v>323.48029362747604</c:v>
                </c:pt>
                <c:pt idx="499">
                  <c:v>215.57607975044453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DB-497E-8EFB-7F5052138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513536"/>
        <c:axId val="126515072"/>
      </c:lineChart>
      <c:catAx>
        <c:axId val="126513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5072"/>
        <c:crosses val="autoZero"/>
        <c:auto val="1"/>
        <c:lblAlgn val="ctr"/>
        <c:lblOffset val="100"/>
        <c:noMultiLvlLbl val="0"/>
      </c:catAx>
      <c:valAx>
        <c:axId val="12651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3536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before feature scaling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feature_scaling!$B$1</c:f>
              <c:strCache>
                <c:ptCount val="1"/>
                <c:pt idx="0">
                  <c:v>f1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feature_scaling!$A$2:$A$211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feature_scaling!$B$2:$B$211</c:f>
              <c:numCache>
                <c:formatCode>General</c:formatCode>
                <c:ptCount val="210"/>
                <c:pt idx="0">
                  <c:v>15.26</c:v>
                </c:pt>
                <c:pt idx="1">
                  <c:v>14.88</c:v>
                </c:pt>
                <c:pt idx="2">
                  <c:v>14.29</c:v>
                </c:pt>
                <c:pt idx="3">
                  <c:v>13.84</c:v>
                </c:pt>
                <c:pt idx="4">
                  <c:v>16.14</c:v>
                </c:pt>
                <c:pt idx="5">
                  <c:v>14.38</c:v>
                </c:pt>
                <c:pt idx="6">
                  <c:v>14.69</c:v>
                </c:pt>
                <c:pt idx="7">
                  <c:v>14.11</c:v>
                </c:pt>
                <c:pt idx="8">
                  <c:v>16.63</c:v>
                </c:pt>
                <c:pt idx="9">
                  <c:v>16.440000000000001</c:v>
                </c:pt>
                <c:pt idx="10">
                  <c:v>15.26</c:v>
                </c:pt>
                <c:pt idx="11">
                  <c:v>14.03</c:v>
                </c:pt>
                <c:pt idx="12">
                  <c:v>13.89</c:v>
                </c:pt>
                <c:pt idx="13">
                  <c:v>13.78</c:v>
                </c:pt>
                <c:pt idx="14">
                  <c:v>13.74</c:v>
                </c:pt>
                <c:pt idx="15">
                  <c:v>14.59</c:v>
                </c:pt>
                <c:pt idx="16">
                  <c:v>13.99</c:v>
                </c:pt>
                <c:pt idx="17">
                  <c:v>15.69</c:v>
                </c:pt>
                <c:pt idx="18">
                  <c:v>14.7</c:v>
                </c:pt>
                <c:pt idx="19">
                  <c:v>12.72</c:v>
                </c:pt>
                <c:pt idx="20">
                  <c:v>14.16</c:v>
                </c:pt>
                <c:pt idx="21">
                  <c:v>14.11</c:v>
                </c:pt>
                <c:pt idx="22">
                  <c:v>15.88</c:v>
                </c:pt>
                <c:pt idx="23">
                  <c:v>12.08</c:v>
                </c:pt>
                <c:pt idx="24">
                  <c:v>15.01</c:v>
                </c:pt>
                <c:pt idx="25">
                  <c:v>16.190000000000001</c:v>
                </c:pt>
                <c:pt idx="26">
                  <c:v>13.02</c:v>
                </c:pt>
                <c:pt idx="27">
                  <c:v>12.74</c:v>
                </c:pt>
                <c:pt idx="28">
                  <c:v>14.11</c:v>
                </c:pt>
                <c:pt idx="29">
                  <c:v>13.45</c:v>
                </c:pt>
                <c:pt idx="30">
                  <c:v>13.16</c:v>
                </c:pt>
                <c:pt idx="31">
                  <c:v>15.49</c:v>
                </c:pt>
                <c:pt idx="32">
                  <c:v>14.09</c:v>
                </c:pt>
                <c:pt idx="33">
                  <c:v>13.94</c:v>
                </c:pt>
                <c:pt idx="34">
                  <c:v>15.05</c:v>
                </c:pt>
                <c:pt idx="35">
                  <c:v>16.12</c:v>
                </c:pt>
                <c:pt idx="36">
                  <c:v>16.2</c:v>
                </c:pt>
                <c:pt idx="37">
                  <c:v>17.079999999999998</c:v>
                </c:pt>
                <c:pt idx="38">
                  <c:v>14.8</c:v>
                </c:pt>
                <c:pt idx="39">
                  <c:v>14.28</c:v>
                </c:pt>
                <c:pt idx="40">
                  <c:v>13.54</c:v>
                </c:pt>
                <c:pt idx="41">
                  <c:v>13.5</c:v>
                </c:pt>
                <c:pt idx="42">
                  <c:v>13.16</c:v>
                </c:pt>
                <c:pt idx="43">
                  <c:v>15.5</c:v>
                </c:pt>
                <c:pt idx="44">
                  <c:v>15.11</c:v>
                </c:pt>
                <c:pt idx="45">
                  <c:v>13.8</c:v>
                </c:pt>
                <c:pt idx="46">
                  <c:v>15.36</c:v>
                </c:pt>
                <c:pt idx="47">
                  <c:v>14.99</c:v>
                </c:pt>
                <c:pt idx="48">
                  <c:v>14.79</c:v>
                </c:pt>
                <c:pt idx="49">
                  <c:v>14.86</c:v>
                </c:pt>
                <c:pt idx="50">
                  <c:v>14.43</c:v>
                </c:pt>
                <c:pt idx="51">
                  <c:v>15.78</c:v>
                </c:pt>
                <c:pt idx="52">
                  <c:v>14.49</c:v>
                </c:pt>
                <c:pt idx="53">
                  <c:v>14.33</c:v>
                </c:pt>
                <c:pt idx="54">
                  <c:v>14.52</c:v>
                </c:pt>
                <c:pt idx="55">
                  <c:v>15.03</c:v>
                </c:pt>
                <c:pt idx="56">
                  <c:v>14.46</c:v>
                </c:pt>
                <c:pt idx="57">
                  <c:v>14.92</c:v>
                </c:pt>
                <c:pt idx="58">
                  <c:v>15.38</c:v>
                </c:pt>
                <c:pt idx="59">
                  <c:v>12.11</c:v>
                </c:pt>
                <c:pt idx="60">
                  <c:v>11.42</c:v>
                </c:pt>
                <c:pt idx="61">
                  <c:v>11.23</c:v>
                </c:pt>
                <c:pt idx="62">
                  <c:v>12.36</c:v>
                </c:pt>
                <c:pt idx="63">
                  <c:v>13.22</c:v>
                </c:pt>
                <c:pt idx="64">
                  <c:v>12.78</c:v>
                </c:pt>
                <c:pt idx="65">
                  <c:v>12.88</c:v>
                </c:pt>
                <c:pt idx="66">
                  <c:v>14.34</c:v>
                </c:pt>
                <c:pt idx="67">
                  <c:v>14.01</c:v>
                </c:pt>
                <c:pt idx="68">
                  <c:v>14.37</c:v>
                </c:pt>
                <c:pt idx="69">
                  <c:v>12.73</c:v>
                </c:pt>
                <c:pt idx="70">
                  <c:v>17.63</c:v>
                </c:pt>
                <c:pt idx="71">
                  <c:v>16.84</c:v>
                </c:pt>
                <c:pt idx="72">
                  <c:v>17.260000000000002</c:v>
                </c:pt>
                <c:pt idx="73">
                  <c:v>19.11</c:v>
                </c:pt>
                <c:pt idx="74">
                  <c:v>16.82</c:v>
                </c:pt>
                <c:pt idx="75">
                  <c:v>16.77</c:v>
                </c:pt>
                <c:pt idx="76">
                  <c:v>17.32</c:v>
                </c:pt>
                <c:pt idx="77">
                  <c:v>20.71</c:v>
                </c:pt>
                <c:pt idx="78">
                  <c:v>18.940000000000001</c:v>
                </c:pt>
                <c:pt idx="79">
                  <c:v>17.12</c:v>
                </c:pt>
                <c:pt idx="80">
                  <c:v>16.53</c:v>
                </c:pt>
                <c:pt idx="81">
                  <c:v>18.72</c:v>
                </c:pt>
                <c:pt idx="82">
                  <c:v>20.2</c:v>
                </c:pt>
                <c:pt idx="83">
                  <c:v>19.57</c:v>
                </c:pt>
                <c:pt idx="84">
                  <c:v>19.510000000000002</c:v>
                </c:pt>
                <c:pt idx="85">
                  <c:v>18.27</c:v>
                </c:pt>
                <c:pt idx="86">
                  <c:v>18.88</c:v>
                </c:pt>
                <c:pt idx="87">
                  <c:v>18.98</c:v>
                </c:pt>
                <c:pt idx="88">
                  <c:v>21.18</c:v>
                </c:pt>
                <c:pt idx="89">
                  <c:v>20.88</c:v>
                </c:pt>
                <c:pt idx="90">
                  <c:v>20.100000000000001</c:v>
                </c:pt>
                <c:pt idx="91">
                  <c:v>18.760000000000002</c:v>
                </c:pt>
                <c:pt idx="92">
                  <c:v>18.809999999999999</c:v>
                </c:pt>
                <c:pt idx="93">
                  <c:v>18.59</c:v>
                </c:pt>
                <c:pt idx="94">
                  <c:v>18.36</c:v>
                </c:pt>
                <c:pt idx="95">
                  <c:v>16.87</c:v>
                </c:pt>
                <c:pt idx="96">
                  <c:v>19.309999999999999</c:v>
                </c:pt>
                <c:pt idx="97">
                  <c:v>18.98</c:v>
                </c:pt>
                <c:pt idx="98">
                  <c:v>18.170000000000002</c:v>
                </c:pt>
                <c:pt idx="99">
                  <c:v>18.72</c:v>
                </c:pt>
                <c:pt idx="100">
                  <c:v>16.41</c:v>
                </c:pt>
                <c:pt idx="101">
                  <c:v>17.989999999999998</c:v>
                </c:pt>
                <c:pt idx="102">
                  <c:v>19.46</c:v>
                </c:pt>
                <c:pt idx="103">
                  <c:v>19.18</c:v>
                </c:pt>
                <c:pt idx="104">
                  <c:v>18.95</c:v>
                </c:pt>
                <c:pt idx="105">
                  <c:v>18.829999999999998</c:v>
                </c:pt>
                <c:pt idx="106">
                  <c:v>18.850000000000001</c:v>
                </c:pt>
                <c:pt idx="107">
                  <c:v>17.63</c:v>
                </c:pt>
                <c:pt idx="108">
                  <c:v>19.940000000000001</c:v>
                </c:pt>
                <c:pt idx="109">
                  <c:v>18.55</c:v>
                </c:pt>
                <c:pt idx="110">
                  <c:v>18.45</c:v>
                </c:pt>
                <c:pt idx="111">
                  <c:v>19.38</c:v>
                </c:pt>
                <c:pt idx="112">
                  <c:v>19.13</c:v>
                </c:pt>
                <c:pt idx="113">
                  <c:v>19.14</c:v>
                </c:pt>
                <c:pt idx="114">
                  <c:v>20.97</c:v>
                </c:pt>
                <c:pt idx="115">
                  <c:v>19.059999999999999</c:v>
                </c:pt>
                <c:pt idx="116">
                  <c:v>18.96</c:v>
                </c:pt>
                <c:pt idx="117">
                  <c:v>19.149999999999999</c:v>
                </c:pt>
                <c:pt idx="118">
                  <c:v>18.89</c:v>
                </c:pt>
                <c:pt idx="119">
                  <c:v>20.03</c:v>
                </c:pt>
                <c:pt idx="120">
                  <c:v>20.239999999999998</c:v>
                </c:pt>
                <c:pt idx="121">
                  <c:v>18.14</c:v>
                </c:pt>
                <c:pt idx="122">
                  <c:v>16.170000000000002</c:v>
                </c:pt>
                <c:pt idx="123">
                  <c:v>18.43</c:v>
                </c:pt>
                <c:pt idx="124">
                  <c:v>15.99</c:v>
                </c:pt>
                <c:pt idx="125">
                  <c:v>18.75</c:v>
                </c:pt>
                <c:pt idx="126">
                  <c:v>18.649999999999999</c:v>
                </c:pt>
                <c:pt idx="127">
                  <c:v>17.98</c:v>
                </c:pt>
                <c:pt idx="128">
                  <c:v>20.16</c:v>
                </c:pt>
                <c:pt idx="129">
                  <c:v>17.55</c:v>
                </c:pt>
                <c:pt idx="130">
                  <c:v>18.3</c:v>
                </c:pt>
                <c:pt idx="131">
                  <c:v>18.940000000000001</c:v>
                </c:pt>
                <c:pt idx="132">
                  <c:v>15.38</c:v>
                </c:pt>
                <c:pt idx="133">
                  <c:v>16.16</c:v>
                </c:pt>
                <c:pt idx="134">
                  <c:v>15.56</c:v>
                </c:pt>
                <c:pt idx="135">
                  <c:v>15.38</c:v>
                </c:pt>
                <c:pt idx="136">
                  <c:v>17.36</c:v>
                </c:pt>
                <c:pt idx="137">
                  <c:v>15.57</c:v>
                </c:pt>
                <c:pt idx="138">
                  <c:v>15.6</c:v>
                </c:pt>
                <c:pt idx="139">
                  <c:v>16.23</c:v>
                </c:pt>
                <c:pt idx="140">
                  <c:v>13.07</c:v>
                </c:pt>
                <c:pt idx="141">
                  <c:v>13.32</c:v>
                </c:pt>
                <c:pt idx="142">
                  <c:v>13.34</c:v>
                </c:pt>
                <c:pt idx="143">
                  <c:v>12.22</c:v>
                </c:pt>
                <c:pt idx="144">
                  <c:v>11.82</c:v>
                </c:pt>
                <c:pt idx="145">
                  <c:v>11.21</c:v>
                </c:pt>
                <c:pt idx="146">
                  <c:v>11.43</c:v>
                </c:pt>
                <c:pt idx="147">
                  <c:v>12.49</c:v>
                </c:pt>
                <c:pt idx="148">
                  <c:v>12.7</c:v>
                </c:pt>
                <c:pt idx="149">
                  <c:v>10.79</c:v>
                </c:pt>
                <c:pt idx="150">
                  <c:v>11.83</c:v>
                </c:pt>
                <c:pt idx="151">
                  <c:v>12.01</c:v>
                </c:pt>
                <c:pt idx="152">
                  <c:v>12.26</c:v>
                </c:pt>
                <c:pt idx="153">
                  <c:v>11.18</c:v>
                </c:pt>
                <c:pt idx="154">
                  <c:v>11.36</c:v>
                </c:pt>
                <c:pt idx="155">
                  <c:v>11.19</c:v>
                </c:pt>
                <c:pt idx="156">
                  <c:v>11.34</c:v>
                </c:pt>
                <c:pt idx="157">
                  <c:v>12.13</c:v>
                </c:pt>
                <c:pt idx="158">
                  <c:v>11.75</c:v>
                </c:pt>
                <c:pt idx="159">
                  <c:v>11.49</c:v>
                </c:pt>
                <c:pt idx="160">
                  <c:v>12.54</c:v>
                </c:pt>
                <c:pt idx="161">
                  <c:v>12.02</c:v>
                </c:pt>
                <c:pt idx="162">
                  <c:v>12.05</c:v>
                </c:pt>
                <c:pt idx="163">
                  <c:v>12.55</c:v>
                </c:pt>
                <c:pt idx="164">
                  <c:v>11.14</c:v>
                </c:pt>
                <c:pt idx="165">
                  <c:v>12.1</c:v>
                </c:pt>
                <c:pt idx="166">
                  <c:v>12.44</c:v>
                </c:pt>
                <c:pt idx="167">
                  <c:v>12.15</c:v>
                </c:pt>
                <c:pt idx="168">
                  <c:v>11.35</c:v>
                </c:pt>
                <c:pt idx="169">
                  <c:v>11.24</c:v>
                </c:pt>
                <c:pt idx="170">
                  <c:v>11.02</c:v>
                </c:pt>
                <c:pt idx="171">
                  <c:v>11.55</c:v>
                </c:pt>
                <c:pt idx="172">
                  <c:v>11.27</c:v>
                </c:pt>
                <c:pt idx="173">
                  <c:v>11.4</c:v>
                </c:pt>
                <c:pt idx="174">
                  <c:v>10.83</c:v>
                </c:pt>
                <c:pt idx="175">
                  <c:v>10.8</c:v>
                </c:pt>
                <c:pt idx="176">
                  <c:v>11.26</c:v>
                </c:pt>
                <c:pt idx="177">
                  <c:v>10.74</c:v>
                </c:pt>
                <c:pt idx="178">
                  <c:v>11.48</c:v>
                </c:pt>
                <c:pt idx="179">
                  <c:v>12.21</c:v>
                </c:pt>
                <c:pt idx="180">
                  <c:v>11.41</c:v>
                </c:pt>
                <c:pt idx="181">
                  <c:v>12.46</c:v>
                </c:pt>
                <c:pt idx="182">
                  <c:v>12.19</c:v>
                </c:pt>
                <c:pt idx="183">
                  <c:v>11.65</c:v>
                </c:pt>
                <c:pt idx="184">
                  <c:v>12.89</c:v>
                </c:pt>
                <c:pt idx="185">
                  <c:v>11.56</c:v>
                </c:pt>
                <c:pt idx="186">
                  <c:v>11.81</c:v>
                </c:pt>
                <c:pt idx="187">
                  <c:v>10.91</c:v>
                </c:pt>
                <c:pt idx="188">
                  <c:v>11.23</c:v>
                </c:pt>
                <c:pt idx="189">
                  <c:v>10.59</c:v>
                </c:pt>
                <c:pt idx="190">
                  <c:v>10.93</c:v>
                </c:pt>
                <c:pt idx="191">
                  <c:v>11.27</c:v>
                </c:pt>
                <c:pt idx="192">
                  <c:v>11.87</c:v>
                </c:pt>
                <c:pt idx="193">
                  <c:v>10.82</c:v>
                </c:pt>
                <c:pt idx="194">
                  <c:v>12.11</c:v>
                </c:pt>
                <c:pt idx="195">
                  <c:v>12.8</c:v>
                </c:pt>
                <c:pt idx="196">
                  <c:v>12.79</c:v>
                </c:pt>
                <c:pt idx="197">
                  <c:v>13.37</c:v>
                </c:pt>
                <c:pt idx="198">
                  <c:v>12.62</c:v>
                </c:pt>
                <c:pt idx="199">
                  <c:v>12.76</c:v>
                </c:pt>
                <c:pt idx="200">
                  <c:v>12.38</c:v>
                </c:pt>
                <c:pt idx="201">
                  <c:v>12.67</c:v>
                </c:pt>
                <c:pt idx="202">
                  <c:v>11.18</c:v>
                </c:pt>
                <c:pt idx="203">
                  <c:v>12.7</c:v>
                </c:pt>
                <c:pt idx="204">
                  <c:v>12.37</c:v>
                </c:pt>
                <c:pt idx="205">
                  <c:v>12.19</c:v>
                </c:pt>
                <c:pt idx="206">
                  <c:v>11.23</c:v>
                </c:pt>
                <c:pt idx="207">
                  <c:v>13.2</c:v>
                </c:pt>
                <c:pt idx="208">
                  <c:v>11.84</c:v>
                </c:pt>
                <c:pt idx="209">
                  <c:v>12.3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C9-424C-A356-FD573B48F415}"/>
            </c:ext>
          </c:extLst>
        </c:ser>
        <c:ser>
          <c:idx val="1"/>
          <c:order val="1"/>
          <c:tx>
            <c:strRef>
              <c:f>feature_scaling!$C$1</c:f>
              <c:strCache>
                <c:ptCount val="1"/>
                <c:pt idx="0">
                  <c:v>f2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feature_scaling!$A$2:$A$211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feature_scaling!$C$2:$C$211</c:f>
              <c:numCache>
                <c:formatCode>General</c:formatCode>
                <c:ptCount val="210"/>
                <c:pt idx="0">
                  <c:v>14.84</c:v>
                </c:pt>
                <c:pt idx="1">
                  <c:v>14.57</c:v>
                </c:pt>
                <c:pt idx="2">
                  <c:v>14.09</c:v>
                </c:pt>
                <c:pt idx="3">
                  <c:v>13.94</c:v>
                </c:pt>
                <c:pt idx="4">
                  <c:v>14.99</c:v>
                </c:pt>
                <c:pt idx="5">
                  <c:v>14.21</c:v>
                </c:pt>
                <c:pt idx="6">
                  <c:v>14.49</c:v>
                </c:pt>
                <c:pt idx="7">
                  <c:v>14.1</c:v>
                </c:pt>
                <c:pt idx="8">
                  <c:v>15.46</c:v>
                </c:pt>
                <c:pt idx="9">
                  <c:v>15.25</c:v>
                </c:pt>
                <c:pt idx="10">
                  <c:v>14.85</c:v>
                </c:pt>
                <c:pt idx="11">
                  <c:v>14.16</c:v>
                </c:pt>
                <c:pt idx="12">
                  <c:v>14.02</c:v>
                </c:pt>
                <c:pt idx="13">
                  <c:v>14.06</c:v>
                </c:pt>
                <c:pt idx="14">
                  <c:v>14.05</c:v>
                </c:pt>
                <c:pt idx="15">
                  <c:v>14.28</c:v>
                </c:pt>
                <c:pt idx="16">
                  <c:v>13.83</c:v>
                </c:pt>
                <c:pt idx="17">
                  <c:v>14.75</c:v>
                </c:pt>
                <c:pt idx="18">
                  <c:v>14.21</c:v>
                </c:pt>
                <c:pt idx="19">
                  <c:v>13.57</c:v>
                </c:pt>
                <c:pt idx="20">
                  <c:v>14.4</c:v>
                </c:pt>
                <c:pt idx="21">
                  <c:v>14.26</c:v>
                </c:pt>
                <c:pt idx="22">
                  <c:v>14.9</c:v>
                </c:pt>
                <c:pt idx="23">
                  <c:v>13.23</c:v>
                </c:pt>
                <c:pt idx="24">
                  <c:v>14.76</c:v>
                </c:pt>
                <c:pt idx="25">
                  <c:v>15.16</c:v>
                </c:pt>
                <c:pt idx="26">
                  <c:v>13.76</c:v>
                </c:pt>
                <c:pt idx="27">
                  <c:v>13.67</c:v>
                </c:pt>
                <c:pt idx="28">
                  <c:v>14.18</c:v>
                </c:pt>
                <c:pt idx="29">
                  <c:v>14.02</c:v>
                </c:pt>
                <c:pt idx="30">
                  <c:v>13.82</c:v>
                </c:pt>
                <c:pt idx="31">
                  <c:v>14.94</c:v>
                </c:pt>
                <c:pt idx="32">
                  <c:v>14.41</c:v>
                </c:pt>
                <c:pt idx="33">
                  <c:v>14.17</c:v>
                </c:pt>
                <c:pt idx="34">
                  <c:v>14.68</c:v>
                </c:pt>
                <c:pt idx="35">
                  <c:v>15</c:v>
                </c:pt>
                <c:pt idx="36">
                  <c:v>15.27</c:v>
                </c:pt>
                <c:pt idx="37">
                  <c:v>15.38</c:v>
                </c:pt>
                <c:pt idx="38">
                  <c:v>14.52</c:v>
                </c:pt>
                <c:pt idx="39">
                  <c:v>14.17</c:v>
                </c:pt>
                <c:pt idx="40">
                  <c:v>13.85</c:v>
                </c:pt>
                <c:pt idx="41">
                  <c:v>13.85</c:v>
                </c:pt>
                <c:pt idx="42">
                  <c:v>13.55</c:v>
                </c:pt>
                <c:pt idx="43">
                  <c:v>14.86</c:v>
                </c:pt>
                <c:pt idx="44">
                  <c:v>14.54</c:v>
                </c:pt>
                <c:pt idx="45">
                  <c:v>14.04</c:v>
                </c:pt>
                <c:pt idx="46">
                  <c:v>14.76</c:v>
                </c:pt>
                <c:pt idx="47">
                  <c:v>14.56</c:v>
                </c:pt>
                <c:pt idx="48">
                  <c:v>14.52</c:v>
                </c:pt>
                <c:pt idx="49">
                  <c:v>14.67</c:v>
                </c:pt>
                <c:pt idx="50">
                  <c:v>14.4</c:v>
                </c:pt>
                <c:pt idx="51">
                  <c:v>14.91</c:v>
                </c:pt>
                <c:pt idx="52">
                  <c:v>14.61</c:v>
                </c:pt>
                <c:pt idx="53">
                  <c:v>14.28</c:v>
                </c:pt>
                <c:pt idx="54">
                  <c:v>14.6</c:v>
                </c:pt>
                <c:pt idx="55">
                  <c:v>14.77</c:v>
                </c:pt>
                <c:pt idx="56">
                  <c:v>14.35</c:v>
                </c:pt>
                <c:pt idx="57">
                  <c:v>14.43</c:v>
                </c:pt>
                <c:pt idx="58">
                  <c:v>14.77</c:v>
                </c:pt>
                <c:pt idx="59">
                  <c:v>13.47</c:v>
                </c:pt>
                <c:pt idx="60">
                  <c:v>12.86</c:v>
                </c:pt>
                <c:pt idx="61">
                  <c:v>12.63</c:v>
                </c:pt>
                <c:pt idx="62">
                  <c:v>13.19</c:v>
                </c:pt>
                <c:pt idx="63">
                  <c:v>13.84</c:v>
                </c:pt>
                <c:pt idx="64">
                  <c:v>13.57</c:v>
                </c:pt>
                <c:pt idx="65">
                  <c:v>13.5</c:v>
                </c:pt>
                <c:pt idx="66">
                  <c:v>14.37</c:v>
                </c:pt>
                <c:pt idx="67">
                  <c:v>14.29</c:v>
                </c:pt>
                <c:pt idx="68">
                  <c:v>14.39</c:v>
                </c:pt>
                <c:pt idx="69">
                  <c:v>13.75</c:v>
                </c:pt>
                <c:pt idx="70">
                  <c:v>15.98</c:v>
                </c:pt>
                <c:pt idx="71">
                  <c:v>15.67</c:v>
                </c:pt>
                <c:pt idx="72">
                  <c:v>15.73</c:v>
                </c:pt>
                <c:pt idx="73">
                  <c:v>16.260000000000002</c:v>
                </c:pt>
                <c:pt idx="74">
                  <c:v>15.51</c:v>
                </c:pt>
                <c:pt idx="75">
                  <c:v>15.62</c:v>
                </c:pt>
                <c:pt idx="76">
                  <c:v>15.91</c:v>
                </c:pt>
                <c:pt idx="77">
                  <c:v>17.23</c:v>
                </c:pt>
                <c:pt idx="78">
                  <c:v>16.489999999999998</c:v>
                </c:pt>
                <c:pt idx="79">
                  <c:v>15.55</c:v>
                </c:pt>
                <c:pt idx="80">
                  <c:v>15.34</c:v>
                </c:pt>
                <c:pt idx="81">
                  <c:v>16.190000000000001</c:v>
                </c:pt>
                <c:pt idx="82">
                  <c:v>16.89</c:v>
                </c:pt>
                <c:pt idx="83">
                  <c:v>16.739999999999998</c:v>
                </c:pt>
                <c:pt idx="84">
                  <c:v>16.71</c:v>
                </c:pt>
                <c:pt idx="85">
                  <c:v>16.09</c:v>
                </c:pt>
                <c:pt idx="86">
                  <c:v>16.260000000000002</c:v>
                </c:pt>
                <c:pt idx="87">
                  <c:v>16.66</c:v>
                </c:pt>
                <c:pt idx="88">
                  <c:v>17.21</c:v>
                </c:pt>
                <c:pt idx="89">
                  <c:v>17.05</c:v>
                </c:pt>
                <c:pt idx="90">
                  <c:v>16.989999999999998</c:v>
                </c:pt>
                <c:pt idx="91">
                  <c:v>16.2</c:v>
                </c:pt>
                <c:pt idx="92">
                  <c:v>16.29</c:v>
                </c:pt>
                <c:pt idx="93">
                  <c:v>16.05</c:v>
                </c:pt>
                <c:pt idx="94">
                  <c:v>16.52</c:v>
                </c:pt>
                <c:pt idx="95">
                  <c:v>15.65</c:v>
                </c:pt>
                <c:pt idx="96">
                  <c:v>16.59</c:v>
                </c:pt>
                <c:pt idx="97">
                  <c:v>16.57</c:v>
                </c:pt>
                <c:pt idx="98">
                  <c:v>16.260000000000002</c:v>
                </c:pt>
                <c:pt idx="99">
                  <c:v>16.34</c:v>
                </c:pt>
                <c:pt idx="100">
                  <c:v>15.25</c:v>
                </c:pt>
                <c:pt idx="101">
                  <c:v>15.86</c:v>
                </c:pt>
                <c:pt idx="102">
                  <c:v>16.5</c:v>
                </c:pt>
                <c:pt idx="103">
                  <c:v>16.63</c:v>
                </c:pt>
                <c:pt idx="104">
                  <c:v>16.420000000000002</c:v>
                </c:pt>
                <c:pt idx="105">
                  <c:v>16.29</c:v>
                </c:pt>
                <c:pt idx="106">
                  <c:v>16.170000000000002</c:v>
                </c:pt>
                <c:pt idx="107">
                  <c:v>15.86</c:v>
                </c:pt>
                <c:pt idx="108">
                  <c:v>16.920000000000002</c:v>
                </c:pt>
                <c:pt idx="109">
                  <c:v>16.22</c:v>
                </c:pt>
                <c:pt idx="110">
                  <c:v>16.12</c:v>
                </c:pt>
                <c:pt idx="111">
                  <c:v>16.72</c:v>
                </c:pt>
                <c:pt idx="112">
                  <c:v>16.309999999999999</c:v>
                </c:pt>
                <c:pt idx="113">
                  <c:v>16.61</c:v>
                </c:pt>
                <c:pt idx="114">
                  <c:v>17.25</c:v>
                </c:pt>
                <c:pt idx="115">
                  <c:v>16.45</c:v>
                </c:pt>
                <c:pt idx="116">
                  <c:v>16.2</c:v>
                </c:pt>
                <c:pt idx="117">
                  <c:v>16.45</c:v>
                </c:pt>
                <c:pt idx="118">
                  <c:v>16.23</c:v>
                </c:pt>
                <c:pt idx="119">
                  <c:v>16.899999999999999</c:v>
                </c:pt>
                <c:pt idx="120">
                  <c:v>16.91</c:v>
                </c:pt>
                <c:pt idx="121">
                  <c:v>16.12</c:v>
                </c:pt>
                <c:pt idx="122">
                  <c:v>15.38</c:v>
                </c:pt>
                <c:pt idx="123">
                  <c:v>15.97</c:v>
                </c:pt>
                <c:pt idx="124">
                  <c:v>14.89</c:v>
                </c:pt>
                <c:pt idx="125">
                  <c:v>16.18</c:v>
                </c:pt>
                <c:pt idx="126">
                  <c:v>16.41</c:v>
                </c:pt>
                <c:pt idx="127">
                  <c:v>15.85</c:v>
                </c:pt>
                <c:pt idx="128">
                  <c:v>17.03</c:v>
                </c:pt>
                <c:pt idx="129">
                  <c:v>15.66</c:v>
                </c:pt>
                <c:pt idx="130">
                  <c:v>15.89</c:v>
                </c:pt>
                <c:pt idx="131">
                  <c:v>16.32</c:v>
                </c:pt>
                <c:pt idx="132">
                  <c:v>14.9</c:v>
                </c:pt>
                <c:pt idx="133">
                  <c:v>15.33</c:v>
                </c:pt>
                <c:pt idx="134">
                  <c:v>14.89</c:v>
                </c:pt>
                <c:pt idx="135">
                  <c:v>14.66</c:v>
                </c:pt>
                <c:pt idx="136">
                  <c:v>15.76</c:v>
                </c:pt>
                <c:pt idx="137">
                  <c:v>15.15</c:v>
                </c:pt>
                <c:pt idx="138">
                  <c:v>15.11</c:v>
                </c:pt>
                <c:pt idx="139">
                  <c:v>15.18</c:v>
                </c:pt>
                <c:pt idx="140">
                  <c:v>13.92</c:v>
                </c:pt>
                <c:pt idx="141">
                  <c:v>13.94</c:v>
                </c:pt>
                <c:pt idx="142">
                  <c:v>13.95</c:v>
                </c:pt>
                <c:pt idx="143">
                  <c:v>13.32</c:v>
                </c:pt>
                <c:pt idx="144">
                  <c:v>13.4</c:v>
                </c:pt>
                <c:pt idx="145">
                  <c:v>13.13</c:v>
                </c:pt>
                <c:pt idx="146">
                  <c:v>13.13</c:v>
                </c:pt>
                <c:pt idx="147">
                  <c:v>13.46</c:v>
                </c:pt>
                <c:pt idx="148">
                  <c:v>13.71</c:v>
                </c:pt>
                <c:pt idx="149">
                  <c:v>12.93</c:v>
                </c:pt>
                <c:pt idx="150">
                  <c:v>13.23</c:v>
                </c:pt>
                <c:pt idx="151">
                  <c:v>13.52</c:v>
                </c:pt>
                <c:pt idx="152">
                  <c:v>13.6</c:v>
                </c:pt>
                <c:pt idx="153">
                  <c:v>13.04</c:v>
                </c:pt>
                <c:pt idx="154">
                  <c:v>13.05</c:v>
                </c:pt>
                <c:pt idx="155">
                  <c:v>13.05</c:v>
                </c:pt>
                <c:pt idx="156">
                  <c:v>12.87</c:v>
                </c:pt>
                <c:pt idx="157">
                  <c:v>13.73</c:v>
                </c:pt>
                <c:pt idx="158">
                  <c:v>13.52</c:v>
                </c:pt>
                <c:pt idx="159">
                  <c:v>13.22</c:v>
                </c:pt>
                <c:pt idx="160">
                  <c:v>13.67</c:v>
                </c:pt>
                <c:pt idx="161">
                  <c:v>13.33</c:v>
                </c:pt>
                <c:pt idx="162">
                  <c:v>13.41</c:v>
                </c:pt>
                <c:pt idx="163">
                  <c:v>13.57</c:v>
                </c:pt>
                <c:pt idx="164">
                  <c:v>12.79</c:v>
                </c:pt>
                <c:pt idx="165">
                  <c:v>13.15</c:v>
                </c:pt>
                <c:pt idx="166">
                  <c:v>13.59</c:v>
                </c:pt>
                <c:pt idx="167">
                  <c:v>13.45</c:v>
                </c:pt>
                <c:pt idx="168">
                  <c:v>13.12</c:v>
                </c:pt>
                <c:pt idx="169">
                  <c:v>13</c:v>
                </c:pt>
                <c:pt idx="170">
                  <c:v>13</c:v>
                </c:pt>
                <c:pt idx="171">
                  <c:v>13.1</c:v>
                </c:pt>
                <c:pt idx="172">
                  <c:v>12.97</c:v>
                </c:pt>
                <c:pt idx="173">
                  <c:v>13.08</c:v>
                </c:pt>
                <c:pt idx="174">
                  <c:v>12.96</c:v>
                </c:pt>
                <c:pt idx="175">
                  <c:v>12.57</c:v>
                </c:pt>
                <c:pt idx="176">
                  <c:v>13.01</c:v>
                </c:pt>
                <c:pt idx="177">
                  <c:v>12.73</c:v>
                </c:pt>
                <c:pt idx="178">
                  <c:v>13.05</c:v>
                </c:pt>
                <c:pt idx="179">
                  <c:v>13.47</c:v>
                </c:pt>
                <c:pt idx="180">
                  <c:v>12.95</c:v>
                </c:pt>
                <c:pt idx="181">
                  <c:v>13.41</c:v>
                </c:pt>
                <c:pt idx="182">
                  <c:v>13.36</c:v>
                </c:pt>
                <c:pt idx="183">
                  <c:v>13.07</c:v>
                </c:pt>
                <c:pt idx="184">
                  <c:v>13.77</c:v>
                </c:pt>
                <c:pt idx="185">
                  <c:v>13.31</c:v>
                </c:pt>
                <c:pt idx="186">
                  <c:v>13.45</c:v>
                </c:pt>
                <c:pt idx="187">
                  <c:v>12.8</c:v>
                </c:pt>
                <c:pt idx="188">
                  <c:v>12.82</c:v>
                </c:pt>
                <c:pt idx="189">
                  <c:v>12.41</c:v>
                </c:pt>
                <c:pt idx="190">
                  <c:v>12.8</c:v>
                </c:pt>
                <c:pt idx="191">
                  <c:v>12.86</c:v>
                </c:pt>
                <c:pt idx="192">
                  <c:v>13.02</c:v>
                </c:pt>
                <c:pt idx="193">
                  <c:v>12.83</c:v>
                </c:pt>
                <c:pt idx="194">
                  <c:v>13.27</c:v>
                </c:pt>
                <c:pt idx="195">
                  <c:v>13.47</c:v>
                </c:pt>
                <c:pt idx="196">
                  <c:v>13.53</c:v>
                </c:pt>
                <c:pt idx="197">
                  <c:v>13.78</c:v>
                </c:pt>
                <c:pt idx="198">
                  <c:v>13.67</c:v>
                </c:pt>
                <c:pt idx="199">
                  <c:v>13.38</c:v>
                </c:pt>
                <c:pt idx="200">
                  <c:v>13.44</c:v>
                </c:pt>
                <c:pt idx="201">
                  <c:v>13.32</c:v>
                </c:pt>
                <c:pt idx="202">
                  <c:v>12.72</c:v>
                </c:pt>
                <c:pt idx="203">
                  <c:v>13.41</c:v>
                </c:pt>
                <c:pt idx="204">
                  <c:v>13.47</c:v>
                </c:pt>
                <c:pt idx="205">
                  <c:v>13.2</c:v>
                </c:pt>
                <c:pt idx="206">
                  <c:v>12.88</c:v>
                </c:pt>
                <c:pt idx="207">
                  <c:v>13.66</c:v>
                </c:pt>
                <c:pt idx="208">
                  <c:v>13.21</c:v>
                </c:pt>
                <c:pt idx="209">
                  <c:v>13.34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9C9-424C-A356-FD573B48F415}"/>
            </c:ext>
          </c:extLst>
        </c:ser>
        <c:ser>
          <c:idx val="2"/>
          <c:order val="2"/>
          <c:tx>
            <c:strRef>
              <c:f>feature_scaling!$D$1</c:f>
              <c:strCache>
                <c:ptCount val="1"/>
                <c:pt idx="0">
                  <c:v>f3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feature_scaling!$A$2:$A$211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feature_scaling!$D$2:$D$211</c:f>
              <c:numCache>
                <c:formatCode>General</c:formatCode>
                <c:ptCount val="210"/>
                <c:pt idx="0">
                  <c:v>0.871</c:v>
                </c:pt>
                <c:pt idx="1">
                  <c:v>0.88109999999999999</c:v>
                </c:pt>
                <c:pt idx="2">
                  <c:v>0.90500000000000003</c:v>
                </c:pt>
                <c:pt idx="3">
                  <c:v>0.89549999999999996</c:v>
                </c:pt>
                <c:pt idx="4">
                  <c:v>0.90339999999999998</c:v>
                </c:pt>
                <c:pt idx="5">
                  <c:v>0.89510000000000001</c:v>
                </c:pt>
                <c:pt idx="6">
                  <c:v>0.87990000000000002</c:v>
                </c:pt>
                <c:pt idx="7">
                  <c:v>0.8911</c:v>
                </c:pt>
                <c:pt idx="8">
                  <c:v>0.87470000000000003</c:v>
                </c:pt>
                <c:pt idx="9">
                  <c:v>0.88800000000000001</c:v>
                </c:pt>
                <c:pt idx="10">
                  <c:v>0.86960000000000004</c:v>
                </c:pt>
                <c:pt idx="11">
                  <c:v>0.87960000000000005</c:v>
                </c:pt>
                <c:pt idx="12">
                  <c:v>0.88800000000000001</c:v>
                </c:pt>
                <c:pt idx="13">
                  <c:v>0.87590000000000001</c:v>
                </c:pt>
                <c:pt idx="14">
                  <c:v>0.87439999999999996</c:v>
                </c:pt>
                <c:pt idx="15">
                  <c:v>0.89929999999999999</c:v>
                </c:pt>
                <c:pt idx="16">
                  <c:v>0.91830000000000001</c:v>
                </c:pt>
                <c:pt idx="17">
                  <c:v>0.90580000000000005</c:v>
                </c:pt>
                <c:pt idx="18">
                  <c:v>0.9153</c:v>
                </c:pt>
                <c:pt idx="19">
                  <c:v>0.86860000000000004</c:v>
                </c:pt>
                <c:pt idx="20">
                  <c:v>0.85840000000000005</c:v>
                </c:pt>
                <c:pt idx="21">
                  <c:v>0.87219999999999998</c:v>
                </c:pt>
                <c:pt idx="22">
                  <c:v>0.89880000000000004</c:v>
                </c:pt>
                <c:pt idx="23">
                  <c:v>0.86639999999999995</c:v>
                </c:pt>
                <c:pt idx="24">
                  <c:v>0.86570000000000003</c:v>
                </c:pt>
                <c:pt idx="25">
                  <c:v>0.88490000000000002</c:v>
                </c:pt>
                <c:pt idx="26">
                  <c:v>0.86409999999999998</c:v>
                </c:pt>
                <c:pt idx="27">
                  <c:v>0.85640000000000005</c:v>
                </c:pt>
                <c:pt idx="28">
                  <c:v>0.88200000000000001</c:v>
                </c:pt>
                <c:pt idx="29">
                  <c:v>0.86040000000000005</c:v>
                </c:pt>
                <c:pt idx="30">
                  <c:v>0.86619999999999997</c:v>
                </c:pt>
                <c:pt idx="31">
                  <c:v>0.87239999999999995</c:v>
                </c:pt>
                <c:pt idx="32">
                  <c:v>0.85289999999999999</c:v>
                </c:pt>
                <c:pt idx="33">
                  <c:v>0.87280000000000002</c:v>
                </c:pt>
                <c:pt idx="34">
                  <c:v>0.87790000000000001</c:v>
                </c:pt>
                <c:pt idx="35">
                  <c:v>0.9</c:v>
                </c:pt>
                <c:pt idx="36">
                  <c:v>0.87339999999999995</c:v>
                </c:pt>
                <c:pt idx="37">
                  <c:v>0.90790000000000004</c:v>
                </c:pt>
                <c:pt idx="38">
                  <c:v>0.88229999999999997</c:v>
                </c:pt>
                <c:pt idx="39">
                  <c:v>0.89439999999999997</c:v>
                </c:pt>
                <c:pt idx="40">
                  <c:v>0.8871</c:v>
                </c:pt>
                <c:pt idx="41">
                  <c:v>0.88519999999999999</c:v>
                </c:pt>
                <c:pt idx="42">
                  <c:v>0.90090000000000003</c:v>
                </c:pt>
                <c:pt idx="43">
                  <c:v>0.88200000000000001</c:v>
                </c:pt>
                <c:pt idx="44">
                  <c:v>0.89859999999999995</c:v>
                </c:pt>
                <c:pt idx="45">
                  <c:v>0.87939999999999996</c:v>
                </c:pt>
                <c:pt idx="46">
                  <c:v>0.8861</c:v>
                </c:pt>
                <c:pt idx="47">
                  <c:v>0.88829999999999998</c:v>
                </c:pt>
                <c:pt idx="48">
                  <c:v>0.88190000000000002</c:v>
                </c:pt>
                <c:pt idx="49">
                  <c:v>0.86760000000000004</c:v>
                </c:pt>
                <c:pt idx="50">
                  <c:v>0.87509999999999999</c:v>
                </c:pt>
                <c:pt idx="51">
                  <c:v>0.89229999999999998</c:v>
                </c:pt>
                <c:pt idx="52">
                  <c:v>0.8538</c:v>
                </c:pt>
                <c:pt idx="53">
                  <c:v>0.8831</c:v>
                </c:pt>
                <c:pt idx="54">
                  <c:v>0.85570000000000002</c:v>
                </c:pt>
                <c:pt idx="55">
                  <c:v>0.86580000000000001</c:v>
                </c:pt>
                <c:pt idx="56">
                  <c:v>0.88180000000000003</c:v>
                </c:pt>
                <c:pt idx="57">
                  <c:v>0.90059999999999996</c:v>
                </c:pt>
                <c:pt idx="58">
                  <c:v>0.88570000000000004</c:v>
                </c:pt>
                <c:pt idx="59">
                  <c:v>0.83919999999999995</c:v>
                </c:pt>
                <c:pt idx="60">
                  <c:v>0.86829999999999996</c:v>
                </c:pt>
                <c:pt idx="61">
                  <c:v>0.88400000000000001</c:v>
                </c:pt>
                <c:pt idx="62">
                  <c:v>0.89229999999999998</c:v>
                </c:pt>
                <c:pt idx="63">
                  <c:v>0.86799999999999999</c:v>
                </c:pt>
                <c:pt idx="64">
                  <c:v>0.87160000000000004</c:v>
                </c:pt>
                <c:pt idx="65">
                  <c:v>0.88790000000000002</c:v>
                </c:pt>
                <c:pt idx="66">
                  <c:v>0.87260000000000004</c:v>
                </c:pt>
                <c:pt idx="67">
                  <c:v>0.86250000000000004</c:v>
                </c:pt>
                <c:pt idx="68">
                  <c:v>0.87260000000000004</c:v>
                </c:pt>
                <c:pt idx="69">
                  <c:v>0.8458</c:v>
                </c:pt>
                <c:pt idx="70">
                  <c:v>0.86729999999999996</c:v>
                </c:pt>
                <c:pt idx="71">
                  <c:v>0.86229999999999996</c:v>
                </c:pt>
                <c:pt idx="72">
                  <c:v>0.87629999999999997</c:v>
                </c:pt>
                <c:pt idx="73">
                  <c:v>0.90810000000000002</c:v>
                </c:pt>
                <c:pt idx="74">
                  <c:v>0.87860000000000005</c:v>
                </c:pt>
                <c:pt idx="75">
                  <c:v>0.86380000000000001</c:v>
                </c:pt>
                <c:pt idx="76">
                  <c:v>0.8599</c:v>
                </c:pt>
                <c:pt idx="77">
                  <c:v>0.87629999999999997</c:v>
                </c:pt>
                <c:pt idx="78">
                  <c:v>0.875</c:v>
                </c:pt>
                <c:pt idx="79">
                  <c:v>0.88919999999999999</c:v>
                </c:pt>
                <c:pt idx="80">
                  <c:v>0.88229999999999997</c:v>
                </c:pt>
                <c:pt idx="81">
                  <c:v>0.89770000000000005</c:v>
                </c:pt>
                <c:pt idx="82">
                  <c:v>0.88939999999999997</c:v>
                </c:pt>
                <c:pt idx="83">
                  <c:v>0.87790000000000001</c:v>
                </c:pt>
                <c:pt idx="84">
                  <c:v>0.878</c:v>
                </c:pt>
                <c:pt idx="85">
                  <c:v>0.88700000000000001</c:v>
                </c:pt>
                <c:pt idx="86">
                  <c:v>0.89690000000000003</c:v>
                </c:pt>
                <c:pt idx="87">
                  <c:v>0.85899999999999999</c:v>
                </c:pt>
                <c:pt idx="88">
                  <c:v>0.89890000000000003</c:v>
                </c:pt>
                <c:pt idx="89">
                  <c:v>0.90310000000000001</c:v>
                </c:pt>
                <c:pt idx="90">
                  <c:v>0.87460000000000004</c:v>
                </c:pt>
                <c:pt idx="91">
                  <c:v>0.89839999999999998</c:v>
                </c:pt>
                <c:pt idx="92">
                  <c:v>0.89059999999999995</c:v>
                </c:pt>
                <c:pt idx="93">
                  <c:v>0.90659999999999996</c:v>
                </c:pt>
                <c:pt idx="94">
                  <c:v>0.84519999999999995</c:v>
                </c:pt>
                <c:pt idx="95">
                  <c:v>0.86480000000000001</c:v>
                </c:pt>
                <c:pt idx="96">
                  <c:v>0.88149999999999995</c:v>
                </c:pt>
                <c:pt idx="97">
                  <c:v>0.86870000000000003</c:v>
                </c:pt>
                <c:pt idx="98">
                  <c:v>0.86370000000000002</c:v>
                </c:pt>
                <c:pt idx="99">
                  <c:v>0.88100000000000001</c:v>
                </c:pt>
                <c:pt idx="100">
                  <c:v>0.88660000000000005</c:v>
                </c:pt>
                <c:pt idx="101">
                  <c:v>0.8992</c:v>
                </c:pt>
                <c:pt idx="102">
                  <c:v>0.89849999999999997</c:v>
                </c:pt>
                <c:pt idx="103">
                  <c:v>0.87170000000000003</c:v>
                </c:pt>
                <c:pt idx="104">
                  <c:v>0.88290000000000002</c:v>
                </c:pt>
                <c:pt idx="105">
                  <c:v>0.89170000000000005</c:v>
                </c:pt>
                <c:pt idx="106">
                  <c:v>0.90559999999999996</c:v>
                </c:pt>
                <c:pt idx="107">
                  <c:v>0.88</c:v>
                </c:pt>
                <c:pt idx="108">
                  <c:v>0.87519999999999998</c:v>
                </c:pt>
                <c:pt idx="109">
                  <c:v>0.88649999999999995</c:v>
                </c:pt>
                <c:pt idx="110">
                  <c:v>0.8921</c:v>
                </c:pt>
                <c:pt idx="111">
                  <c:v>0.87160000000000004</c:v>
                </c:pt>
                <c:pt idx="112">
                  <c:v>0.90349999999999997</c:v>
                </c:pt>
                <c:pt idx="113">
                  <c:v>0.87219999999999998</c:v>
                </c:pt>
                <c:pt idx="114">
                  <c:v>0.88590000000000002</c:v>
                </c:pt>
                <c:pt idx="115">
                  <c:v>0.88539999999999996</c:v>
                </c:pt>
                <c:pt idx="116">
                  <c:v>0.90769999999999995</c:v>
                </c:pt>
                <c:pt idx="117">
                  <c:v>0.88900000000000001</c:v>
                </c:pt>
                <c:pt idx="118">
                  <c:v>0.90080000000000005</c:v>
                </c:pt>
                <c:pt idx="119">
                  <c:v>0.88109999999999999</c:v>
                </c:pt>
                <c:pt idx="120">
                  <c:v>0.88970000000000005</c:v>
                </c:pt>
                <c:pt idx="121">
                  <c:v>0.87719999999999998</c:v>
                </c:pt>
                <c:pt idx="122">
                  <c:v>0.85880000000000001</c:v>
                </c:pt>
                <c:pt idx="123">
                  <c:v>0.90769999999999995</c:v>
                </c:pt>
                <c:pt idx="124">
                  <c:v>0.90639999999999998</c:v>
                </c:pt>
                <c:pt idx="125">
                  <c:v>0.89990000000000003</c:v>
                </c:pt>
                <c:pt idx="126">
                  <c:v>0.86980000000000002</c:v>
                </c:pt>
                <c:pt idx="127">
                  <c:v>0.89929999999999999</c:v>
                </c:pt>
                <c:pt idx="128">
                  <c:v>0.87350000000000005</c:v>
                </c:pt>
                <c:pt idx="129">
                  <c:v>0.89910000000000001</c:v>
                </c:pt>
                <c:pt idx="130">
                  <c:v>0.91080000000000005</c:v>
                </c:pt>
                <c:pt idx="131">
                  <c:v>0.89419999999999999</c:v>
                </c:pt>
                <c:pt idx="132">
                  <c:v>0.87060000000000004</c:v>
                </c:pt>
                <c:pt idx="133">
                  <c:v>0.86439999999999995</c:v>
                </c:pt>
                <c:pt idx="134">
                  <c:v>0.88229999999999997</c:v>
                </c:pt>
                <c:pt idx="135">
                  <c:v>0.89900000000000002</c:v>
                </c:pt>
                <c:pt idx="136">
                  <c:v>0.87849999999999995</c:v>
                </c:pt>
                <c:pt idx="137">
                  <c:v>0.85270000000000001</c:v>
                </c:pt>
                <c:pt idx="138">
                  <c:v>0.85799999999999998</c:v>
                </c:pt>
                <c:pt idx="139">
                  <c:v>0.88500000000000001</c:v>
                </c:pt>
                <c:pt idx="140">
                  <c:v>0.84799999999999998</c:v>
                </c:pt>
                <c:pt idx="141">
                  <c:v>0.86129999999999995</c:v>
                </c:pt>
                <c:pt idx="142">
                  <c:v>0.86199999999999999</c:v>
                </c:pt>
                <c:pt idx="143">
                  <c:v>0.86519999999999997</c:v>
                </c:pt>
                <c:pt idx="144">
                  <c:v>0.82740000000000002</c:v>
                </c:pt>
                <c:pt idx="145">
                  <c:v>0.81669999999999998</c:v>
                </c:pt>
                <c:pt idx="146">
                  <c:v>0.83350000000000002</c:v>
                </c:pt>
                <c:pt idx="147">
                  <c:v>0.86580000000000001</c:v>
                </c:pt>
                <c:pt idx="148">
                  <c:v>0.84909999999999997</c:v>
                </c:pt>
                <c:pt idx="149">
                  <c:v>0.81069999999999998</c:v>
                </c:pt>
                <c:pt idx="150">
                  <c:v>0.84960000000000002</c:v>
                </c:pt>
                <c:pt idx="151">
                  <c:v>0.82489999999999997</c:v>
                </c:pt>
                <c:pt idx="152">
                  <c:v>0.83330000000000004</c:v>
                </c:pt>
                <c:pt idx="153">
                  <c:v>0.8266</c:v>
                </c:pt>
                <c:pt idx="154">
                  <c:v>0.83819999999999995</c:v>
                </c:pt>
                <c:pt idx="155">
                  <c:v>0.82530000000000003</c:v>
                </c:pt>
                <c:pt idx="156">
                  <c:v>0.85960000000000003</c:v>
                </c:pt>
                <c:pt idx="157">
                  <c:v>0.80810000000000004</c:v>
                </c:pt>
                <c:pt idx="158">
                  <c:v>0.80820000000000003</c:v>
                </c:pt>
                <c:pt idx="159">
                  <c:v>0.82630000000000003</c:v>
                </c:pt>
                <c:pt idx="160">
                  <c:v>0.84250000000000003</c:v>
                </c:pt>
                <c:pt idx="161">
                  <c:v>0.85029999999999994</c:v>
                </c:pt>
                <c:pt idx="162">
                  <c:v>0.84160000000000001</c:v>
                </c:pt>
                <c:pt idx="163">
                  <c:v>0.85580000000000001</c:v>
                </c:pt>
                <c:pt idx="164">
                  <c:v>0.85580000000000001</c:v>
                </c:pt>
                <c:pt idx="165">
                  <c:v>0.87929999999999997</c:v>
                </c:pt>
                <c:pt idx="166">
                  <c:v>0.84619999999999995</c:v>
                </c:pt>
                <c:pt idx="167">
                  <c:v>0.84430000000000005</c:v>
                </c:pt>
                <c:pt idx="168">
                  <c:v>0.82909999999999995</c:v>
                </c:pt>
                <c:pt idx="169">
                  <c:v>0.83589999999999998</c:v>
                </c:pt>
                <c:pt idx="170">
                  <c:v>0.81889999999999996</c:v>
                </c:pt>
                <c:pt idx="171">
                  <c:v>0.84550000000000003</c:v>
                </c:pt>
                <c:pt idx="172">
                  <c:v>0.84189999999999998</c:v>
                </c:pt>
                <c:pt idx="173">
                  <c:v>0.83750000000000002</c:v>
                </c:pt>
                <c:pt idx="174">
                  <c:v>0.80989999999999995</c:v>
                </c:pt>
                <c:pt idx="175">
                  <c:v>0.85899999999999999</c:v>
                </c:pt>
                <c:pt idx="176">
                  <c:v>0.83550000000000002</c:v>
                </c:pt>
                <c:pt idx="177">
                  <c:v>0.83289999999999997</c:v>
                </c:pt>
                <c:pt idx="178">
                  <c:v>0.84730000000000005</c:v>
                </c:pt>
                <c:pt idx="179">
                  <c:v>0.84530000000000005</c:v>
                </c:pt>
                <c:pt idx="180">
                  <c:v>0.85599999999999998</c:v>
                </c:pt>
                <c:pt idx="181">
                  <c:v>0.87060000000000004</c:v>
                </c:pt>
                <c:pt idx="182">
                  <c:v>0.8579</c:v>
                </c:pt>
                <c:pt idx="183">
                  <c:v>0.85750000000000004</c:v>
                </c:pt>
                <c:pt idx="184">
                  <c:v>0.85409999999999997</c:v>
                </c:pt>
                <c:pt idx="185">
                  <c:v>0.81979999999999997</c:v>
                </c:pt>
                <c:pt idx="186">
                  <c:v>0.81979999999999997</c:v>
                </c:pt>
                <c:pt idx="187">
                  <c:v>0.83720000000000006</c:v>
                </c:pt>
                <c:pt idx="188">
                  <c:v>0.85940000000000005</c:v>
                </c:pt>
                <c:pt idx="189">
                  <c:v>0.86480000000000001</c:v>
                </c:pt>
                <c:pt idx="190">
                  <c:v>0.83899999999999997</c:v>
                </c:pt>
                <c:pt idx="191">
                  <c:v>0.85629999999999995</c:v>
                </c:pt>
                <c:pt idx="192">
                  <c:v>0.87949999999999995</c:v>
                </c:pt>
                <c:pt idx="193">
                  <c:v>0.8256</c:v>
                </c:pt>
                <c:pt idx="194">
                  <c:v>0.8639</c:v>
                </c:pt>
                <c:pt idx="195">
                  <c:v>0.88600000000000001</c:v>
                </c:pt>
                <c:pt idx="196">
                  <c:v>0.87860000000000005</c:v>
                </c:pt>
                <c:pt idx="197">
                  <c:v>0.88490000000000002</c:v>
                </c:pt>
                <c:pt idx="198">
                  <c:v>0.84809999999999997</c:v>
                </c:pt>
                <c:pt idx="199">
                  <c:v>0.89639999999999997</c:v>
                </c:pt>
                <c:pt idx="200">
                  <c:v>0.8609</c:v>
                </c:pt>
                <c:pt idx="201">
                  <c:v>0.89770000000000005</c:v>
                </c:pt>
                <c:pt idx="202">
                  <c:v>0.86799999999999999</c:v>
                </c:pt>
                <c:pt idx="203">
                  <c:v>0.88739999999999997</c:v>
                </c:pt>
                <c:pt idx="204">
                  <c:v>0.85670000000000002</c:v>
                </c:pt>
                <c:pt idx="205">
                  <c:v>0.87829999999999997</c:v>
                </c:pt>
                <c:pt idx="206">
                  <c:v>0.85109999999999997</c:v>
                </c:pt>
                <c:pt idx="207">
                  <c:v>0.88829999999999998</c:v>
                </c:pt>
                <c:pt idx="208">
                  <c:v>0.85209999999999997</c:v>
                </c:pt>
                <c:pt idx="209">
                  <c:v>0.86839999999999995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9C9-424C-A356-FD573B48F415}"/>
            </c:ext>
          </c:extLst>
        </c:ser>
        <c:ser>
          <c:idx val="3"/>
          <c:order val="3"/>
          <c:tx>
            <c:strRef>
              <c:f>feature_scaling!$E$1</c:f>
              <c:strCache>
                <c:ptCount val="1"/>
                <c:pt idx="0">
                  <c:v>f4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feature_scaling!$A$2:$A$211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feature_scaling!$E$2:$E$211</c:f>
              <c:numCache>
                <c:formatCode>General</c:formatCode>
                <c:ptCount val="210"/>
                <c:pt idx="0">
                  <c:v>5.7629999999999999</c:v>
                </c:pt>
                <c:pt idx="1">
                  <c:v>5.5540000000000003</c:v>
                </c:pt>
                <c:pt idx="2">
                  <c:v>5.2910000000000004</c:v>
                </c:pt>
                <c:pt idx="3">
                  <c:v>5.3239999999999998</c:v>
                </c:pt>
                <c:pt idx="4">
                  <c:v>5.6580000000000004</c:v>
                </c:pt>
                <c:pt idx="5">
                  <c:v>5.3860000000000001</c:v>
                </c:pt>
                <c:pt idx="6">
                  <c:v>5.5629999999999997</c:v>
                </c:pt>
                <c:pt idx="7">
                  <c:v>5.42</c:v>
                </c:pt>
                <c:pt idx="8">
                  <c:v>6.0529999999999999</c:v>
                </c:pt>
                <c:pt idx="9">
                  <c:v>5.8840000000000003</c:v>
                </c:pt>
                <c:pt idx="10">
                  <c:v>5.7140000000000004</c:v>
                </c:pt>
                <c:pt idx="11">
                  <c:v>5.4379999999999997</c:v>
                </c:pt>
                <c:pt idx="12">
                  <c:v>5.4390000000000001</c:v>
                </c:pt>
                <c:pt idx="13">
                  <c:v>5.4790000000000001</c:v>
                </c:pt>
                <c:pt idx="14">
                  <c:v>5.4820000000000002</c:v>
                </c:pt>
                <c:pt idx="15">
                  <c:v>5.351</c:v>
                </c:pt>
                <c:pt idx="16">
                  <c:v>5.1189999999999998</c:v>
                </c:pt>
                <c:pt idx="17">
                  <c:v>5.5270000000000001</c:v>
                </c:pt>
                <c:pt idx="18">
                  <c:v>5.2050000000000001</c:v>
                </c:pt>
                <c:pt idx="19">
                  <c:v>5.226</c:v>
                </c:pt>
                <c:pt idx="20">
                  <c:v>5.6580000000000004</c:v>
                </c:pt>
                <c:pt idx="21">
                  <c:v>5.52</c:v>
                </c:pt>
                <c:pt idx="22">
                  <c:v>5.6180000000000003</c:v>
                </c:pt>
                <c:pt idx="23">
                  <c:v>5.0990000000000002</c:v>
                </c:pt>
                <c:pt idx="24">
                  <c:v>5.7889999999999997</c:v>
                </c:pt>
                <c:pt idx="25">
                  <c:v>5.8330000000000002</c:v>
                </c:pt>
                <c:pt idx="26">
                  <c:v>5.3949999999999996</c:v>
                </c:pt>
                <c:pt idx="27">
                  <c:v>5.3949999999999996</c:v>
                </c:pt>
                <c:pt idx="28">
                  <c:v>5.5410000000000004</c:v>
                </c:pt>
                <c:pt idx="29">
                  <c:v>5.516</c:v>
                </c:pt>
                <c:pt idx="30">
                  <c:v>5.4539999999999997</c:v>
                </c:pt>
                <c:pt idx="31">
                  <c:v>5.7569999999999997</c:v>
                </c:pt>
                <c:pt idx="32">
                  <c:v>5.7169999999999996</c:v>
                </c:pt>
                <c:pt idx="33">
                  <c:v>5.585</c:v>
                </c:pt>
                <c:pt idx="34">
                  <c:v>5.7119999999999997</c:v>
                </c:pt>
                <c:pt idx="35">
                  <c:v>5.7089999999999996</c:v>
                </c:pt>
                <c:pt idx="36">
                  <c:v>5.8259999999999996</c:v>
                </c:pt>
                <c:pt idx="37">
                  <c:v>5.8319999999999999</c:v>
                </c:pt>
                <c:pt idx="38">
                  <c:v>5.6559999999999997</c:v>
                </c:pt>
                <c:pt idx="39">
                  <c:v>5.3970000000000002</c:v>
                </c:pt>
                <c:pt idx="40">
                  <c:v>5.3479999999999999</c:v>
                </c:pt>
                <c:pt idx="41">
                  <c:v>5.351</c:v>
                </c:pt>
                <c:pt idx="42">
                  <c:v>5.1379999999999999</c:v>
                </c:pt>
                <c:pt idx="43">
                  <c:v>5.8769999999999998</c:v>
                </c:pt>
                <c:pt idx="44">
                  <c:v>5.5789999999999997</c:v>
                </c:pt>
                <c:pt idx="45">
                  <c:v>5.3760000000000003</c:v>
                </c:pt>
                <c:pt idx="46">
                  <c:v>5.7009999999999996</c:v>
                </c:pt>
                <c:pt idx="47">
                  <c:v>5.57</c:v>
                </c:pt>
                <c:pt idx="48">
                  <c:v>5.5449999999999999</c:v>
                </c:pt>
                <c:pt idx="49">
                  <c:v>5.6779999999999999</c:v>
                </c:pt>
                <c:pt idx="50">
                  <c:v>5.585</c:v>
                </c:pt>
                <c:pt idx="51">
                  <c:v>5.6740000000000004</c:v>
                </c:pt>
                <c:pt idx="52">
                  <c:v>5.7149999999999999</c:v>
                </c:pt>
                <c:pt idx="53">
                  <c:v>5.5039999999999996</c:v>
                </c:pt>
                <c:pt idx="54">
                  <c:v>5.7409999999999997</c:v>
                </c:pt>
                <c:pt idx="55">
                  <c:v>5.702</c:v>
                </c:pt>
                <c:pt idx="56">
                  <c:v>5.3879999999999999</c:v>
                </c:pt>
                <c:pt idx="57">
                  <c:v>5.3840000000000003</c:v>
                </c:pt>
                <c:pt idx="58">
                  <c:v>5.6619999999999999</c:v>
                </c:pt>
                <c:pt idx="59">
                  <c:v>5.1589999999999998</c:v>
                </c:pt>
                <c:pt idx="60">
                  <c:v>5.008</c:v>
                </c:pt>
                <c:pt idx="61">
                  <c:v>4.9020000000000001</c:v>
                </c:pt>
                <c:pt idx="62">
                  <c:v>5.0759999999999996</c:v>
                </c:pt>
                <c:pt idx="63">
                  <c:v>5.3949999999999996</c:v>
                </c:pt>
                <c:pt idx="64">
                  <c:v>5.2619999999999996</c:v>
                </c:pt>
                <c:pt idx="65">
                  <c:v>5.1390000000000002</c:v>
                </c:pt>
                <c:pt idx="66">
                  <c:v>5.63</c:v>
                </c:pt>
                <c:pt idx="67">
                  <c:v>5.609</c:v>
                </c:pt>
                <c:pt idx="68">
                  <c:v>5.569</c:v>
                </c:pt>
                <c:pt idx="69">
                  <c:v>5.4119999999999999</c:v>
                </c:pt>
                <c:pt idx="70">
                  <c:v>6.1909999999999998</c:v>
                </c:pt>
                <c:pt idx="71">
                  <c:v>5.9980000000000002</c:v>
                </c:pt>
                <c:pt idx="72">
                  <c:v>5.9779999999999998</c:v>
                </c:pt>
                <c:pt idx="73">
                  <c:v>6.1539999999999999</c:v>
                </c:pt>
                <c:pt idx="74">
                  <c:v>6.0170000000000003</c:v>
                </c:pt>
                <c:pt idx="75">
                  <c:v>5.9269999999999996</c:v>
                </c:pt>
                <c:pt idx="76">
                  <c:v>6.0640000000000001</c:v>
                </c:pt>
                <c:pt idx="77">
                  <c:v>6.5789999999999997</c:v>
                </c:pt>
                <c:pt idx="78">
                  <c:v>6.4450000000000003</c:v>
                </c:pt>
                <c:pt idx="79">
                  <c:v>5.85</c:v>
                </c:pt>
                <c:pt idx="80">
                  <c:v>5.875</c:v>
                </c:pt>
                <c:pt idx="81">
                  <c:v>6.0060000000000002</c:v>
                </c:pt>
                <c:pt idx="82">
                  <c:v>6.2850000000000001</c:v>
                </c:pt>
                <c:pt idx="83">
                  <c:v>6.3840000000000003</c:v>
                </c:pt>
                <c:pt idx="84">
                  <c:v>6.3659999999999997</c:v>
                </c:pt>
                <c:pt idx="85">
                  <c:v>6.173</c:v>
                </c:pt>
                <c:pt idx="86">
                  <c:v>6.0839999999999996</c:v>
                </c:pt>
                <c:pt idx="87">
                  <c:v>6.5490000000000004</c:v>
                </c:pt>
                <c:pt idx="88">
                  <c:v>6.5730000000000004</c:v>
                </c:pt>
                <c:pt idx="89">
                  <c:v>6.45</c:v>
                </c:pt>
                <c:pt idx="90">
                  <c:v>6.5810000000000004</c:v>
                </c:pt>
                <c:pt idx="91">
                  <c:v>6.1719999999999997</c:v>
                </c:pt>
                <c:pt idx="92">
                  <c:v>6.2720000000000002</c:v>
                </c:pt>
                <c:pt idx="93">
                  <c:v>6.0369999999999999</c:v>
                </c:pt>
                <c:pt idx="94">
                  <c:v>6.6660000000000004</c:v>
                </c:pt>
                <c:pt idx="95">
                  <c:v>6.1390000000000002</c:v>
                </c:pt>
                <c:pt idx="96">
                  <c:v>6.3410000000000002</c:v>
                </c:pt>
                <c:pt idx="97">
                  <c:v>6.4489999999999998</c:v>
                </c:pt>
                <c:pt idx="98">
                  <c:v>6.2709999999999999</c:v>
                </c:pt>
                <c:pt idx="99">
                  <c:v>6.2190000000000003</c:v>
                </c:pt>
                <c:pt idx="100">
                  <c:v>5.718</c:v>
                </c:pt>
                <c:pt idx="101">
                  <c:v>5.89</c:v>
                </c:pt>
                <c:pt idx="102">
                  <c:v>6.1130000000000004</c:v>
                </c:pt>
                <c:pt idx="103">
                  <c:v>6.3689999999999998</c:v>
                </c:pt>
                <c:pt idx="104">
                  <c:v>6.2480000000000002</c:v>
                </c:pt>
                <c:pt idx="105">
                  <c:v>6.0369999999999999</c:v>
                </c:pt>
                <c:pt idx="106">
                  <c:v>6.1520000000000001</c:v>
                </c:pt>
                <c:pt idx="107">
                  <c:v>6.0330000000000004</c:v>
                </c:pt>
                <c:pt idx="108">
                  <c:v>6.6749999999999998</c:v>
                </c:pt>
                <c:pt idx="109">
                  <c:v>6.1529999999999996</c:v>
                </c:pt>
                <c:pt idx="110">
                  <c:v>6.1070000000000002</c:v>
                </c:pt>
                <c:pt idx="111">
                  <c:v>6.3029999999999999</c:v>
                </c:pt>
                <c:pt idx="112">
                  <c:v>6.1829999999999998</c:v>
                </c:pt>
                <c:pt idx="113">
                  <c:v>6.2590000000000003</c:v>
                </c:pt>
                <c:pt idx="114">
                  <c:v>6.5629999999999997</c:v>
                </c:pt>
                <c:pt idx="115">
                  <c:v>6.4160000000000004</c:v>
                </c:pt>
                <c:pt idx="116">
                  <c:v>6.0510000000000002</c:v>
                </c:pt>
                <c:pt idx="117">
                  <c:v>6.2450000000000001</c:v>
                </c:pt>
                <c:pt idx="118">
                  <c:v>6.2270000000000003</c:v>
                </c:pt>
                <c:pt idx="119">
                  <c:v>6.4930000000000003</c:v>
                </c:pt>
                <c:pt idx="120">
                  <c:v>6.3150000000000004</c:v>
                </c:pt>
                <c:pt idx="121">
                  <c:v>6.0590000000000002</c:v>
                </c:pt>
                <c:pt idx="122">
                  <c:v>5.7619999999999996</c:v>
                </c:pt>
                <c:pt idx="123">
                  <c:v>5.98</c:v>
                </c:pt>
                <c:pt idx="124">
                  <c:v>5.3630000000000004</c:v>
                </c:pt>
                <c:pt idx="125">
                  <c:v>6.1109999999999998</c:v>
                </c:pt>
                <c:pt idx="126">
                  <c:v>6.2850000000000001</c:v>
                </c:pt>
                <c:pt idx="127">
                  <c:v>5.9790000000000001</c:v>
                </c:pt>
                <c:pt idx="128">
                  <c:v>6.5129999999999999</c:v>
                </c:pt>
                <c:pt idx="129">
                  <c:v>5.7910000000000004</c:v>
                </c:pt>
                <c:pt idx="130">
                  <c:v>5.9790000000000001</c:v>
                </c:pt>
                <c:pt idx="131">
                  <c:v>6.1440000000000001</c:v>
                </c:pt>
                <c:pt idx="132">
                  <c:v>5.8840000000000003</c:v>
                </c:pt>
                <c:pt idx="133">
                  <c:v>5.8449999999999998</c:v>
                </c:pt>
                <c:pt idx="134">
                  <c:v>5.7759999999999998</c:v>
                </c:pt>
                <c:pt idx="135">
                  <c:v>5.4770000000000003</c:v>
                </c:pt>
                <c:pt idx="136">
                  <c:v>6.1449999999999996</c:v>
                </c:pt>
                <c:pt idx="137">
                  <c:v>5.92</c:v>
                </c:pt>
                <c:pt idx="138">
                  <c:v>5.8319999999999999</c:v>
                </c:pt>
                <c:pt idx="139">
                  <c:v>5.8719999999999999</c:v>
                </c:pt>
                <c:pt idx="140">
                  <c:v>5.4720000000000004</c:v>
                </c:pt>
                <c:pt idx="141">
                  <c:v>5.5410000000000004</c:v>
                </c:pt>
                <c:pt idx="142">
                  <c:v>5.3890000000000002</c:v>
                </c:pt>
                <c:pt idx="143">
                  <c:v>5.2240000000000002</c:v>
                </c:pt>
                <c:pt idx="144">
                  <c:v>5.3140000000000001</c:v>
                </c:pt>
                <c:pt idx="145">
                  <c:v>5.2789999999999999</c:v>
                </c:pt>
                <c:pt idx="146">
                  <c:v>5.1760000000000002</c:v>
                </c:pt>
                <c:pt idx="147">
                  <c:v>5.2670000000000003</c:v>
                </c:pt>
                <c:pt idx="148">
                  <c:v>5.3860000000000001</c:v>
                </c:pt>
                <c:pt idx="149">
                  <c:v>5.3170000000000002</c:v>
                </c:pt>
                <c:pt idx="150">
                  <c:v>5.2629999999999999</c:v>
                </c:pt>
                <c:pt idx="151">
                  <c:v>5.4050000000000002</c:v>
                </c:pt>
                <c:pt idx="152">
                  <c:v>5.4080000000000004</c:v>
                </c:pt>
                <c:pt idx="153">
                  <c:v>5.22</c:v>
                </c:pt>
                <c:pt idx="154">
                  <c:v>5.1749999999999998</c:v>
                </c:pt>
                <c:pt idx="155">
                  <c:v>5.25</c:v>
                </c:pt>
                <c:pt idx="156">
                  <c:v>5.0529999999999999</c:v>
                </c:pt>
                <c:pt idx="157">
                  <c:v>5.3940000000000001</c:v>
                </c:pt>
                <c:pt idx="158">
                  <c:v>5.444</c:v>
                </c:pt>
                <c:pt idx="159">
                  <c:v>5.3040000000000003</c:v>
                </c:pt>
                <c:pt idx="160">
                  <c:v>5.4509999999999996</c:v>
                </c:pt>
                <c:pt idx="161">
                  <c:v>5.35</c:v>
                </c:pt>
                <c:pt idx="162">
                  <c:v>5.2670000000000003</c:v>
                </c:pt>
                <c:pt idx="163">
                  <c:v>5.3330000000000002</c:v>
                </c:pt>
                <c:pt idx="164">
                  <c:v>5.0110000000000001</c:v>
                </c:pt>
                <c:pt idx="165">
                  <c:v>5.1050000000000004</c:v>
                </c:pt>
                <c:pt idx="166">
                  <c:v>5.319</c:v>
                </c:pt>
                <c:pt idx="167">
                  <c:v>5.4169999999999998</c:v>
                </c:pt>
                <c:pt idx="168">
                  <c:v>5.1760000000000002</c:v>
                </c:pt>
                <c:pt idx="169">
                  <c:v>5.09</c:v>
                </c:pt>
                <c:pt idx="170">
                  <c:v>5.3250000000000002</c:v>
                </c:pt>
                <c:pt idx="171">
                  <c:v>5.1669999999999998</c:v>
                </c:pt>
                <c:pt idx="172">
                  <c:v>5.0880000000000001</c:v>
                </c:pt>
                <c:pt idx="173">
                  <c:v>5.1360000000000001</c:v>
                </c:pt>
                <c:pt idx="174">
                  <c:v>5.2779999999999996</c:v>
                </c:pt>
                <c:pt idx="175">
                  <c:v>4.9809999999999999</c:v>
                </c:pt>
                <c:pt idx="176">
                  <c:v>5.1859999999999999</c:v>
                </c:pt>
                <c:pt idx="177">
                  <c:v>5.1449999999999996</c:v>
                </c:pt>
                <c:pt idx="178">
                  <c:v>5.18</c:v>
                </c:pt>
                <c:pt idx="179">
                  <c:v>5.3570000000000002</c:v>
                </c:pt>
                <c:pt idx="180">
                  <c:v>5.09</c:v>
                </c:pt>
                <c:pt idx="181">
                  <c:v>5.2359999999999998</c:v>
                </c:pt>
                <c:pt idx="182">
                  <c:v>5.24</c:v>
                </c:pt>
                <c:pt idx="183">
                  <c:v>5.1079999999999997</c:v>
                </c:pt>
                <c:pt idx="184">
                  <c:v>5.4950000000000001</c:v>
                </c:pt>
                <c:pt idx="185">
                  <c:v>5.3630000000000004</c:v>
                </c:pt>
                <c:pt idx="186">
                  <c:v>5.4130000000000003</c:v>
                </c:pt>
                <c:pt idx="187">
                  <c:v>5.0880000000000001</c:v>
                </c:pt>
                <c:pt idx="188">
                  <c:v>5.0890000000000004</c:v>
                </c:pt>
                <c:pt idx="189">
                  <c:v>4.899</c:v>
                </c:pt>
                <c:pt idx="190">
                  <c:v>5.0460000000000003</c:v>
                </c:pt>
                <c:pt idx="191">
                  <c:v>5.0910000000000002</c:v>
                </c:pt>
                <c:pt idx="192">
                  <c:v>5.1319999999999997</c:v>
                </c:pt>
                <c:pt idx="193">
                  <c:v>5.18</c:v>
                </c:pt>
                <c:pt idx="194">
                  <c:v>5.2359999999999998</c:v>
                </c:pt>
                <c:pt idx="195">
                  <c:v>5.16</c:v>
                </c:pt>
                <c:pt idx="196">
                  <c:v>5.2240000000000002</c:v>
                </c:pt>
                <c:pt idx="197">
                  <c:v>5.32</c:v>
                </c:pt>
                <c:pt idx="198">
                  <c:v>5.41</c:v>
                </c:pt>
                <c:pt idx="199">
                  <c:v>5.0730000000000004</c:v>
                </c:pt>
                <c:pt idx="200">
                  <c:v>5.2190000000000003</c:v>
                </c:pt>
                <c:pt idx="201">
                  <c:v>4.984</c:v>
                </c:pt>
                <c:pt idx="202">
                  <c:v>5.0090000000000003</c:v>
                </c:pt>
                <c:pt idx="203">
                  <c:v>5.1829999999999998</c:v>
                </c:pt>
                <c:pt idx="204">
                  <c:v>5.2039999999999997</c:v>
                </c:pt>
                <c:pt idx="205">
                  <c:v>5.1369999999999996</c:v>
                </c:pt>
                <c:pt idx="206">
                  <c:v>5.14</c:v>
                </c:pt>
                <c:pt idx="207">
                  <c:v>5.2359999999999998</c:v>
                </c:pt>
                <c:pt idx="208">
                  <c:v>5.1749999999999998</c:v>
                </c:pt>
                <c:pt idx="209">
                  <c:v>5.2430000000000003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9C9-424C-A356-FD573B48F415}"/>
            </c:ext>
          </c:extLst>
        </c:ser>
        <c:ser>
          <c:idx val="4"/>
          <c:order val="4"/>
          <c:tx>
            <c:strRef>
              <c:f>feature_scaling!$F$1</c:f>
              <c:strCache>
                <c:ptCount val="1"/>
                <c:pt idx="0">
                  <c:v>f5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feature_scaling!$A$2:$A$211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feature_scaling!$F$2:$F$211</c:f>
              <c:numCache>
                <c:formatCode>General</c:formatCode>
                <c:ptCount val="210"/>
                <c:pt idx="0">
                  <c:v>3.3119999999999998</c:v>
                </c:pt>
                <c:pt idx="1">
                  <c:v>3.3330000000000002</c:v>
                </c:pt>
                <c:pt idx="2">
                  <c:v>3.3370000000000002</c:v>
                </c:pt>
                <c:pt idx="3">
                  <c:v>3.379</c:v>
                </c:pt>
                <c:pt idx="4">
                  <c:v>3.5619999999999998</c:v>
                </c:pt>
                <c:pt idx="5">
                  <c:v>3.3119999999999998</c:v>
                </c:pt>
                <c:pt idx="6">
                  <c:v>3.2589999999999999</c:v>
                </c:pt>
                <c:pt idx="7">
                  <c:v>3.302</c:v>
                </c:pt>
                <c:pt idx="8">
                  <c:v>3.4649999999999999</c:v>
                </c:pt>
                <c:pt idx="9">
                  <c:v>3.5049999999999999</c:v>
                </c:pt>
                <c:pt idx="10">
                  <c:v>3.242</c:v>
                </c:pt>
                <c:pt idx="11">
                  <c:v>3.2010000000000001</c:v>
                </c:pt>
                <c:pt idx="12">
                  <c:v>3.1989999999999998</c:v>
                </c:pt>
                <c:pt idx="13">
                  <c:v>3.1560000000000001</c:v>
                </c:pt>
                <c:pt idx="14">
                  <c:v>3.1139999999999999</c:v>
                </c:pt>
                <c:pt idx="15">
                  <c:v>3.3330000000000002</c:v>
                </c:pt>
                <c:pt idx="16">
                  <c:v>3.383</c:v>
                </c:pt>
                <c:pt idx="17">
                  <c:v>3.5139999999999998</c:v>
                </c:pt>
                <c:pt idx="18">
                  <c:v>3.4660000000000002</c:v>
                </c:pt>
                <c:pt idx="19">
                  <c:v>3.0489999999999999</c:v>
                </c:pt>
                <c:pt idx="20">
                  <c:v>3.129</c:v>
                </c:pt>
                <c:pt idx="21">
                  <c:v>3.1680000000000001</c:v>
                </c:pt>
                <c:pt idx="22">
                  <c:v>3.5070000000000001</c:v>
                </c:pt>
                <c:pt idx="23">
                  <c:v>2.9359999999999999</c:v>
                </c:pt>
                <c:pt idx="24">
                  <c:v>3.2450000000000001</c:v>
                </c:pt>
                <c:pt idx="25">
                  <c:v>3.4209999999999998</c:v>
                </c:pt>
                <c:pt idx="26">
                  <c:v>3.0259999999999998</c:v>
                </c:pt>
                <c:pt idx="27">
                  <c:v>2.956</c:v>
                </c:pt>
                <c:pt idx="28">
                  <c:v>3.2210000000000001</c:v>
                </c:pt>
                <c:pt idx="29">
                  <c:v>3.0649999999999999</c:v>
                </c:pt>
                <c:pt idx="30">
                  <c:v>2.9750000000000001</c:v>
                </c:pt>
                <c:pt idx="31">
                  <c:v>3.371</c:v>
                </c:pt>
                <c:pt idx="32">
                  <c:v>3.1859999999999999</c:v>
                </c:pt>
                <c:pt idx="33">
                  <c:v>3.15</c:v>
                </c:pt>
                <c:pt idx="34">
                  <c:v>3.3279999999999998</c:v>
                </c:pt>
                <c:pt idx="35">
                  <c:v>3.4849999999999999</c:v>
                </c:pt>
                <c:pt idx="36">
                  <c:v>3.464</c:v>
                </c:pt>
                <c:pt idx="37">
                  <c:v>3.6829999999999998</c:v>
                </c:pt>
                <c:pt idx="38">
                  <c:v>3.2879999999999998</c:v>
                </c:pt>
                <c:pt idx="39">
                  <c:v>3.298</c:v>
                </c:pt>
                <c:pt idx="40">
                  <c:v>3.1560000000000001</c:v>
                </c:pt>
                <c:pt idx="41">
                  <c:v>3.1579999999999999</c:v>
                </c:pt>
                <c:pt idx="42">
                  <c:v>3.2010000000000001</c:v>
                </c:pt>
                <c:pt idx="43">
                  <c:v>3.3959999999999999</c:v>
                </c:pt>
                <c:pt idx="44">
                  <c:v>3.4620000000000002</c:v>
                </c:pt>
                <c:pt idx="45">
                  <c:v>3.1549999999999998</c:v>
                </c:pt>
                <c:pt idx="46">
                  <c:v>3.3929999999999998</c:v>
                </c:pt>
                <c:pt idx="47">
                  <c:v>3.3769999999999998</c:v>
                </c:pt>
                <c:pt idx="48">
                  <c:v>3.2909999999999999</c:v>
                </c:pt>
                <c:pt idx="49">
                  <c:v>3.258</c:v>
                </c:pt>
                <c:pt idx="50">
                  <c:v>3.2719999999999998</c:v>
                </c:pt>
                <c:pt idx="51">
                  <c:v>3.4340000000000002</c:v>
                </c:pt>
                <c:pt idx="52">
                  <c:v>3.113</c:v>
                </c:pt>
                <c:pt idx="53">
                  <c:v>3.1989999999999998</c:v>
                </c:pt>
                <c:pt idx="54">
                  <c:v>3.113</c:v>
                </c:pt>
                <c:pt idx="55">
                  <c:v>3.2120000000000002</c:v>
                </c:pt>
                <c:pt idx="56">
                  <c:v>3.3769999999999998</c:v>
                </c:pt>
                <c:pt idx="57">
                  <c:v>3.4119999999999999</c:v>
                </c:pt>
                <c:pt idx="58">
                  <c:v>3.419</c:v>
                </c:pt>
                <c:pt idx="59">
                  <c:v>3.032</c:v>
                </c:pt>
                <c:pt idx="60">
                  <c:v>2.85</c:v>
                </c:pt>
                <c:pt idx="61">
                  <c:v>2.879</c:v>
                </c:pt>
                <c:pt idx="62">
                  <c:v>3.0419999999999998</c:v>
                </c:pt>
                <c:pt idx="63">
                  <c:v>3.07</c:v>
                </c:pt>
                <c:pt idx="64">
                  <c:v>3.0259999999999998</c:v>
                </c:pt>
                <c:pt idx="65">
                  <c:v>3.1190000000000002</c:v>
                </c:pt>
                <c:pt idx="66">
                  <c:v>3.19</c:v>
                </c:pt>
                <c:pt idx="67">
                  <c:v>3.1579999999999999</c:v>
                </c:pt>
                <c:pt idx="68">
                  <c:v>3.153</c:v>
                </c:pt>
                <c:pt idx="69">
                  <c:v>2.8820000000000001</c:v>
                </c:pt>
                <c:pt idx="70">
                  <c:v>3.5609999999999999</c:v>
                </c:pt>
                <c:pt idx="71">
                  <c:v>3.484</c:v>
                </c:pt>
                <c:pt idx="72">
                  <c:v>3.5939999999999999</c:v>
                </c:pt>
                <c:pt idx="73">
                  <c:v>3.93</c:v>
                </c:pt>
                <c:pt idx="74">
                  <c:v>3.4860000000000002</c:v>
                </c:pt>
                <c:pt idx="75">
                  <c:v>3.4380000000000002</c:v>
                </c:pt>
                <c:pt idx="76">
                  <c:v>3.403</c:v>
                </c:pt>
                <c:pt idx="77">
                  <c:v>3.8140000000000001</c:v>
                </c:pt>
                <c:pt idx="78">
                  <c:v>3.6389999999999998</c:v>
                </c:pt>
                <c:pt idx="79">
                  <c:v>3.5659999999999998</c:v>
                </c:pt>
                <c:pt idx="80">
                  <c:v>3.4670000000000001</c:v>
                </c:pt>
                <c:pt idx="81">
                  <c:v>3.8570000000000002</c:v>
                </c:pt>
                <c:pt idx="82">
                  <c:v>3.8639999999999999</c:v>
                </c:pt>
                <c:pt idx="83">
                  <c:v>3.7719999999999998</c:v>
                </c:pt>
                <c:pt idx="84">
                  <c:v>3.8010000000000002</c:v>
                </c:pt>
                <c:pt idx="85">
                  <c:v>3.6509999999999998</c:v>
                </c:pt>
                <c:pt idx="86">
                  <c:v>3.7639999999999998</c:v>
                </c:pt>
                <c:pt idx="87">
                  <c:v>3.67</c:v>
                </c:pt>
                <c:pt idx="88">
                  <c:v>4.0330000000000004</c:v>
                </c:pt>
                <c:pt idx="89">
                  <c:v>4.032</c:v>
                </c:pt>
                <c:pt idx="90">
                  <c:v>3.7850000000000001</c:v>
                </c:pt>
                <c:pt idx="91">
                  <c:v>3.7959999999999998</c:v>
                </c:pt>
                <c:pt idx="92">
                  <c:v>3.6930000000000001</c:v>
                </c:pt>
                <c:pt idx="93">
                  <c:v>3.86</c:v>
                </c:pt>
                <c:pt idx="94">
                  <c:v>3.4849999999999999</c:v>
                </c:pt>
                <c:pt idx="95">
                  <c:v>3.4630000000000001</c:v>
                </c:pt>
                <c:pt idx="96">
                  <c:v>3.81</c:v>
                </c:pt>
                <c:pt idx="97">
                  <c:v>3.552</c:v>
                </c:pt>
                <c:pt idx="98">
                  <c:v>3.512</c:v>
                </c:pt>
                <c:pt idx="99">
                  <c:v>3.6840000000000002</c:v>
                </c:pt>
                <c:pt idx="100">
                  <c:v>3.5249999999999999</c:v>
                </c:pt>
                <c:pt idx="101">
                  <c:v>3.694</c:v>
                </c:pt>
                <c:pt idx="102">
                  <c:v>3.8919999999999999</c:v>
                </c:pt>
                <c:pt idx="103">
                  <c:v>3.681</c:v>
                </c:pt>
                <c:pt idx="104">
                  <c:v>3.7549999999999999</c:v>
                </c:pt>
                <c:pt idx="105">
                  <c:v>3.786</c:v>
                </c:pt>
                <c:pt idx="106">
                  <c:v>3.806</c:v>
                </c:pt>
                <c:pt idx="107">
                  <c:v>3.573</c:v>
                </c:pt>
                <c:pt idx="108">
                  <c:v>3.7629999999999999</c:v>
                </c:pt>
                <c:pt idx="109">
                  <c:v>3.6739999999999999</c:v>
                </c:pt>
                <c:pt idx="110">
                  <c:v>3.7690000000000001</c:v>
                </c:pt>
                <c:pt idx="111">
                  <c:v>3.7909999999999999</c:v>
                </c:pt>
                <c:pt idx="112">
                  <c:v>3.9020000000000001</c:v>
                </c:pt>
                <c:pt idx="113">
                  <c:v>3.7370000000000001</c:v>
                </c:pt>
                <c:pt idx="114">
                  <c:v>3.9910000000000001</c:v>
                </c:pt>
                <c:pt idx="115">
                  <c:v>3.7189999999999999</c:v>
                </c:pt>
                <c:pt idx="116">
                  <c:v>3.8969999999999998</c:v>
                </c:pt>
                <c:pt idx="117">
                  <c:v>3.8149999999999999</c:v>
                </c:pt>
                <c:pt idx="118">
                  <c:v>3.7690000000000001</c:v>
                </c:pt>
                <c:pt idx="119">
                  <c:v>3.8570000000000002</c:v>
                </c:pt>
                <c:pt idx="120">
                  <c:v>3.9620000000000002</c:v>
                </c:pt>
                <c:pt idx="121">
                  <c:v>3.5630000000000002</c:v>
                </c:pt>
                <c:pt idx="122">
                  <c:v>3.387</c:v>
                </c:pt>
                <c:pt idx="123">
                  <c:v>3.7709999999999999</c:v>
                </c:pt>
                <c:pt idx="124">
                  <c:v>3.5819999999999999</c:v>
                </c:pt>
                <c:pt idx="125">
                  <c:v>3.8690000000000002</c:v>
                </c:pt>
                <c:pt idx="126">
                  <c:v>3.5939999999999999</c:v>
                </c:pt>
                <c:pt idx="127">
                  <c:v>3.6869999999999998</c:v>
                </c:pt>
                <c:pt idx="128">
                  <c:v>3.7730000000000001</c:v>
                </c:pt>
                <c:pt idx="129">
                  <c:v>3.69</c:v>
                </c:pt>
                <c:pt idx="130">
                  <c:v>3.7549999999999999</c:v>
                </c:pt>
                <c:pt idx="131">
                  <c:v>3.8250000000000002</c:v>
                </c:pt>
                <c:pt idx="132">
                  <c:v>3.2679999999999998</c:v>
                </c:pt>
                <c:pt idx="133">
                  <c:v>3.395</c:v>
                </c:pt>
                <c:pt idx="134">
                  <c:v>3.4079999999999999</c:v>
                </c:pt>
                <c:pt idx="135">
                  <c:v>3.4649999999999999</c:v>
                </c:pt>
                <c:pt idx="136">
                  <c:v>3.5739999999999998</c:v>
                </c:pt>
                <c:pt idx="137">
                  <c:v>3.2309999999999999</c:v>
                </c:pt>
                <c:pt idx="138">
                  <c:v>3.286</c:v>
                </c:pt>
                <c:pt idx="139">
                  <c:v>3.472</c:v>
                </c:pt>
                <c:pt idx="140">
                  <c:v>2.9940000000000002</c:v>
                </c:pt>
                <c:pt idx="141">
                  <c:v>3.073</c:v>
                </c:pt>
                <c:pt idx="142">
                  <c:v>3.0739999999999998</c:v>
                </c:pt>
                <c:pt idx="143">
                  <c:v>2.9670000000000001</c:v>
                </c:pt>
                <c:pt idx="144">
                  <c:v>2.7770000000000001</c:v>
                </c:pt>
                <c:pt idx="145">
                  <c:v>2.6869999999999998</c:v>
                </c:pt>
                <c:pt idx="146">
                  <c:v>2.7189999999999999</c:v>
                </c:pt>
                <c:pt idx="147">
                  <c:v>2.9670000000000001</c:v>
                </c:pt>
                <c:pt idx="148">
                  <c:v>2.911</c:v>
                </c:pt>
                <c:pt idx="149">
                  <c:v>2.6480000000000001</c:v>
                </c:pt>
                <c:pt idx="150">
                  <c:v>2.84</c:v>
                </c:pt>
                <c:pt idx="151">
                  <c:v>2.7759999999999998</c:v>
                </c:pt>
                <c:pt idx="152">
                  <c:v>2.8330000000000002</c:v>
                </c:pt>
                <c:pt idx="153">
                  <c:v>2.6930000000000001</c:v>
                </c:pt>
                <c:pt idx="154">
                  <c:v>2.7549999999999999</c:v>
                </c:pt>
                <c:pt idx="155">
                  <c:v>2.6749999999999998</c:v>
                </c:pt>
                <c:pt idx="156">
                  <c:v>2.8490000000000002</c:v>
                </c:pt>
                <c:pt idx="157">
                  <c:v>2.7450000000000001</c:v>
                </c:pt>
                <c:pt idx="158">
                  <c:v>2.6779999999999999</c:v>
                </c:pt>
                <c:pt idx="159">
                  <c:v>2.6949999999999998</c:v>
                </c:pt>
                <c:pt idx="160">
                  <c:v>2.879</c:v>
                </c:pt>
                <c:pt idx="161">
                  <c:v>2.81</c:v>
                </c:pt>
                <c:pt idx="162">
                  <c:v>2.847</c:v>
                </c:pt>
                <c:pt idx="163">
                  <c:v>2.968</c:v>
                </c:pt>
                <c:pt idx="164">
                  <c:v>2.794</c:v>
                </c:pt>
                <c:pt idx="165">
                  <c:v>2.9409999999999998</c:v>
                </c:pt>
                <c:pt idx="166">
                  <c:v>2.8969999999999998</c:v>
                </c:pt>
                <c:pt idx="167">
                  <c:v>2.8370000000000002</c:v>
                </c:pt>
                <c:pt idx="168">
                  <c:v>2.6680000000000001</c:v>
                </c:pt>
                <c:pt idx="169">
                  <c:v>2.7149999999999999</c:v>
                </c:pt>
                <c:pt idx="170">
                  <c:v>2.7010000000000001</c:v>
                </c:pt>
                <c:pt idx="171">
                  <c:v>2.8450000000000002</c:v>
                </c:pt>
                <c:pt idx="172">
                  <c:v>2.7629999999999999</c:v>
                </c:pt>
                <c:pt idx="173">
                  <c:v>2.7629999999999999</c:v>
                </c:pt>
                <c:pt idx="174">
                  <c:v>2.641</c:v>
                </c:pt>
                <c:pt idx="175">
                  <c:v>2.8210000000000002</c:v>
                </c:pt>
                <c:pt idx="176">
                  <c:v>2.71</c:v>
                </c:pt>
                <c:pt idx="177">
                  <c:v>2.6419999999999999</c:v>
                </c:pt>
                <c:pt idx="178">
                  <c:v>2.758</c:v>
                </c:pt>
                <c:pt idx="179">
                  <c:v>2.8929999999999998</c:v>
                </c:pt>
                <c:pt idx="180">
                  <c:v>2.7749999999999999</c:v>
                </c:pt>
                <c:pt idx="181">
                  <c:v>3.0169999999999999</c:v>
                </c:pt>
                <c:pt idx="182">
                  <c:v>2.9089999999999998</c:v>
                </c:pt>
                <c:pt idx="183">
                  <c:v>2.85</c:v>
                </c:pt>
                <c:pt idx="184">
                  <c:v>3.0259999999999998</c:v>
                </c:pt>
                <c:pt idx="185">
                  <c:v>2.6829999999999998</c:v>
                </c:pt>
                <c:pt idx="186">
                  <c:v>2.7160000000000002</c:v>
                </c:pt>
                <c:pt idx="187">
                  <c:v>2.6749999999999998</c:v>
                </c:pt>
                <c:pt idx="188">
                  <c:v>2.8210000000000002</c:v>
                </c:pt>
                <c:pt idx="189">
                  <c:v>2.7869999999999999</c:v>
                </c:pt>
                <c:pt idx="190">
                  <c:v>2.7170000000000001</c:v>
                </c:pt>
                <c:pt idx="191">
                  <c:v>2.8039999999999998</c:v>
                </c:pt>
                <c:pt idx="192">
                  <c:v>2.9529999999999998</c:v>
                </c:pt>
                <c:pt idx="193">
                  <c:v>2.63</c:v>
                </c:pt>
                <c:pt idx="194">
                  <c:v>2.9750000000000001</c:v>
                </c:pt>
                <c:pt idx="195">
                  <c:v>3.1259999999999999</c:v>
                </c:pt>
                <c:pt idx="196">
                  <c:v>3.0539999999999998</c:v>
                </c:pt>
                <c:pt idx="197">
                  <c:v>3.1280000000000001</c:v>
                </c:pt>
                <c:pt idx="198">
                  <c:v>2.911</c:v>
                </c:pt>
                <c:pt idx="199">
                  <c:v>3.1549999999999998</c:v>
                </c:pt>
                <c:pt idx="200">
                  <c:v>2.9889999999999999</c:v>
                </c:pt>
                <c:pt idx="201">
                  <c:v>3.1349999999999998</c:v>
                </c:pt>
                <c:pt idx="202">
                  <c:v>2.81</c:v>
                </c:pt>
                <c:pt idx="203">
                  <c:v>3.0910000000000002</c:v>
                </c:pt>
                <c:pt idx="204">
                  <c:v>2.96</c:v>
                </c:pt>
                <c:pt idx="205">
                  <c:v>2.9809999999999999</c:v>
                </c:pt>
                <c:pt idx="206">
                  <c:v>2.7949999999999999</c:v>
                </c:pt>
                <c:pt idx="207">
                  <c:v>3.2320000000000002</c:v>
                </c:pt>
                <c:pt idx="208">
                  <c:v>2.8359999999999999</c:v>
                </c:pt>
                <c:pt idx="209">
                  <c:v>2.9740000000000002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9C9-424C-A356-FD573B48F415}"/>
            </c:ext>
          </c:extLst>
        </c:ser>
        <c:ser>
          <c:idx val="5"/>
          <c:order val="5"/>
          <c:tx>
            <c:strRef>
              <c:f>feature_scaling!$G$1</c:f>
              <c:strCache>
                <c:ptCount val="1"/>
                <c:pt idx="0">
                  <c:v>f6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feature_scaling!$A$2:$A$211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feature_scaling!$G$2:$G$211</c:f>
              <c:numCache>
                <c:formatCode>General</c:formatCode>
                <c:ptCount val="210"/>
                <c:pt idx="0">
                  <c:v>2.2210000000000001</c:v>
                </c:pt>
                <c:pt idx="1">
                  <c:v>1.018</c:v>
                </c:pt>
                <c:pt idx="2">
                  <c:v>2.6989999999999998</c:v>
                </c:pt>
                <c:pt idx="3">
                  <c:v>2.2589999999999999</c:v>
                </c:pt>
                <c:pt idx="4">
                  <c:v>1.355</c:v>
                </c:pt>
                <c:pt idx="5">
                  <c:v>2.4620000000000002</c:v>
                </c:pt>
                <c:pt idx="6">
                  <c:v>3.5859999999999999</c:v>
                </c:pt>
                <c:pt idx="7">
                  <c:v>2.7</c:v>
                </c:pt>
                <c:pt idx="8">
                  <c:v>2.04</c:v>
                </c:pt>
                <c:pt idx="9">
                  <c:v>1.9690000000000001</c:v>
                </c:pt>
                <c:pt idx="10">
                  <c:v>4.5430000000000001</c:v>
                </c:pt>
                <c:pt idx="11">
                  <c:v>1.7170000000000001</c:v>
                </c:pt>
                <c:pt idx="12">
                  <c:v>3.9860000000000002</c:v>
                </c:pt>
                <c:pt idx="13">
                  <c:v>3.1360000000000001</c:v>
                </c:pt>
                <c:pt idx="14">
                  <c:v>2.9319999999999999</c:v>
                </c:pt>
                <c:pt idx="15">
                  <c:v>4.1849999999999996</c:v>
                </c:pt>
                <c:pt idx="16">
                  <c:v>5.234</c:v>
                </c:pt>
                <c:pt idx="17">
                  <c:v>1.599</c:v>
                </c:pt>
                <c:pt idx="18">
                  <c:v>1.7669999999999999</c:v>
                </c:pt>
                <c:pt idx="19">
                  <c:v>4.1020000000000003</c:v>
                </c:pt>
                <c:pt idx="20">
                  <c:v>3.0720000000000001</c:v>
                </c:pt>
                <c:pt idx="21">
                  <c:v>2.6880000000000002</c:v>
                </c:pt>
                <c:pt idx="22">
                  <c:v>0.7651</c:v>
                </c:pt>
                <c:pt idx="23">
                  <c:v>1.415</c:v>
                </c:pt>
                <c:pt idx="24">
                  <c:v>1.7909999999999999</c:v>
                </c:pt>
                <c:pt idx="25">
                  <c:v>0.90300000000000002</c:v>
                </c:pt>
                <c:pt idx="26">
                  <c:v>3.3730000000000002</c:v>
                </c:pt>
                <c:pt idx="27">
                  <c:v>2.504</c:v>
                </c:pt>
                <c:pt idx="28">
                  <c:v>2.754</c:v>
                </c:pt>
                <c:pt idx="29">
                  <c:v>3.5310000000000001</c:v>
                </c:pt>
                <c:pt idx="30">
                  <c:v>0.85509999999999997</c:v>
                </c:pt>
                <c:pt idx="31">
                  <c:v>3.4119999999999999</c:v>
                </c:pt>
                <c:pt idx="32">
                  <c:v>3.92</c:v>
                </c:pt>
                <c:pt idx="33">
                  <c:v>2.1240000000000001</c:v>
                </c:pt>
                <c:pt idx="34">
                  <c:v>2.129</c:v>
                </c:pt>
                <c:pt idx="35">
                  <c:v>2.27</c:v>
                </c:pt>
                <c:pt idx="36">
                  <c:v>2.823</c:v>
                </c:pt>
                <c:pt idx="37">
                  <c:v>2.956</c:v>
                </c:pt>
                <c:pt idx="38">
                  <c:v>3.1120000000000001</c:v>
                </c:pt>
                <c:pt idx="39">
                  <c:v>6.6849999999999996</c:v>
                </c:pt>
                <c:pt idx="40">
                  <c:v>2.5870000000000002</c:v>
                </c:pt>
                <c:pt idx="41">
                  <c:v>2.2490000000000001</c:v>
                </c:pt>
                <c:pt idx="42">
                  <c:v>2.4609999999999999</c:v>
                </c:pt>
                <c:pt idx="43">
                  <c:v>4.7110000000000003</c:v>
                </c:pt>
                <c:pt idx="44">
                  <c:v>3.1280000000000001</c:v>
                </c:pt>
                <c:pt idx="45">
                  <c:v>1.56</c:v>
                </c:pt>
                <c:pt idx="46">
                  <c:v>1.367</c:v>
                </c:pt>
                <c:pt idx="47">
                  <c:v>2.9580000000000002</c:v>
                </c:pt>
                <c:pt idx="48">
                  <c:v>2.7040000000000002</c:v>
                </c:pt>
                <c:pt idx="49">
                  <c:v>2.129</c:v>
                </c:pt>
                <c:pt idx="50">
                  <c:v>3.9750000000000001</c:v>
                </c:pt>
                <c:pt idx="51">
                  <c:v>5.593</c:v>
                </c:pt>
                <c:pt idx="52">
                  <c:v>4.1159999999999997</c:v>
                </c:pt>
                <c:pt idx="53">
                  <c:v>3.3279999999999998</c:v>
                </c:pt>
                <c:pt idx="54">
                  <c:v>1.4810000000000001</c:v>
                </c:pt>
                <c:pt idx="55">
                  <c:v>1.9330000000000001</c:v>
                </c:pt>
                <c:pt idx="56">
                  <c:v>2.802</c:v>
                </c:pt>
                <c:pt idx="57">
                  <c:v>1.1419999999999999</c:v>
                </c:pt>
                <c:pt idx="58">
                  <c:v>1.9990000000000001</c:v>
                </c:pt>
                <c:pt idx="59">
                  <c:v>1.502</c:v>
                </c:pt>
                <c:pt idx="60">
                  <c:v>2.7</c:v>
                </c:pt>
                <c:pt idx="61">
                  <c:v>2.2690000000000001</c:v>
                </c:pt>
                <c:pt idx="62">
                  <c:v>3.22</c:v>
                </c:pt>
                <c:pt idx="63">
                  <c:v>4.157</c:v>
                </c:pt>
                <c:pt idx="64">
                  <c:v>1.1759999999999999</c:v>
                </c:pt>
                <c:pt idx="65">
                  <c:v>2.3519999999999999</c:v>
                </c:pt>
                <c:pt idx="66">
                  <c:v>1.3129999999999999</c:v>
                </c:pt>
                <c:pt idx="67">
                  <c:v>2.2170000000000001</c:v>
                </c:pt>
                <c:pt idx="68">
                  <c:v>1.464</c:v>
                </c:pt>
                <c:pt idx="69">
                  <c:v>3.5329999999999999</c:v>
                </c:pt>
                <c:pt idx="70">
                  <c:v>4.0759999999999996</c:v>
                </c:pt>
                <c:pt idx="71">
                  <c:v>4.6749999999999998</c:v>
                </c:pt>
                <c:pt idx="72">
                  <c:v>4.5389999999999997</c:v>
                </c:pt>
                <c:pt idx="73">
                  <c:v>2.9359999999999999</c:v>
                </c:pt>
                <c:pt idx="74">
                  <c:v>4.0039999999999996</c:v>
                </c:pt>
                <c:pt idx="75">
                  <c:v>4.92</c:v>
                </c:pt>
                <c:pt idx="76">
                  <c:v>3.8239999999999998</c:v>
                </c:pt>
                <c:pt idx="77">
                  <c:v>4.4509999999999996</c:v>
                </c:pt>
                <c:pt idx="78">
                  <c:v>5.0640000000000001</c:v>
                </c:pt>
                <c:pt idx="79">
                  <c:v>2.8580000000000001</c:v>
                </c:pt>
                <c:pt idx="80">
                  <c:v>5.532</c:v>
                </c:pt>
                <c:pt idx="81">
                  <c:v>5.3239999999999998</c:v>
                </c:pt>
                <c:pt idx="82">
                  <c:v>5.173</c:v>
                </c:pt>
                <c:pt idx="83">
                  <c:v>1.472</c:v>
                </c:pt>
                <c:pt idx="84">
                  <c:v>2.9620000000000002</c:v>
                </c:pt>
                <c:pt idx="85">
                  <c:v>2.4430000000000001</c:v>
                </c:pt>
                <c:pt idx="86">
                  <c:v>1.649</c:v>
                </c:pt>
                <c:pt idx="87">
                  <c:v>3.6909999999999998</c:v>
                </c:pt>
                <c:pt idx="88">
                  <c:v>5.78</c:v>
                </c:pt>
                <c:pt idx="89">
                  <c:v>5.016</c:v>
                </c:pt>
                <c:pt idx="90">
                  <c:v>1.9550000000000001</c:v>
                </c:pt>
                <c:pt idx="91">
                  <c:v>3.12</c:v>
                </c:pt>
                <c:pt idx="92">
                  <c:v>3.2370000000000001</c:v>
                </c:pt>
                <c:pt idx="93">
                  <c:v>6.0010000000000003</c:v>
                </c:pt>
                <c:pt idx="94">
                  <c:v>4.9329999999999998</c:v>
                </c:pt>
                <c:pt idx="95">
                  <c:v>3.6960000000000002</c:v>
                </c:pt>
                <c:pt idx="96">
                  <c:v>3.4769999999999999</c:v>
                </c:pt>
                <c:pt idx="97">
                  <c:v>2.1440000000000001</c:v>
                </c:pt>
                <c:pt idx="98">
                  <c:v>2.8530000000000002</c:v>
                </c:pt>
                <c:pt idx="99">
                  <c:v>2.1880000000000002</c:v>
                </c:pt>
                <c:pt idx="100">
                  <c:v>4.2169999999999996</c:v>
                </c:pt>
                <c:pt idx="101">
                  <c:v>2.0680000000000001</c:v>
                </c:pt>
                <c:pt idx="102">
                  <c:v>4.3079999999999998</c:v>
                </c:pt>
                <c:pt idx="103">
                  <c:v>3.3570000000000002</c:v>
                </c:pt>
                <c:pt idx="104">
                  <c:v>3.3679999999999999</c:v>
                </c:pt>
                <c:pt idx="105">
                  <c:v>2.5529999999999999</c:v>
                </c:pt>
                <c:pt idx="106">
                  <c:v>2.843</c:v>
                </c:pt>
                <c:pt idx="107">
                  <c:v>3.7469999999999999</c:v>
                </c:pt>
                <c:pt idx="108">
                  <c:v>3.2519999999999998</c:v>
                </c:pt>
                <c:pt idx="109">
                  <c:v>1.738</c:v>
                </c:pt>
                <c:pt idx="110">
                  <c:v>2.2349999999999999</c:v>
                </c:pt>
                <c:pt idx="111">
                  <c:v>3.6779999999999999</c:v>
                </c:pt>
                <c:pt idx="112">
                  <c:v>2.109</c:v>
                </c:pt>
                <c:pt idx="113">
                  <c:v>6.6820000000000004</c:v>
                </c:pt>
                <c:pt idx="114">
                  <c:v>4.6769999999999996</c:v>
                </c:pt>
                <c:pt idx="115">
                  <c:v>2.2480000000000002</c:v>
                </c:pt>
                <c:pt idx="116">
                  <c:v>4.3339999999999996</c:v>
                </c:pt>
                <c:pt idx="117">
                  <c:v>3.0840000000000001</c:v>
                </c:pt>
                <c:pt idx="118">
                  <c:v>3.6389999999999998</c:v>
                </c:pt>
                <c:pt idx="119">
                  <c:v>3.0630000000000002</c:v>
                </c:pt>
                <c:pt idx="120">
                  <c:v>5.9009999999999998</c:v>
                </c:pt>
                <c:pt idx="121">
                  <c:v>3.6190000000000002</c:v>
                </c:pt>
                <c:pt idx="122">
                  <c:v>4.2859999999999996</c:v>
                </c:pt>
                <c:pt idx="123">
                  <c:v>2.984</c:v>
                </c:pt>
                <c:pt idx="124">
                  <c:v>3.3359999999999999</c:v>
                </c:pt>
                <c:pt idx="125">
                  <c:v>4.1879999999999997</c:v>
                </c:pt>
                <c:pt idx="126">
                  <c:v>4.391</c:v>
                </c:pt>
                <c:pt idx="127">
                  <c:v>2.2570000000000001</c:v>
                </c:pt>
                <c:pt idx="128">
                  <c:v>1.91</c:v>
                </c:pt>
                <c:pt idx="129">
                  <c:v>5.3659999999999997</c:v>
                </c:pt>
                <c:pt idx="130">
                  <c:v>2.8370000000000002</c:v>
                </c:pt>
                <c:pt idx="131">
                  <c:v>2.9079999999999999</c:v>
                </c:pt>
                <c:pt idx="132">
                  <c:v>4.4619999999999997</c:v>
                </c:pt>
                <c:pt idx="133">
                  <c:v>4.266</c:v>
                </c:pt>
                <c:pt idx="134">
                  <c:v>4.9720000000000004</c:v>
                </c:pt>
                <c:pt idx="135">
                  <c:v>3.6</c:v>
                </c:pt>
                <c:pt idx="136">
                  <c:v>3.5259999999999998</c:v>
                </c:pt>
                <c:pt idx="137">
                  <c:v>2.64</c:v>
                </c:pt>
                <c:pt idx="138">
                  <c:v>2.7250000000000001</c:v>
                </c:pt>
                <c:pt idx="139">
                  <c:v>3.7690000000000001</c:v>
                </c:pt>
                <c:pt idx="140">
                  <c:v>5.3040000000000003</c:v>
                </c:pt>
                <c:pt idx="141">
                  <c:v>7.0350000000000001</c:v>
                </c:pt>
                <c:pt idx="142">
                  <c:v>5.9950000000000001</c:v>
                </c:pt>
                <c:pt idx="143">
                  <c:v>5.4690000000000003</c:v>
                </c:pt>
                <c:pt idx="144">
                  <c:v>4.4710000000000001</c:v>
                </c:pt>
                <c:pt idx="145">
                  <c:v>6.1689999999999996</c:v>
                </c:pt>
                <c:pt idx="146">
                  <c:v>2.2210000000000001</c:v>
                </c:pt>
                <c:pt idx="147">
                  <c:v>4.4210000000000003</c:v>
                </c:pt>
                <c:pt idx="148">
                  <c:v>3.26</c:v>
                </c:pt>
                <c:pt idx="149">
                  <c:v>5.4619999999999997</c:v>
                </c:pt>
                <c:pt idx="150">
                  <c:v>5.1950000000000003</c:v>
                </c:pt>
                <c:pt idx="151">
                  <c:v>6.992</c:v>
                </c:pt>
                <c:pt idx="152">
                  <c:v>4.7560000000000002</c:v>
                </c:pt>
                <c:pt idx="153">
                  <c:v>3.3319999999999999</c:v>
                </c:pt>
                <c:pt idx="154">
                  <c:v>4.048</c:v>
                </c:pt>
                <c:pt idx="155">
                  <c:v>5.8129999999999997</c:v>
                </c:pt>
                <c:pt idx="156">
                  <c:v>3.347</c:v>
                </c:pt>
                <c:pt idx="157">
                  <c:v>4.8250000000000002</c:v>
                </c:pt>
                <c:pt idx="158">
                  <c:v>4.3780000000000001</c:v>
                </c:pt>
                <c:pt idx="159">
                  <c:v>5.3879999999999999</c:v>
                </c:pt>
                <c:pt idx="160">
                  <c:v>3.0819999999999999</c:v>
                </c:pt>
                <c:pt idx="161">
                  <c:v>4.2709999999999999</c:v>
                </c:pt>
                <c:pt idx="162">
                  <c:v>4.9880000000000004</c:v>
                </c:pt>
                <c:pt idx="163">
                  <c:v>4.4189999999999996</c:v>
                </c:pt>
                <c:pt idx="164">
                  <c:v>6.3879999999999999</c:v>
                </c:pt>
                <c:pt idx="165">
                  <c:v>2.2010000000000001</c:v>
                </c:pt>
                <c:pt idx="166">
                  <c:v>4.9240000000000004</c:v>
                </c:pt>
                <c:pt idx="167">
                  <c:v>3.6379999999999999</c:v>
                </c:pt>
                <c:pt idx="168">
                  <c:v>4.3369999999999997</c:v>
                </c:pt>
                <c:pt idx="169">
                  <c:v>3.5209999999999999</c:v>
                </c:pt>
                <c:pt idx="170">
                  <c:v>6.7350000000000003</c:v>
                </c:pt>
                <c:pt idx="171">
                  <c:v>6.7149999999999999</c:v>
                </c:pt>
                <c:pt idx="172">
                  <c:v>4.3090000000000002</c:v>
                </c:pt>
                <c:pt idx="173">
                  <c:v>5.5880000000000001</c:v>
                </c:pt>
                <c:pt idx="174">
                  <c:v>5.1820000000000004</c:v>
                </c:pt>
                <c:pt idx="175">
                  <c:v>4.7729999999999997</c:v>
                </c:pt>
                <c:pt idx="176">
                  <c:v>5.335</c:v>
                </c:pt>
                <c:pt idx="177">
                  <c:v>4.702</c:v>
                </c:pt>
                <c:pt idx="178">
                  <c:v>5.8760000000000003</c:v>
                </c:pt>
                <c:pt idx="179">
                  <c:v>1.661</c:v>
                </c:pt>
                <c:pt idx="180">
                  <c:v>4.9569999999999999</c:v>
                </c:pt>
                <c:pt idx="181">
                  <c:v>4.9870000000000001</c:v>
                </c:pt>
                <c:pt idx="182">
                  <c:v>4.8570000000000002</c:v>
                </c:pt>
                <c:pt idx="183">
                  <c:v>5.2089999999999996</c:v>
                </c:pt>
                <c:pt idx="184">
                  <c:v>6.1849999999999996</c:v>
                </c:pt>
                <c:pt idx="185">
                  <c:v>4.0620000000000003</c:v>
                </c:pt>
                <c:pt idx="186">
                  <c:v>4.8979999999999997</c:v>
                </c:pt>
                <c:pt idx="187">
                  <c:v>4.1790000000000003</c:v>
                </c:pt>
                <c:pt idx="188">
                  <c:v>7.524</c:v>
                </c:pt>
                <c:pt idx="189">
                  <c:v>4.9749999999999996</c:v>
                </c:pt>
                <c:pt idx="190">
                  <c:v>5.3979999999999997</c:v>
                </c:pt>
                <c:pt idx="191">
                  <c:v>3.9849999999999999</c:v>
                </c:pt>
                <c:pt idx="192">
                  <c:v>3.597</c:v>
                </c:pt>
                <c:pt idx="193">
                  <c:v>4.8529999999999998</c:v>
                </c:pt>
                <c:pt idx="194">
                  <c:v>4.1319999999999997</c:v>
                </c:pt>
                <c:pt idx="195">
                  <c:v>4.8730000000000002</c:v>
                </c:pt>
                <c:pt idx="196">
                  <c:v>5.4829999999999997</c:v>
                </c:pt>
                <c:pt idx="197">
                  <c:v>4.67</c:v>
                </c:pt>
                <c:pt idx="198">
                  <c:v>3.306</c:v>
                </c:pt>
                <c:pt idx="199">
                  <c:v>2.8279999999999998</c:v>
                </c:pt>
                <c:pt idx="200">
                  <c:v>5.4720000000000004</c:v>
                </c:pt>
                <c:pt idx="201">
                  <c:v>2.2999999999999998</c:v>
                </c:pt>
                <c:pt idx="202">
                  <c:v>4.0510000000000002</c:v>
                </c:pt>
                <c:pt idx="203">
                  <c:v>8.4559999999999995</c:v>
                </c:pt>
                <c:pt idx="204">
                  <c:v>3.919</c:v>
                </c:pt>
                <c:pt idx="205">
                  <c:v>3.6309999999999998</c:v>
                </c:pt>
                <c:pt idx="206">
                  <c:v>4.3250000000000002</c:v>
                </c:pt>
                <c:pt idx="207">
                  <c:v>8.3149999999999995</c:v>
                </c:pt>
                <c:pt idx="208">
                  <c:v>3.5979999999999999</c:v>
                </c:pt>
                <c:pt idx="209">
                  <c:v>5.6369999999999996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1C5-4E90-8AFD-2364C1FAA8D9}"/>
            </c:ext>
          </c:extLst>
        </c:ser>
        <c:ser>
          <c:idx val="6"/>
          <c:order val="6"/>
          <c:tx>
            <c:strRef>
              <c:f>feature_scaling!$H$1</c:f>
              <c:strCache>
                <c:ptCount val="1"/>
                <c:pt idx="0">
                  <c:v>f7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feature_scaling!$A$2:$A$211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feature_scaling!$H$2:$H$211</c:f>
              <c:numCache>
                <c:formatCode>General</c:formatCode>
                <c:ptCount val="210"/>
                <c:pt idx="0">
                  <c:v>5.22</c:v>
                </c:pt>
                <c:pt idx="1">
                  <c:v>4.9560000000000004</c:v>
                </c:pt>
                <c:pt idx="2">
                  <c:v>4.8250000000000002</c:v>
                </c:pt>
                <c:pt idx="3">
                  <c:v>4.8049999999999997</c:v>
                </c:pt>
                <c:pt idx="4">
                  <c:v>5.1749999999999998</c:v>
                </c:pt>
                <c:pt idx="5">
                  <c:v>4.9560000000000004</c:v>
                </c:pt>
                <c:pt idx="6">
                  <c:v>5.2190000000000003</c:v>
                </c:pt>
                <c:pt idx="7">
                  <c:v>5</c:v>
                </c:pt>
                <c:pt idx="8">
                  <c:v>5.8769999999999998</c:v>
                </c:pt>
                <c:pt idx="9">
                  <c:v>5.5330000000000004</c:v>
                </c:pt>
                <c:pt idx="10">
                  <c:v>5.3140000000000001</c:v>
                </c:pt>
                <c:pt idx="11">
                  <c:v>5.0010000000000003</c:v>
                </c:pt>
                <c:pt idx="12">
                  <c:v>4.7380000000000004</c:v>
                </c:pt>
                <c:pt idx="13">
                  <c:v>4.8719999999999999</c:v>
                </c:pt>
                <c:pt idx="14">
                  <c:v>4.8250000000000002</c:v>
                </c:pt>
                <c:pt idx="15">
                  <c:v>4.7809999999999997</c:v>
                </c:pt>
                <c:pt idx="16">
                  <c:v>4.7809999999999997</c:v>
                </c:pt>
                <c:pt idx="17">
                  <c:v>5.0460000000000003</c:v>
                </c:pt>
                <c:pt idx="18">
                  <c:v>4.649</c:v>
                </c:pt>
                <c:pt idx="19">
                  <c:v>4.9139999999999997</c:v>
                </c:pt>
                <c:pt idx="20">
                  <c:v>5.1760000000000002</c:v>
                </c:pt>
                <c:pt idx="21">
                  <c:v>5.2190000000000003</c:v>
                </c:pt>
                <c:pt idx="22">
                  <c:v>5.0910000000000002</c:v>
                </c:pt>
                <c:pt idx="23">
                  <c:v>4.9610000000000003</c:v>
                </c:pt>
                <c:pt idx="24">
                  <c:v>5.0010000000000003</c:v>
                </c:pt>
                <c:pt idx="25">
                  <c:v>5.3070000000000004</c:v>
                </c:pt>
                <c:pt idx="26">
                  <c:v>4.8250000000000002</c:v>
                </c:pt>
                <c:pt idx="27">
                  <c:v>4.8689999999999998</c:v>
                </c:pt>
                <c:pt idx="28">
                  <c:v>5.0380000000000003</c:v>
                </c:pt>
                <c:pt idx="29">
                  <c:v>5.0970000000000004</c:v>
                </c:pt>
                <c:pt idx="30">
                  <c:v>5.056</c:v>
                </c:pt>
                <c:pt idx="31">
                  <c:v>5.2279999999999998</c:v>
                </c:pt>
                <c:pt idx="32">
                  <c:v>5.2990000000000004</c:v>
                </c:pt>
                <c:pt idx="33">
                  <c:v>5.0119999999999996</c:v>
                </c:pt>
                <c:pt idx="34">
                  <c:v>5.36</c:v>
                </c:pt>
                <c:pt idx="35">
                  <c:v>5.4429999999999996</c:v>
                </c:pt>
                <c:pt idx="36">
                  <c:v>5.5270000000000001</c:v>
                </c:pt>
                <c:pt idx="37">
                  <c:v>5.484</c:v>
                </c:pt>
                <c:pt idx="38">
                  <c:v>5.3090000000000002</c:v>
                </c:pt>
                <c:pt idx="39">
                  <c:v>5.0010000000000003</c:v>
                </c:pt>
                <c:pt idx="40">
                  <c:v>5.1779999999999999</c:v>
                </c:pt>
                <c:pt idx="41">
                  <c:v>5.1760000000000002</c:v>
                </c:pt>
                <c:pt idx="42">
                  <c:v>4.7830000000000004</c:v>
                </c:pt>
                <c:pt idx="43">
                  <c:v>5.5279999999999996</c:v>
                </c:pt>
                <c:pt idx="44">
                  <c:v>5.18</c:v>
                </c:pt>
                <c:pt idx="45">
                  <c:v>4.9610000000000003</c:v>
                </c:pt>
                <c:pt idx="46">
                  <c:v>5.1319999999999997</c:v>
                </c:pt>
                <c:pt idx="47">
                  <c:v>5.1749999999999998</c:v>
                </c:pt>
                <c:pt idx="48">
                  <c:v>5.1109999999999998</c:v>
                </c:pt>
                <c:pt idx="49">
                  <c:v>5.351</c:v>
                </c:pt>
                <c:pt idx="50">
                  <c:v>5.1440000000000001</c:v>
                </c:pt>
                <c:pt idx="51">
                  <c:v>5.1360000000000001</c:v>
                </c:pt>
                <c:pt idx="52">
                  <c:v>5.3959999999999999</c:v>
                </c:pt>
                <c:pt idx="53">
                  <c:v>5.2240000000000002</c:v>
                </c:pt>
                <c:pt idx="54">
                  <c:v>5.4870000000000001</c:v>
                </c:pt>
                <c:pt idx="55">
                  <c:v>5.4390000000000001</c:v>
                </c:pt>
                <c:pt idx="56">
                  <c:v>5.0439999999999996</c:v>
                </c:pt>
                <c:pt idx="57">
                  <c:v>5.0880000000000001</c:v>
                </c:pt>
                <c:pt idx="58">
                  <c:v>5.2220000000000004</c:v>
                </c:pt>
                <c:pt idx="59">
                  <c:v>4.5190000000000001</c:v>
                </c:pt>
                <c:pt idx="60">
                  <c:v>4.6070000000000002</c:v>
                </c:pt>
                <c:pt idx="61">
                  <c:v>4.7030000000000003</c:v>
                </c:pt>
                <c:pt idx="62">
                  <c:v>4.6050000000000004</c:v>
                </c:pt>
                <c:pt idx="63">
                  <c:v>5.0880000000000001</c:v>
                </c:pt>
                <c:pt idx="64">
                  <c:v>4.782</c:v>
                </c:pt>
                <c:pt idx="65">
                  <c:v>4.6070000000000002</c:v>
                </c:pt>
                <c:pt idx="66">
                  <c:v>5.15</c:v>
                </c:pt>
                <c:pt idx="67">
                  <c:v>5.1319999999999997</c:v>
                </c:pt>
                <c:pt idx="68">
                  <c:v>5.3</c:v>
                </c:pt>
                <c:pt idx="69">
                  <c:v>5.0670000000000002</c:v>
                </c:pt>
                <c:pt idx="70">
                  <c:v>6.06</c:v>
                </c:pt>
                <c:pt idx="71">
                  <c:v>5.8769999999999998</c:v>
                </c:pt>
                <c:pt idx="72">
                  <c:v>5.7910000000000004</c:v>
                </c:pt>
                <c:pt idx="73">
                  <c:v>6.0789999999999997</c:v>
                </c:pt>
                <c:pt idx="74">
                  <c:v>5.8410000000000002</c:v>
                </c:pt>
                <c:pt idx="75">
                  <c:v>5.7949999999999999</c:v>
                </c:pt>
                <c:pt idx="76">
                  <c:v>5.9219999999999997</c:v>
                </c:pt>
                <c:pt idx="77">
                  <c:v>6.4509999999999996</c:v>
                </c:pt>
                <c:pt idx="78">
                  <c:v>6.3620000000000001</c:v>
                </c:pt>
                <c:pt idx="79">
                  <c:v>5.7460000000000004</c:v>
                </c:pt>
                <c:pt idx="80">
                  <c:v>5.88</c:v>
                </c:pt>
                <c:pt idx="81">
                  <c:v>5.8789999999999996</c:v>
                </c:pt>
                <c:pt idx="82">
                  <c:v>6.1870000000000003</c:v>
                </c:pt>
                <c:pt idx="83">
                  <c:v>6.2729999999999997</c:v>
                </c:pt>
                <c:pt idx="84">
                  <c:v>6.1849999999999996</c:v>
                </c:pt>
                <c:pt idx="85">
                  <c:v>6.1970000000000001</c:v>
                </c:pt>
                <c:pt idx="86">
                  <c:v>6.109</c:v>
                </c:pt>
                <c:pt idx="87">
                  <c:v>6.4980000000000002</c:v>
                </c:pt>
                <c:pt idx="88">
                  <c:v>6.2309999999999999</c:v>
                </c:pt>
                <c:pt idx="89">
                  <c:v>6.3209999999999997</c:v>
                </c:pt>
                <c:pt idx="90">
                  <c:v>6.4489999999999998</c:v>
                </c:pt>
                <c:pt idx="91">
                  <c:v>6.0529999999999999</c:v>
                </c:pt>
                <c:pt idx="92">
                  <c:v>6.0529999999999999</c:v>
                </c:pt>
                <c:pt idx="93">
                  <c:v>5.8769999999999998</c:v>
                </c:pt>
                <c:pt idx="94">
                  <c:v>6.4480000000000004</c:v>
                </c:pt>
                <c:pt idx="95">
                  <c:v>5.9669999999999996</c:v>
                </c:pt>
                <c:pt idx="96">
                  <c:v>6.2380000000000004</c:v>
                </c:pt>
                <c:pt idx="97">
                  <c:v>6.4530000000000003</c:v>
                </c:pt>
                <c:pt idx="98">
                  <c:v>6.2729999999999997</c:v>
                </c:pt>
                <c:pt idx="99">
                  <c:v>6.0970000000000004</c:v>
                </c:pt>
                <c:pt idx="100">
                  <c:v>5.6180000000000003</c:v>
                </c:pt>
                <c:pt idx="101">
                  <c:v>5.8369999999999997</c:v>
                </c:pt>
                <c:pt idx="102">
                  <c:v>6.0090000000000003</c:v>
                </c:pt>
                <c:pt idx="103">
                  <c:v>6.2290000000000001</c:v>
                </c:pt>
                <c:pt idx="104">
                  <c:v>6.1479999999999997</c:v>
                </c:pt>
                <c:pt idx="105">
                  <c:v>5.8789999999999996</c:v>
                </c:pt>
                <c:pt idx="106">
                  <c:v>6.2</c:v>
                </c:pt>
                <c:pt idx="107">
                  <c:v>5.9290000000000003</c:v>
                </c:pt>
                <c:pt idx="108">
                  <c:v>6.55</c:v>
                </c:pt>
                <c:pt idx="109">
                  <c:v>5.8940000000000001</c:v>
                </c:pt>
                <c:pt idx="110">
                  <c:v>5.7939999999999996</c:v>
                </c:pt>
                <c:pt idx="111">
                  <c:v>5.9649999999999999</c:v>
                </c:pt>
                <c:pt idx="112">
                  <c:v>5.9240000000000004</c:v>
                </c:pt>
                <c:pt idx="113">
                  <c:v>6.0529999999999999</c:v>
                </c:pt>
                <c:pt idx="114">
                  <c:v>6.3159999999999998</c:v>
                </c:pt>
                <c:pt idx="115">
                  <c:v>6.1630000000000003</c:v>
                </c:pt>
                <c:pt idx="116">
                  <c:v>5.75</c:v>
                </c:pt>
                <c:pt idx="117">
                  <c:v>6.1849999999999996</c:v>
                </c:pt>
                <c:pt idx="118">
                  <c:v>5.9660000000000002</c:v>
                </c:pt>
                <c:pt idx="119">
                  <c:v>6.32</c:v>
                </c:pt>
                <c:pt idx="120">
                  <c:v>6.1879999999999997</c:v>
                </c:pt>
                <c:pt idx="121">
                  <c:v>6.0110000000000001</c:v>
                </c:pt>
                <c:pt idx="122">
                  <c:v>5.7030000000000003</c:v>
                </c:pt>
                <c:pt idx="123">
                  <c:v>5.9050000000000002</c:v>
                </c:pt>
                <c:pt idx="124">
                  <c:v>5.1440000000000001</c:v>
                </c:pt>
                <c:pt idx="125">
                  <c:v>5.992</c:v>
                </c:pt>
                <c:pt idx="126">
                  <c:v>6.1020000000000003</c:v>
                </c:pt>
                <c:pt idx="127">
                  <c:v>5.9189999999999996</c:v>
                </c:pt>
                <c:pt idx="128">
                  <c:v>6.1849999999999996</c:v>
                </c:pt>
                <c:pt idx="129">
                  <c:v>5.6609999999999996</c:v>
                </c:pt>
                <c:pt idx="130">
                  <c:v>5.9619999999999997</c:v>
                </c:pt>
                <c:pt idx="131">
                  <c:v>5.9489999999999998</c:v>
                </c:pt>
                <c:pt idx="132">
                  <c:v>5.7949999999999999</c:v>
                </c:pt>
                <c:pt idx="133">
                  <c:v>5.7949999999999999</c:v>
                </c:pt>
                <c:pt idx="134">
                  <c:v>5.8470000000000004</c:v>
                </c:pt>
                <c:pt idx="135">
                  <c:v>5.4390000000000001</c:v>
                </c:pt>
                <c:pt idx="136">
                  <c:v>5.9710000000000001</c:v>
                </c:pt>
                <c:pt idx="137">
                  <c:v>5.8789999999999996</c:v>
                </c:pt>
                <c:pt idx="138">
                  <c:v>5.7519999999999998</c:v>
                </c:pt>
                <c:pt idx="139">
                  <c:v>5.9219999999999997</c:v>
                </c:pt>
                <c:pt idx="140">
                  <c:v>5.3949999999999996</c:v>
                </c:pt>
                <c:pt idx="141">
                  <c:v>5.44</c:v>
                </c:pt>
                <c:pt idx="142">
                  <c:v>5.3070000000000004</c:v>
                </c:pt>
                <c:pt idx="143">
                  <c:v>5.2210000000000001</c:v>
                </c:pt>
                <c:pt idx="144">
                  <c:v>5.1779999999999999</c:v>
                </c:pt>
                <c:pt idx="145">
                  <c:v>5.2750000000000004</c:v>
                </c:pt>
                <c:pt idx="146">
                  <c:v>5.1319999999999997</c:v>
                </c:pt>
                <c:pt idx="147">
                  <c:v>5.0019999999999998</c:v>
                </c:pt>
                <c:pt idx="148">
                  <c:v>5.3159999999999998</c:v>
                </c:pt>
                <c:pt idx="149">
                  <c:v>5.194</c:v>
                </c:pt>
                <c:pt idx="150">
                  <c:v>5.3070000000000004</c:v>
                </c:pt>
                <c:pt idx="151">
                  <c:v>5.27</c:v>
                </c:pt>
                <c:pt idx="152">
                  <c:v>5.36</c:v>
                </c:pt>
                <c:pt idx="153">
                  <c:v>5.0010000000000003</c:v>
                </c:pt>
                <c:pt idx="154">
                  <c:v>5.2629999999999999</c:v>
                </c:pt>
                <c:pt idx="155">
                  <c:v>5.2190000000000003</c:v>
                </c:pt>
                <c:pt idx="156">
                  <c:v>5.0030000000000001</c:v>
                </c:pt>
                <c:pt idx="157">
                  <c:v>5.22</c:v>
                </c:pt>
                <c:pt idx="158">
                  <c:v>5.31</c:v>
                </c:pt>
                <c:pt idx="159">
                  <c:v>5.31</c:v>
                </c:pt>
                <c:pt idx="160">
                  <c:v>5.4909999999999997</c:v>
                </c:pt>
                <c:pt idx="161">
                  <c:v>5.3079999999999998</c:v>
                </c:pt>
                <c:pt idx="162">
                  <c:v>5.0460000000000003</c:v>
                </c:pt>
                <c:pt idx="163">
                  <c:v>5.1760000000000002</c:v>
                </c:pt>
                <c:pt idx="164">
                  <c:v>5.0490000000000004</c:v>
                </c:pt>
                <c:pt idx="165">
                  <c:v>5.056</c:v>
                </c:pt>
                <c:pt idx="166">
                  <c:v>5.27</c:v>
                </c:pt>
                <c:pt idx="167">
                  <c:v>5.3380000000000001</c:v>
                </c:pt>
                <c:pt idx="168">
                  <c:v>5.1319999999999997</c:v>
                </c:pt>
                <c:pt idx="169">
                  <c:v>5.0880000000000001</c:v>
                </c:pt>
                <c:pt idx="170">
                  <c:v>5.1630000000000003</c:v>
                </c:pt>
                <c:pt idx="171">
                  <c:v>4.9560000000000004</c:v>
                </c:pt>
                <c:pt idx="172">
                  <c:v>5</c:v>
                </c:pt>
                <c:pt idx="173">
                  <c:v>5.0890000000000004</c:v>
                </c:pt>
                <c:pt idx="174">
                  <c:v>5.1849999999999996</c:v>
                </c:pt>
                <c:pt idx="175">
                  <c:v>5.0629999999999997</c:v>
                </c:pt>
                <c:pt idx="176">
                  <c:v>5.0919999999999996</c:v>
                </c:pt>
                <c:pt idx="177">
                  <c:v>4.9630000000000001</c:v>
                </c:pt>
                <c:pt idx="178">
                  <c:v>5.0019999999999998</c:v>
                </c:pt>
                <c:pt idx="179">
                  <c:v>5.1779999999999999</c:v>
                </c:pt>
                <c:pt idx="180">
                  <c:v>4.8250000000000002</c:v>
                </c:pt>
                <c:pt idx="181">
                  <c:v>5.1470000000000002</c:v>
                </c:pt>
                <c:pt idx="182">
                  <c:v>5.1580000000000004</c:v>
                </c:pt>
                <c:pt idx="183">
                  <c:v>5.1349999999999998</c:v>
                </c:pt>
                <c:pt idx="184">
                  <c:v>5.3159999999999998</c:v>
                </c:pt>
                <c:pt idx="185">
                  <c:v>5.1820000000000004</c:v>
                </c:pt>
                <c:pt idx="186">
                  <c:v>5.3520000000000003</c:v>
                </c:pt>
                <c:pt idx="187">
                  <c:v>4.9560000000000004</c:v>
                </c:pt>
                <c:pt idx="188">
                  <c:v>4.9569999999999999</c:v>
                </c:pt>
                <c:pt idx="189">
                  <c:v>4.7939999999999996</c:v>
                </c:pt>
                <c:pt idx="190">
                  <c:v>5.0449999999999999</c:v>
                </c:pt>
                <c:pt idx="191">
                  <c:v>5.0010000000000003</c:v>
                </c:pt>
                <c:pt idx="192">
                  <c:v>5.1319999999999997</c:v>
                </c:pt>
                <c:pt idx="193">
                  <c:v>5.0890000000000004</c:v>
                </c:pt>
                <c:pt idx="194">
                  <c:v>5.0119999999999996</c:v>
                </c:pt>
                <c:pt idx="195">
                  <c:v>4.9139999999999997</c:v>
                </c:pt>
                <c:pt idx="196">
                  <c:v>4.9580000000000002</c:v>
                </c:pt>
                <c:pt idx="197">
                  <c:v>5.0910000000000002</c:v>
                </c:pt>
                <c:pt idx="198">
                  <c:v>5.2309999999999999</c:v>
                </c:pt>
                <c:pt idx="199">
                  <c:v>4.83</c:v>
                </c:pt>
                <c:pt idx="200">
                  <c:v>5.0449999999999999</c:v>
                </c:pt>
                <c:pt idx="201">
                  <c:v>4.7450000000000001</c:v>
                </c:pt>
                <c:pt idx="202">
                  <c:v>4.8280000000000003</c:v>
                </c:pt>
                <c:pt idx="203">
                  <c:v>5</c:v>
                </c:pt>
                <c:pt idx="204">
                  <c:v>5.0010000000000003</c:v>
                </c:pt>
                <c:pt idx="205">
                  <c:v>4.87</c:v>
                </c:pt>
                <c:pt idx="206">
                  <c:v>5.0030000000000001</c:v>
                </c:pt>
                <c:pt idx="207">
                  <c:v>5.056</c:v>
                </c:pt>
                <c:pt idx="208">
                  <c:v>5.0439999999999996</c:v>
                </c:pt>
                <c:pt idx="209">
                  <c:v>5.0629999999999997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1C5-4E90-8AFD-2364C1FAA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70784"/>
        <c:axId val="126477056"/>
      </c:scatterChart>
      <c:valAx>
        <c:axId val="126470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77056"/>
        <c:crosses val="autoZero"/>
        <c:crossBetween val="midCat"/>
      </c:valAx>
      <c:valAx>
        <c:axId val="12647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70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after feature scaling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feature_scaling!$W$1</c:f>
              <c:strCache>
                <c:ptCount val="1"/>
                <c:pt idx="0">
                  <c:v>f1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feature_scaling!$V$2:$V$211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feature_scaling!$W$2:$W$211</c:f>
              <c:numCache>
                <c:formatCode>0.00000</c:formatCode>
                <c:ptCount val="210"/>
                <c:pt idx="0">
                  <c:v>0.44098205854579792</c:v>
                </c:pt>
                <c:pt idx="1">
                  <c:v>0.40509915014164316</c:v>
                </c:pt>
                <c:pt idx="2">
                  <c:v>0.34938621340887621</c:v>
                </c:pt>
                <c:pt idx="3">
                  <c:v>0.3068932955618508</c:v>
                </c:pt>
                <c:pt idx="4">
                  <c:v>0.52407932011331448</c:v>
                </c:pt>
                <c:pt idx="5">
                  <c:v>0.35788479697828152</c:v>
                </c:pt>
                <c:pt idx="6">
                  <c:v>0.38715769593956562</c:v>
                </c:pt>
                <c:pt idx="7">
                  <c:v>0.33238904627006605</c:v>
                </c:pt>
                <c:pt idx="8">
                  <c:v>0.5703493862134088</c:v>
                </c:pt>
                <c:pt idx="9">
                  <c:v>0.55240793201133154</c:v>
                </c:pt>
                <c:pt idx="10">
                  <c:v>0.44098205854579792</c:v>
                </c:pt>
                <c:pt idx="11">
                  <c:v>0.32483474976392818</c:v>
                </c:pt>
                <c:pt idx="12">
                  <c:v>0.31161473087818703</c:v>
                </c:pt>
                <c:pt idx="13">
                  <c:v>0.30122757318224735</c:v>
                </c:pt>
                <c:pt idx="14">
                  <c:v>0.2974504249291785</c:v>
                </c:pt>
                <c:pt idx="15">
                  <c:v>0.37771482530689332</c:v>
                </c:pt>
                <c:pt idx="16">
                  <c:v>0.32105760151085933</c:v>
                </c:pt>
                <c:pt idx="17">
                  <c:v>0.4815864022662889</c:v>
                </c:pt>
                <c:pt idx="18">
                  <c:v>0.38810198300283283</c:v>
                </c:pt>
                <c:pt idx="19">
                  <c:v>0.20113314447592076</c:v>
                </c:pt>
                <c:pt idx="20">
                  <c:v>0.33711048158640228</c:v>
                </c:pt>
                <c:pt idx="21">
                  <c:v>0.33238904627006605</c:v>
                </c:pt>
                <c:pt idx="22">
                  <c:v>0.4995278564683665</c:v>
                </c:pt>
                <c:pt idx="23">
                  <c:v>0.14069877242681778</c:v>
                </c:pt>
                <c:pt idx="24">
                  <c:v>0.41737488196411709</c:v>
                </c:pt>
                <c:pt idx="25">
                  <c:v>0.52880075542965077</c:v>
                </c:pt>
                <c:pt idx="26">
                  <c:v>0.22946175637393765</c:v>
                </c:pt>
                <c:pt idx="27">
                  <c:v>0.20302171860245519</c:v>
                </c:pt>
                <c:pt idx="28">
                  <c:v>0.33238904627006605</c:v>
                </c:pt>
                <c:pt idx="29">
                  <c:v>0.27006610009442866</c:v>
                </c:pt>
                <c:pt idx="30">
                  <c:v>0.24268177525967896</c:v>
                </c:pt>
                <c:pt idx="31">
                  <c:v>0.46270066100094431</c:v>
                </c:pt>
                <c:pt idx="32">
                  <c:v>0.33050047214353162</c:v>
                </c:pt>
                <c:pt idx="33">
                  <c:v>0.31633616619452309</c:v>
                </c:pt>
                <c:pt idx="34">
                  <c:v>0.42115203021718611</c:v>
                </c:pt>
                <c:pt idx="35">
                  <c:v>0.52219074598678006</c:v>
                </c:pt>
                <c:pt idx="36">
                  <c:v>0.52974504249291776</c:v>
                </c:pt>
                <c:pt idx="37">
                  <c:v>0.61284230406043427</c:v>
                </c:pt>
                <c:pt idx="38">
                  <c:v>0.39754485363550529</c:v>
                </c:pt>
                <c:pt idx="39">
                  <c:v>0.348441926345609</c:v>
                </c:pt>
                <c:pt idx="40">
                  <c:v>0.27856468366383375</c:v>
                </c:pt>
                <c:pt idx="41">
                  <c:v>0.27478753541076489</c:v>
                </c:pt>
                <c:pt idx="42">
                  <c:v>0.24268177525967896</c:v>
                </c:pt>
                <c:pt idx="43">
                  <c:v>0.46364494806421153</c:v>
                </c:pt>
                <c:pt idx="44">
                  <c:v>0.42681775259678939</c:v>
                </c:pt>
                <c:pt idx="45">
                  <c:v>0.30311614730878195</c:v>
                </c:pt>
                <c:pt idx="46">
                  <c:v>0.45042492917847021</c:v>
                </c:pt>
                <c:pt idx="47">
                  <c:v>0.41548630783758267</c:v>
                </c:pt>
                <c:pt idx="48">
                  <c:v>0.39660056657223791</c:v>
                </c:pt>
                <c:pt idx="49">
                  <c:v>0.40321057601510857</c:v>
                </c:pt>
                <c:pt idx="50">
                  <c:v>0.36260623229461758</c:v>
                </c:pt>
                <c:pt idx="51">
                  <c:v>0.49008498583569399</c:v>
                </c:pt>
                <c:pt idx="52">
                  <c:v>0.36827195467422102</c:v>
                </c:pt>
                <c:pt idx="53">
                  <c:v>0.35316336166194523</c:v>
                </c:pt>
                <c:pt idx="54">
                  <c:v>0.37110481586402266</c:v>
                </c:pt>
                <c:pt idx="55">
                  <c:v>0.41926345609065152</c:v>
                </c:pt>
                <c:pt idx="56">
                  <c:v>0.36543909348441939</c:v>
                </c:pt>
                <c:pt idx="57">
                  <c:v>0.40887629839471201</c:v>
                </c:pt>
                <c:pt idx="58">
                  <c:v>0.4523135033050048</c:v>
                </c:pt>
                <c:pt idx="59">
                  <c:v>0.14353163361661941</c:v>
                </c:pt>
                <c:pt idx="60">
                  <c:v>7.8375826251180364E-2</c:v>
                </c:pt>
                <c:pt idx="61">
                  <c:v>6.0434372049102979E-2</c:v>
                </c:pt>
                <c:pt idx="62">
                  <c:v>0.16713881019830024</c:v>
                </c:pt>
                <c:pt idx="63">
                  <c:v>0.24834749763928241</c:v>
                </c:pt>
                <c:pt idx="64">
                  <c:v>0.20679886685552404</c:v>
                </c:pt>
                <c:pt idx="65">
                  <c:v>0.2162417374881965</c:v>
                </c:pt>
                <c:pt idx="66">
                  <c:v>0.35410764872521244</c:v>
                </c:pt>
                <c:pt idx="67">
                  <c:v>0.32294617563739375</c:v>
                </c:pt>
                <c:pt idx="68">
                  <c:v>0.35694050991501408</c:v>
                </c:pt>
                <c:pt idx="69">
                  <c:v>0.20207743153918797</c:v>
                </c:pt>
                <c:pt idx="70">
                  <c:v>0.66477809254013209</c:v>
                </c:pt>
                <c:pt idx="71">
                  <c:v>0.59017941454202083</c:v>
                </c:pt>
                <c:pt idx="72">
                  <c:v>0.62983947119924477</c:v>
                </c:pt>
                <c:pt idx="73">
                  <c:v>0.80453257790368271</c:v>
                </c:pt>
                <c:pt idx="74">
                  <c:v>0.5882908404154864</c:v>
                </c:pt>
                <c:pt idx="75">
                  <c:v>0.58356940509915012</c:v>
                </c:pt>
                <c:pt idx="76">
                  <c:v>0.63550519357884805</c:v>
                </c:pt>
                <c:pt idx="77">
                  <c:v>0.95561850802644011</c:v>
                </c:pt>
                <c:pt idx="78">
                  <c:v>0.78847969782813987</c:v>
                </c:pt>
                <c:pt idx="79">
                  <c:v>0.61661945231350346</c:v>
                </c:pt>
                <c:pt idx="80">
                  <c:v>0.56090651558073668</c:v>
                </c:pt>
                <c:pt idx="81">
                  <c:v>0.76770538243626052</c:v>
                </c:pt>
                <c:pt idx="82">
                  <c:v>0.90745986779981114</c:v>
                </c:pt>
                <c:pt idx="83">
                  <c:v>0.8479697828139755</c:v>
                </c:pt>
                <c:pt idx="84">
                  <c:v>0.84230406043437223</c:v>
                </c:pt>
                <c:pt idx="85">
                  <c:v>0.72521246458923516</c:v>
                </c:pt>
                <c:pt idx="86">
                  <c:v>0.78281397544853626</c:v>
                </c:pt>
                <c:pt idx="87">
                  <c:v>0.79225684608120872</c:v>
                </c:pt>
                <c:pt idx="88">
                  <c:v>1</c:v>
                </c:pt>
                <c:pt idx="89">
                  <c:v>0.97167138810198295</c:v>
                </c:pt>
                <c:pt idx="90">
                  <c:v>0.89801699716713901</c:v>
                </c:pt>
                <c:pt idx="91">
                  <c:v>0.7714825306893297</c:v>
                </c:pt>
                <c:pt idx="92">
                  <c:v>0.77620396600566566</c:v>
                </c:pt>
                <c:pt idx="93">
                  <c:v>0.75542965061378664</c:v>
                </c:pt>
                <c:pt idx="94">
                  <c:v>0.73371104815864019</c:v>
                </c:pt>
                <c:pt idx="95">
                  <c:v>0.59301227573182258</c:v>
                </c:pt>
                <c:pt idx="96">
                  <c:v>0.8234183191690273</c:v>
                </c:pt>
                <c:pt idx="97">
                  <c:v>0.79225684608120872</c:v>
                </c:pt>
                <c:pt idx="98">
                  <c:v>0.71576959395656303</c:v>
                </c:pt>
                <c:pt idx="99">
                  <c:v>0.76770538243626052</c:v>
                </c:pt>
                <c:pt idx="100">
                  <c:v>0.54957507082152979</c:v>
                </c:pt>
                <c:pt idx="101">
                  <c:v>0.69877242681775242</c:v>
                </c:pt>
                <c:pt idx="102">
                  <c:v>0.83758262511803594</c:v>
                </c:pt>
                <c:pt idx="103">
                  <c:v>0.81114258734655331</c:v>
                </c:pt>
                <c:pt idx="104">
                  <c:v>0.78942398489140697</c:v>
                </c:pt>
                <c:pt idx="105">
                  <c:v>0.77809254013220008</c:v>
                </c:pt>
                <c:pt idx="106">
                  <c:v>0.77998111425873484</c:v>
                </c:pt>
                <c:pt idx="107">
                  <c:v>0.66477809254013209</c:v>
                </c:pt>
                <c:pt idx="108">
                  <c:v>0.88290840415486327</c:v>
                </c:pt>
                <c:pt idx="109">
                  <c:v>0.75165250236071779</c:v>
                </c:pt>
                <c:pt idx="110">
                  <c:v>0.74220963172804533</c:v>
                </c:pt>
                <c:pt idx="111">
                  <c:v>0.8300283286118979</c:v>
                </c:pt>
                <c:pt idx="112">
                  <c:v>0.80642115203021714</c:v>
                </c:pt>
                <c:pt idx="113">
                  <c:v>0.80736543909348446</c:v>
                </c:pt>
                <c:pt idx="114">
                  <c:v>0.98016997167138797</c:v>
                </c:pt>
                <c:pt idx="115">
                  <c:v>0.79981114258734642</c:v>
                </c:pt>
                <c:pt idx="116">
                  <c:v>0.7903682719546743</c:v>
                </c:pt>
                <c:pt idx="117">
                  <c:v>0.80830972615675156</c:v>
                </c:pt>
                <c:pt idx="118">
                  <c:v>0.78375826251180369</c:v>
                </c:pt>
                <c:pt idx="119">
                  <c:v>0.8914069877242683</c:v>
                </c:pt>
                <c:pt idx="120">
                  <c:v>0.91123701605287999</c:v>
                </c:pt>
                <c:pt idx="121">
                  <c:v>0.71293673276676117</c:v>
                </c:pt>
                <c:pt idx="122">
                  <c:v>0.52691218130311634</c:v>
                </c:pt>
                <c:pt idx="123">
                  <c:v>0.7403210576015109</c:v>
                </c:pt>
                <c:pt idx="124">
                  <c:v>0.50991501416430596</c:v>
                </c:pt>
                <c:pt idx="125">
                  <c:v>0.77053824362606238</c:v>
                </c:pt>
                <c:pt idx="126">
                  <c:v>0.76109537299338992</c:v>
                </c:pt>
                <c:pt idx="127">
                  <c:v>0.69782813975448543</c:v>
                </c:pt>
                <c:pt idx="128">
                  <c:v>0.90368271954674229</c:v>
                </c:pt>
                <c:pt idx="129">
                  <c:v>0.65722379603399439</c:v>
                </c:pt>
                <c:pt idx="130">
                  <c:v>0.72804532577903691</c:v>
                </c:pt>
                <c:pt idx="131">
                  <c:v>0.78847969782813987</c:v>
                </c:pt>
                <c:pt idx="132">
                  <c:v>0.4523135033050048</c:v>
                </c:pt>
                <c:pt idx="133">
                  <c:v>0.52596789423984891</c:v>
                </c:pt>
                <c:pt idx="134">
                  <c:v>0.46931067044381497</c:v>
                </c:pt>
                <c:pt idx="135">
                  <c:v>0.4523135033050048</c:v>
                </c:pt>
                <c:pt idx="136">
                  <c:v>0.6392823418319169</c:v>
                </c:pt>
                <c:pt idx="137">
                  <c:v>0.47025495750708218</c:v>
                </c:pt>
                <c:pt idx="138">
                  <c:v>0.47308781869688382</c:v>
                </c:pt>
                <c:pt idx="139">
                  <c:v>0.53257790368271962</c:v>
                </c:pt>
                <c:pt idx="140">
                  <c:v>0.23418319169027388</c:v>
                </c:pt>
                <c:pt idx="141">
                  <c:v>0.25779036827195473</c:v>
                </c:pt>
                <c:pt idx="142">
                  <c:v>0.25967894239848915</c:v>
                </c:pt>
                <c:pt idx="143">
                  <c:v>0.15391879131255909</c:v>
                </c:pt>
                <c:pt idx="144">
                  <c:v>0.11614730878186973</c:v>
                </c:pt>
                <c:pt idx="145">
                  <c:v>5.8545797922568553E-2</c:v>
                </c:pt>
                <c:pt idx="146">
                  <c:v>7.9320113314447577E-2</c:v>
                </c:pt>
                <c:pt idx="147">
                  <c:v>0.17941454202077436</c:v>
                </c:pt>
                <c:pt idx="148">
                  <c:v>0.19924457034938617</c:v>
                </c:pt>
                <c:pt idx="149">
                  <c:v>1.8885741265344598E-2</c:v>
                </c:pt>
                <c:pt idx="150">
                  <c:v>0.11709159584513694</c:v>
                </c:pt>
                <c:pt idx="151">
                  <c:v>0.13408876298394712</c:v>
                </c:pt>
                <c:pt idx="152">
                  <c:v>0.15769593956562794</c:v>
                </c:pt>
                <c:pt idx="153">
                  <c:v>5.5712936732766748E-2</c:v>
                </c:pt>
                <c:pt idx="154">
                  <c:v>7.271010387157692E-2</c:v>
                </c:pt>
                <c:pt idx="155">
                  <c:v>5.6657223796033961E-2</c:v>
                </c:pt>
                <c:pt idx="156">
                  <c:v>7.0821529745042494E-2</c:v>
                </c:pt>
                <c:pt idx="157">
                  <c:v>0.14542020774315401</c:v>
                </c:pt>
                <c:pt idx="158">
                  <c:v>0.10953729933899907</c:v>
                </c:pt>
                <c:pt idx="159">
                  <c:v>8.4985835694051021E-2</c:v>
                </c:pt>
                <c:pt idx="160">
                  <c:v>0.18413597733711043</c:v>
                </c:pt>
                <c:pt idx="161">
                  <c:v>0.13503305004721433</c:v>
                </c:pt>
                <c:pt idx="162">
                  <c:v>0.13786591123701614</c:v>
                </c:pt>
                <c:pt idx="163">
                  <c:v>0.18508026440037781</c:v>
                </c:pt>
                <c:pt idx="164">
                  <c:v>5.1935788479697896E-2</c:v>
                </c:pt>
                <c:pt idx="165">
                  <c:v>0.1425873465533522</c:v>
                </c:pt>
                <c:pt idx="166">
                  <c:v>0.17469310670443811</c:v>
                </c:pt>
                <c:pt idx="167">
                  <c:v>0.14730878186968843</c:v>
                </c:pt>
                <c:pt idx="168">
                  <c:v>7.1765816808309707E-2</c:v>
                </c:pt>
                <c:pt idx="169">
                  <c:v>6.1378659112370192E-2</c:v>
                </c:pt>
                <c:pt idx="170">
                  <c:v>4.0604343720491001E-2</c:v>
                </c:pt>
                <c:pt idx="171">
                  <c:v>9.0651558073654478E-2</c:v>
                </c:pt>
                <c:pt idx="172">
                  <c:v>6.4211520302171837E-2</c:v>
                </c:pt>
                <c:pt idx="173">
                  <c:v>7.6487252124645938E-2</c:v>
                </c:pt>
                <c:pt idx="174">
                  <c:v>2.266288951841362E-2</c:v>
                </c:pt>
                <c:pt idx="175">
                  <c:v>1.9830028328611977E-2</c:v>
                </c:pt>
                <c:pt idx="176">
                  <c:v>6.3267233238904624E-2</c:v>
                </c:pt>
                <c:pt idx="177">
                  <c:v>1.4164305949008532E-2</c:v>
                </c:pt>
                <c:pt idx="178">
                  <c:v>8.4041548630783808E-2</c:v>
                </c:pt>
                <c:pt idx="179">
                  <c:v>0.15297450424929188</c:v>
                </c:pt>
                <c:pt idx="180">
                  <c:v>7.7431539187913151E-2</c:v>
                </c:pt>
                <c:pt idx="181">
                  <c:v>0.1765816808309727</c:v>
                </c:pt>
                <c:pt idx="182">
                  <c:v>0.15108593012275728</c:v>
                </c:pt>
                <c:pt idx="183">
                  <c:v>0.10009442870632677</c:v>
                </c:pt>
                <c:pt idx="184">
                  <c:v>0.21718602455146371</c:v>
                </c:pt>
                <c:pt idx="185">
                  <c:v>9.1595845136921691E-2</c:v>
                </c:pt>
                <c:pt idx="186">
                  <c:v>0.11520302171860251</c:v>
                </c:pt>
                <c:pt idx="187">
                  <c:v>3.0217186024551489E-2</c:v>
                </c:pt>
                <c:pt idx="188">
                  <c:v>6.0434372049102979E-2</c:v>
                </c:pt>
                <c:pt idx="189">
                  <c:v>0</c:v>
                </c:pt>
                <c:pt idx="190">
                  <c:v>3.2105760151085919E-2</c:v>
                </c:pt>
                <c:pt idx="191">
                  <c:v>6.4211520302171837E-2</c:v>
                </c:pt>
                <c:pt idx="192">
                  <c:v>0.12086874409820579</c:v>
                </c:pt>
                <c:pt idx="193">
                  <c:v>2.1718602455146407E-2</c:v>
                </c:pt>
                <c:pt idx="194">
                  <c:v>0.14353163361661941</c:v>
                </c:pt>
                <c:pt idx="195">
                  <c:v>0.20868744098205863</c:v>
                </c:pt>
                <c:pt idx="196">
                  <c:v>0.20774315391879125</c:v>
                </c:pt>
                <c:pt idx="197">
                  <c:v>0.26251180358829079</c:v>
                </c:pt>
                <c:pt idx="198">
                  <c:v>0.1916902738432483</c:v>
                </c:pt>
                <c:pt idx="199">
                  <c:v>0.20491029272898961</c:v>
                </c:pt>
                <c:pt idx="200">
                  <c:v>0.16902738432483483</c:v>
                </c:pt>
                <c:pt idx="201">
                  <c:v>0.19641170915958453</c:v>
                </c:pt>
                <c:pt idx="202">
                  <c:v>5.5712936732766748E-2</c:v>
                </c:pt>
                <c:pt idx="203">
                  <c:v>0.19924457034938617</c:v>
                </c:pt>
                <c:pt idx="204">
                  <c:v>0.16808309726156745</c:v>
                </c:pt>
                <c:pt idx="205">
                  <c:v>0.15108593012275728</c:v>
                </c:pt>
                <c:pt idx="206">
                  <c:v>6.0434372049102979E-2</c:v>
                </c:pt>
                <c:pt idx="207">
                  <c:v>0.24645892351274781</c:v>
                </c:pt>
                <c:pt idx="208">
                  <c:v>0.11803588290840415</c:v>
                </c:pt>
                <c:pt idx="209">
                  <c:v>0.16147308781869696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91B-4864-8CB2-D1E5BC127363}"/>
            </c:ext>
          </c:extLst>
        </c:ser>
        <c:ser>
          <c:idx val="1"/>
          <c:order val="1"/>
          <c:tx>
            <c:strRef>
              <c:f>feature_scaling!$X$1</c:f>
              <c:strCache>
                <c:ptCount val="1"/>
                <c:pt idx="0">
                  <c:v>f2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feature_scaling!$V$2:$V$211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feature_scaling!$X$2:$X$211</c:f>
              <c:numCache>
                <c:formatCode>0.00000</c:formatCode>
                <c:ptCount val="210"/>
                <c:pt idx="0">
                  <c:v>0.50206611570247928</c:v>
                </c:pt>
                <c:pt idx="1">
                  <c:v>0.44628099173553726</c:v>
                </c:pt>
                <c:pt idx="2">
                  <c:v>0.34710743801652888</c:v>
                </c:pt>
                <c:pt idx="3">
                  <c:v>0.31611570247933873</c:v>
                </c:pt>
                <c:pt idx="4">
                  <c:v>0.53305785123966942</c:v>
                </c:pt>
                <c:pt idx="5">
                  <c:v>0.37190082644628114</c:v>
                </c:pt>
                <c:pt idx="6">
                  <c:v>0.42975206611570249</c:v>
                </c:pt>
                <c:pt idx="7">
                  <c:v>0.34917355371900816</c:v>
                </c:pt>
                <c:pt idx="8">
                  <c:v>0.63016528925619852</c:v>
                </c:pt>
                <c:pt idx="9">
                  <c:v>0.58677685950413216</c:v>
                </c:pt>
                <c:pt idx="10">
                  <c:v>0.50413223140495855</c:v>
                </c:pt>
                <c:pt idx="11">
                  <c:v>0.36157024793388431</c:v>
                </c:pt>
                <c:pt idx="12">
                  <c:v>0.33264462809917344</c:v>
                </c:pt>
                <c:pt idx="13">
                  <c:v>0.34090909090909099</c:v>
                </c:pt>
                <c:pt idx="14">
                  <c:v>0.33884297520661172</c:v>
                </c:pt>
                <c:pt idx="15">
                  <c:v>0.38636363636363619</c:v>
                </c:pt>
                <c:pt idx="16">
                  <c:v>0.29338842975206608</c:v>
                </c:pt>
                <c:pt idx="17">
                  <c:v>0.48347107438016529</c:v>
                </c:pt>
                <c:pt idx="18">
                  <c:v>0.37190082644628114</c:v>
                </c:pt>
                <c:pt idx="19">
                  <c:v>0.23966942148760334</c:v>
                </c:pt>
                <c:pt idx="20">
                  <c:v>0.4111570247933885</c:v>
                </c:pt>
                <c:pt idx="21">
                  <c:v>0.38223140495867763</c:v>
                </c:pt>
                <c:pt idx="22">
                  <c:v>0.51446280991735538</c:v>
                </c:pt>
                <c:pt idx="23">
                  <c:v>0.16942148760330586</c:v>
                </c:pt>
                <c:pt idx="24">
                  <c:v>0.48553719008264457</c:v>
                </c:pt>
                <c:pt idx="25">
                  <c:v>0.56818181818181823</c:v>
                </c:pt>
                <c:pt idx="26">
                  <c:v>0.2789256198347107</c:v>
                </c:pt>
                <c:pt idx="27">
                  <c:v>0.26033057851239666</c:v>
                </c:pt>
                <c:pt idx="28">
                  <c:v>0.36570247933884292</c:v>
                </c:pt>
                <c:pt idx="29">
                  <c:v>0.33264462809917344</c:v>
                </c:pt>
                <c:pt idx="30">
                  <c:v>0.29132231404958681</c:v>
                </c:pt>
                <c:pt idx="31">
                  <c:v>0.5227272727272726</c:v>
                </c:pt>
                <c:pt idx="32">
                  <c:v>0.41322314049586778</c:v>
                </c:pt>
                <c:pt idx="33">
                  <c:v>0.36363636363636359</c:v>
                </c:pt>
                <c:pt idx="34">
                  <c:v>0.46900826446280985</c:v>
                </c:pt>
                <c:pt idx="35">
                  <c:v>0.5351239669421487</c:v>
                </c:pt>
                <c:pt idx="36">
                  <c:v>0.59090909090909083</c:v>
                </c:pt>
                <c:pt idx="37">
                  <c:v>0.61363636363636376</c:v>
                </c:pt>
                <c:pt idx="38">
                  <c:v>0.43595041322314038</c:v>
                </c:pt>
                <c:pt idx="39">
                  <c:v>0.36363636363636359</c:v>
                </c:pt>
                <c:pt idx="40">
                  <c:v>0.29752066115702469</c:v>
                </c:pt>
                <c:pt idx="41">
                  <c:v>0.29752066115702469</c:v>
                </c:pt>
                <c:pt idx="42">
                  <c:v>0.23553719008264476</c:v>
                </c:pt>
                <c:pt idx="43">
                  <c:v>0.50619834710743783</c:v>
                </c:pt>
                <c:pt idx="44">
                  <c:v>0.44008264462809898</c:v>
                </c:pt>
                <c:pt idx="45">
                  <c:v>0.33677685950413205</c:v>
                </c:pt>
                <c:pt idx="46">
                  <c:v>0.48553719008264457</c:v>
                </c:pt>
                <c:pt idx="47">
                  <c:v>0.44421487603305793</c:v>
                </c:pt>
                <c:pt idx="48">
                  <c:v>0.43595041322314038</c:v>
                </c:pt>
                <c:pt idx="49">
                  <c:v>0.46694214876033052</c:v>
                </c:pt>
                <c:pt idx="50">
                  <c:v>0.4111570247933885</c:v>
                </c:pt>
                <c:pt idx="51">
                  <c:v>0.51652892561983477</c:v>
                </c:pt>
                <c:pt idx="52">
                  <c:v>0.45454545454545442</c:v>
                </c:pt>
                <c:pt idx="53">
                  <c:v>0.38636363636363619</c:v>
                </c:pt>
                <c:pt idx="54">
                  <c:v>0.45247933884297514</c:v>
                </c:pt>
                <c:pt idx="55">
                  <c:v>0.48760330578512384</c:v>
                </c:pt>
                <c:pt idx="56">
                  <c:v>0.40082644628099162</c:v>
                </c:pt>
                <c:pt idx="57">
                  <c:v>0.41735537190082639</c:v>
                </c:pt>
                <c:pt idx="58">
                  <c:v>0.48760330578512384</c:v>
                </c:pt>
                <c:pt idx="59">
                  <c:v>0.21900826446281002</c:v>
                </c:pt>
                <c:pt idx="60">
                  <c:v>9.2975206611570105E-2</c:v>
                </c:pt>
                <c:pt idx="61">
                  <c:v>4.5454545454545588E-2</c:v>
                </c:pt>
                <c:pt idx="62">
                  <c:v>0.16115702479338831</c:v>
                </c:pt>
                <c:pt idx="63">
                  <c:v>0.29545454545454541</c:v>
                </c:pt>
                <c:pt idx="64">
                  <c:v>0.23966942148760334</c:v>
                </c:pt>
                <c:pt idx="65">
                  <c:v>0.22520661157024791</c:v>
                </c:pt>
                <c:pt idx="66">
                  <c:v>0.40495867768595023</c:v>
                </c:pt>
                <c:pt idx="67">
                  <c:v>0.38842975206611552</c:v>
                </c:pt>
                <c:pt idx="68">
                  <c:v>0.40909090909090917</c:v>
                </c:pt>
                <c:pt idx="69">
                  <c:v>0.27685950413223137</c:v>
                </c:pt>
                <c:pt idx="70">
                  <c:v>0.73760330578512401</c:v>
                </c:pt>
                <c:pt idx="71">
                  <c:v>0.67355371900826444</c:v>
                </c:pt>
                <c:pt idx="72">
                  <c:v>0.68595041322314054</c:v>
                </c:pt>
                <c:pt idx="73">
                  <c:v>0.79545454545454575</c:v>
                </c:pt>
                <c:pt idx="74">
                  <c:v>0.64049586776859502</c:v>
                </c:pt>
                <c:pt idx="75">
                  <c:v>0.66322314049586761</c:v>
                </c:pt>
                <c:pt idx="76">
                  <c:v>0.72314049586776863</c:v>
                </c:pt>
                <c:pt idx="77">
                  <c:v>0.99586776859504145</c:v>
                </c:pt>
                <c:pt idx="78">
                  <c:v>0.84297520661156988</c:v>
                </c:pt>
                <c:pt idx="79">
                  <c:v>0.64876033057851257</c:v>
                </c:pt>
                <c:pt idx="80">
                  <c:v>0.60537190082644621</c:v>
                </c:pt>
                <c:pt idx="81">
                  <c:v>0.78099173553719037</c:v>
                </c:pt>
                <c:pt idx="82">
                  <c:v>0.92561983471074394</c:v>
                </c:pt>
                <c:pt idx="83">
                  <c:v>0.89462809917355335</c:v>
                </c:pt>
                <c:pt idx="84">
                  <c:v>0.88842975206611585</c:v>
                </c:pt>
                <c:pt idx="85">
                  <c:v>0.7603305785123966</c:v>
                </c:pt>
                <c:pt idx="86">
                  <c:v>0.79545454545454575</c:v>
                </c:pt>
                <c:pt idx="87">
                  <c:v>0.87809917355371903</c:v>
                </c:pt>
                <c:pt idx="88">
                  <c:v>0.99173553719008278</c:v>
                </c:pt>
                <c:pt idx="89">
                  <c:v>0.95867768595041336</c:v>
                </c:pt>
                <c:pt idx="90">
                  <c:v>0.94628099173553681</c:v>
                </c:pt>
                <c:pt idx="91">
                  <c:v>0.78305785123966931</c:v>
                </c:pt>
                <c:pt idx="92">
                  <c:v>0.80165289256198324</c:v>
                </c:pt>
                <c:pt idx="93">
                  <c:v>0.7520661157024795</c:v>
                </c:pt>
                <c:pt idx="94">
                  <c:v>0.84917355371900816</c:v>
                </c:pt>
                <c:pt idx="95">
                  <c:v>0.66942148760330589</c:v>
                </c:pt>
                <c:pt idx="96">
                  <c:v>0.86363636363636365</c:v>
                </c:pt>
                <c:pt idx="97">
                  <c:v>0.85950413223140498</c:v>
                </c:pt>
                <c:pt idx="98">
                  <c:v>0.79545454545454575</c:v>
                </c:pt>
                <c:pt idx="99">
                  <c:v>0.81198347107438018</c:v>
                </c:pt>
                <c:pt idx="100">
                  <c:v>0.58677685950413216</c:v>
                </c:pt>
                <c:pt idx="101">
                  <c:v>0.7128099173553718</c:v>
                </c:pt>
                <c:pt idx="102">
                  <c:v>0.8450413223140496</c:v>
                </c:pt>
                <c:pt idx="103">
                  <c:v>0.87190082644628075</c:v>
                </c:pt>
                <c:pt idx="104">
                  <c:v>0.82851239669421517</c:v>
                </c:pt>
                <c:pt idx="105">
                  <c:v>0.80165289256198324</c:v>
                </c:pt>
                <c:pt idx="106">
                  <c:v>0.7768595041322317</c:v>
                </c:pt>
                <c:pt idx="107">
                  <c:v>0.7128099173553718</c:v>
                </c:pt>
                <c:pt idx="108">
                  <c:v>0.93181818181818221</c:v>
                </c:pt>
                <c:pt idx="109">
                  <c:v>0.78719008264462786</c:v>
                </c:pt>
                <c:pt idx="110">
                  <c:v>0.76652892561983488</c:v>
                </c:pt>
                <c:pt idx="111">
                  <c:v>0.8904958677685948</c:v>
                </c:pt>
                <c:pt idx="112">
                  <c:v>0.80578512396694191</c:v>
                </c:pt>
                <c:pt idx="113">
                  <c:v>0.8677685950413222</c:v>
                </c:pt>
                <c:pt idx="114">
                  <c:v>1</c:v>
                </c:pt>
                <c:pt idx="115">
                  <c:v>0.83471074380165278</c:v>
                </c:pt>
                <c:pt idx="116">
                  <c:v>0.78305785123966931</c:v>
                </c:pt>
                <c:pt idx="117">
                  <c:v>0.83471074380165278</c:v>
                </c:pt>
                <c:pt idx="118">
                  <c:v>0.78925619834710747</c:v>
                </c:pt>
                <c:pt idx="119">
                  <c:v>0.92768595041322288</c:v>
                </c:pt>
                <c:pt idx="120">
                  <c:v>0.92975206611570249</c:v>
                </c:pt>
                <c:pt idx="121">
                  <c:v>0.76652892561983488</c:v>
                </c:pt>
                <c:pt idx="122">
                  <c:v>0.61363636363636376</c:v>
                </c:pt>
                <c:pt idx="123">
                  <c:v>0.73553719008264473</c:v>
                </c:pt>
                <c:pt idx="124">
                  <c:v>0.5123966942148761</c:v>
                </c:pt>
                <c:pt idx="125">
                  <c:v>0.77892561983471065</c:v>
                </c:pt>
                <c:pt idx="126">
                  <c:v>0.82644628099173556</c:v>
                </c:pt>
                <c:pt idx="127">
                  <c:v>0.71074380165289253</c:v>
                </c:pt>
                <c:pt idx="128">
                  <c:v>0.95454545454545481</c:v>
                </c:pt>
                <c:pt idx="129">
                  <c:v>0.67148760330578516</c:v>
                </c:pt>
                <c:pt idx="130">
                  <c:v>0.71900826446281008</c:v>
                </c:pt>
                <c:pt idx="131">
                  <c:v>0.80785123966942152</c:v>
                </c:pt>
                <c:pt idx="132">
                  <c:v>0.51446280991735538</c:v>
                </c:pt>
                <c:pt idx="133">
                  <c:v>0.60330578512396693</c:v>
                </c:pt>
                <c:pt idx="134">
                  <c:v>0.5123966942148761</c:v>
                </c:pt>
                <c:pt idx="135">
                  <c:v>0.46487603305785125</c:v>
                </c:pt>
                <c:pt idx="136">
                  <c:v>0.69214876033057848</c:v>
                </c:pt>
                <c:pt idx="137">
                  <c:v>0.56611570247933896</c:v>
                </c:pt>
                <c:pt idx="138">
                  <c:v>0.55785123966942141</c:v>
                </c:pt>
                <c:pt idx="139">
                  <c:v>0.57231404958677679</c:v>
                </c:pt>
                <c:pt idx="140">
                  <c:v>0.31198347107438013</c:v>
                </c:pt>
                <c:pt idx="141">
                  <c:v>0.31611570247933873</c:v>
                </c:pt>
                <c:pt idx="142">
                  <c:v>0.31818181818181801</c:v>
                </c:pt>
                <c:pt idx="143">
                  <c:v>0.18801652892561987</c:v>
                </c:pt>
                <c:pt idx="144">
                  <c:v>0.20454545454545459</c:v>
                </c:pt>
                <c:pt idx="145">
                  <c:v>0.14876033057851254</c:v>
                </c:pt>
                <c:pt idx="146">
                  <c:v>0.14876033057851254</c:v>
                </c:pt>
                <c:pt idx="147">
                  <c:v>0.21694214876033074</c:v>
                </c:pt>
                <c:pt idx="148">
                  <c:v>0.26859504132231421</c:v>
                </c:pt>
                <c:pt idx="149">
                  <c:v>0.10743801652892554</c:v>
                </c:pt>
                <c:pt idx="150">
                  <c:v>0.16942148760330586</c:v>
                </c:pt>
                <c:pt idx="151">
                  <c:v>0.22933884297520651</c:v>
                </c:pt>
                <c:pt idx="152">
                  <c:v>0.24586776859504123</c:v>
                </c:pt>
                <c:pt idx="153">
                  <c:v>0.13016528925619814</c:v>
                </c:pt>
                <c:pt idx="154">
                  <c:v>0.1322314049586778</c:v>
                </c:pt>
                <c:pt idx="155">
                  <c:v>0.1322314049586778</c:v>
                </c:pt>
                <c:pt idx="156">
                  <c:v>9.5041322314049395E-2</c:v>
                </c:pt>
                <c:pt idx="157">
                  <c:v>0.27272727272727282</c:v>
                </c:pt>
                <c:pt idx="158">
                  <c:v>0.22933884297520651</c:v>
                </c:pt>
                <c:pt idx="159">
                  <c:v>0.16735537190082656</c:v>
                </c:pt>
                <c:pt idx="160">
                  <c:v>0.26033057851239666</c:v>
                </c:pt>
                <c:pt idx="161">
                  <c:v>0.19008264462809915</c:v>
                </c:pt>
                <c:pt idx="162">
                  <c:v>0.20661157024793389</c:v>
                </c:pt>
                <c:pt idx="163">
                  <c:v>0.23966942148760334</c:v>
                </c:pt>
                <c:pt idx="164">
                  <c:v>7.851239669421467E-2</c:v>
                </c:pt>
                <c:pt idx="165">
                  <c:v>0.15289256198347112</c:v>
                </c:pt>
                <c:pt idx="166">
                  <c:v>0.24380165289256192</c:v>
                </c:pt>
                <c:pt idx="167">
                  <c:v>0.21487603305785108</c:v>
                </c:pt>
                <c:pt idx="168">
                  <c:v>0.14669421487603287</c:v>
                </c:pt>
                <c:pt idx="169">
                  <c:v>0.12190082644628096</c:v>
                </c:pt>
                <c:pt idx="170">
                  <c:v>0.12190082644628096</c:v>
                </c:pt>
                <c:pt idx="171">
                  <c:v>0.14256198347107429</c:v>
                </c:pt>
                <c:pt idx="172">
                  <c:v>0.11570247933884308</c:v>
                </c:pt>
                <c:pt idx="173">
                  <c:v>0.13842975206611569</c:v>
                </c:pt>
                <c:pt idx="174">
                  <c:v>0.11363636363636379</c:v>
                </c:pt>
                <c:pt idx="175">
                  <c:v>3.305785123966945E-2</c:v>
                </c:pt>
                <c:pt idx="176">
                  <c:v>0.12396694214876026</c:v>
                </c:pt>
                <c:pt idx="177">
                  <c:v>6.61157024793389E-2</c:v>
                </c:pt>
                <c:pt idx="178">
                  <c:v>0.1322314049586778</c:v>
                </c:pt>
                <c:pt idx="179">
                  <c:v>0.21900826446281002</c:v>
                </c:pt>
                <c:pt idx="180">
                  <c:v>0.11157024793388412</c:v>
                </c:pt>
                <c:pt idx="181">
                  <c:v>0.20661157024793389</c:v>
                </c:pt>
                <c:pt idx="182">
                  <c:v>0.19628099173553704</c:v>
                </c:pt>
                <c:pt idx="183">
                  <c:v>0.13636363636363641</c:v>
                </c:pt>
                <c:pt idx="184">
                  <c:v>0.28099173553718998</c:v>
                </c:pt>
                <c:pt idx="185">
                  <c:v>0.18595041322314057</c:v>
                </c:pt>
                <c:pt idx="186">
                  <c:v>0.21487603305785108</c:v>
                </c:pt>
                <c:pt idx="187">
                  <c:v>8.0578512396694335E-2</c:v>
                </c:pt>
                <c:pt idx="188">
                  <c:v>8.471074380165293E-2</c:v>
                </c:pt>
                <c:pt idx="189">
                  <c:v>0</c:v>
                </c:pt>
                <c:pt idx="190">
                  <c:v>8.0578512396694335E-2</c:v>
                </c:pt>
                <c:pt idx="191">
                  <c:v>9.2975206611570105E-2</c:v>
                </c:pt>
                <c:pt idx="192">
                  <c:v>0.12603305785123955</c:v>
                </c:pt>
                <c:pt idx="193">
                  <c:v>8.677685950413222E-2</c:v>
                </c:pt>
                <c:pt idx="194">
                  <c:v>0.17768595041322302</c:v>
                </c:pt>
                <c:pt idx="195">
                  <c:v>0.21900826446281002</c:v>
                </c:pt>
                <c:pt idx="196">
                  <c:v>0.23140495867768579</c:v>
                </c:pt>
                <c:pt idx="197">
                  <c:v>0.28305785123966926</c:v>
                </c:pt>
                <c:pt idx="198">
                  <c:v>0.26033057851239666</c:v>
                </c:pt>
                <c:pt idx="199">
                  <c:v>0.20041322314049601</c:v>
                </c:pt>
                <c:pt idx="200">
                  <c:v>0.21280991735537177</c:v>
                </c:pt>
                <c:pt idx="201">
                  <c:v>0.18801652892561987</c:v>
                </c:pt>
                <c:pt idx="202">
                  <c:v>6.404958677685961E-2</c:v>
                </c:pt>
                <c:pt idx="203">
                  <c:v>0.20661157024793389</c:v>
                </c:pt>
                <c:pt idx="204">
                  <c:v>0.21900826446281002</c:v>
                </c:pt>
                <c:pt idx="205">
                  <c:v>0.16322314049586759</c:v>
                </c:pt>
                <c:pt idx="206">
                  <c:v>9.710743801652906E-2</c:v>
                </c:pt>
                <c:pt idx="207">
                  <c:v>0.25826446280991738</c:v>
                </c:pt>
                <c:pt idx="208">
                  <c:v>0.16528925619834725</c:v>
                </c:pt>
                <c:pt idx="209">
                  <c:v>0.19214876033057846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91B-4864-8CB2-D1E5BC127363}"/>
            </c:ext>
          </c:extLst>
        </c:ser>
        <c:ser>
          <c:idx val="2"/>
          <c:order val="2"/>
          <c:tx>
            <c:strRef>
              <c:f>feature_scaling!$Y$1</c:f>
              <c:strCache>
                <c:ptCount val="1"/>
                <c:pt idx="0">
                  <c:v>f3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feature_scaling!$V$2:$V$211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feature_scaling!$Y$2:$Y$211</c:f>
              <c:numCache>
                <c:formatCode>0.00000</c:formatCode>
                <c:ptCount val="210"/>
                <c:pt idx="0">
                  <c:v>0.570780399274047</c:v>
                </c:pt>
                <c:pt idx="1">
                  <c:v>0.66243194192377475</c:v>
                </c:pt>
                <c:pt idx="2">
                  <c:v>0.87931034482758641</c:v>
                </c:pt>
                <c:pt idx="3">
                  <c:v>0.79310344827586166</c:v>
                </c:pt>
                <c:pt idx="4">
                  <c:v>0.86479128856624288</c:v>
                </c:pt>
                <c:pt idx="5">
                  <c:v>0.78947368421052622</c:v>
                </c:pt>
                <c:pt idx="6">
                  <c:v>0.65154264972776765</c:v>
                </c:pt>
                <c:pt idx="7">
                  <c:v>0.75317604355716872</c:v>
                </c:pt>
                <c:pt idx="8">
                  <c:v>0.60435571687840306</c:v>
                </c:pt>
                <c:pt idx="9">
                  <c:v>0.72504537205081665</c:v>
                </c:pt>
                <c:pt idx="10">
                  <c:v>0.55807622504537224</c:v>
                </c:pt>
                <c:pt idx="11">
                  <c:v>0.64882032667876621</c:v>
                </c:pt>
                <c:pt idx="12">
                  <c:v>0.72504537205081665</c:v>
                </c:pt>
                <c:pt idx="13">
                  <c:v>0.61524500907441015</c:v>
                </c:pt>
                <c:pt idx="14">
                  <c:v>0.60163339382940051</c:v>
                </c:pt>
                <c:pt idx="15">
                  <c:v>0.82758620689655149</c:v>
                </c:pt>
                <c:pt idx="16">
                  <c:v>1</c:v>
                </c:pt>
                <c:pt idx="17">
                  <c:v>0.88656987295825807</c:v>
                </c:pt>
                <c:pt idx="18">
                  <c:v>0.97277676950998182</c:v>
                </c:pt>
                <c:pt idx="19">
                  <c:v>0.54900181488203281</c:v>
                </c:pt>
                <c:pt idx="20">
                  <c:v>0.45644283121597123</c:v>
                </c:pt>
                <c:pt idx="21">
                  <c:v>0.5816696914700541</c:v>
                </c:pt>
                <c:pt idx="22">
                  <c:v>0.82304900181488228</c:v>
                </c:pt>
                <c:pt idx="23">
                  <c:v>0.5290381125226854</c:v>
                </c:pt>
                <c:pt idx="24">
                  <c:v>0.52268602540834852</c:v>
                </c:pt>
                <c:pt idx="25">
                  <c:v>0.69691470054446469</c:v>
                </c:pt>
                <c:pt idx="26">
                  <c:v>0.5081669691470051</c:v>
                </c:pt>
                <c:pt idx="27">
                  <c:v>0.43829401088929243</c:v>
                </c:pt>
                <c:pt idx="28">
                  <c:v>0.67059891107078029</c:v>
                </c:pt>
                <c:pt idx="29">
                  <c:v>0.47459165154264998</c:v>
                </c:pt>
                <c:pt idx="30">
                  <c:v>0.52722323049001762</c:v>
                </c:pt>
                <c:pt idx="31">
                  <c:v>0.58348457350272176</c:v>
                </c:pt>
                <c:pt idx="32">
                  <c:v>0.40653357531760403</c:v>
                </c:pt>
                <c:pt idx="33">
                  <c:v>0.58711433756805809</c:v>
                </c:pt>
                <c:pt idx="34">
                  <c:v>0.6333938294010889</c:v>
                </c:pt>
                <c:pt idx="35">
                  <c:v>0.83393829401088937</c:v>
                </c:pt>
                <c:pt idx="36">
                  <c:v>0.59255898366606108</c:v>
                </c:pt>
                <c:pt idx="37">
                  <c:v>0.9056261343012707</c:v>
                </c:pt>
                <c:pt idx="38">
                  <c:v>0.67332123411978184</c:v>
                </c:pt>
                <c:pt idx="39">
                  <c:v>0.78312159709618834</c:v>
                </c:pt>
                <c:pt idx="40">
                  <c:v>0.71687840290381111</c:v>
                </c:pt>
                <c:pt idx="41">
                  <c:v>0.69963702359346613</c:v>
                </c:pt>
                <c:pt idx="42">
                  <c:v>0.84210526315789491</c:v>
                </c:pt>
                <c:pt idx="43">
                  <c:v>0.67059891107078029</c:v>
                </c:pt>
                <c:pt idx="44">
                  <c:v>0.82123411978221361</c:v>
                </c:pt>
                <c:pt idx="45">
                  <c:v>0.64700544464609744</c:v>
                </c:pt>
                <c:pt idx="46">
                  <c:v>0.70780399274047168</c:v>
                </c:pt>
                <c:pt idx="47">
                  <c:v>0.7277676950998182</c:v>
                </c:pt>
                <c:pt idx="48">
                  <c:v>0.66969147005444651</c:v>
                </c:pt>
                <c:pt idx="49">
                  <c:v>0.53992740471869338</c:v>
                </c:pt>
                <c:pt idx="50">
                  <c:v>0.60798548094373839</c:v>
                </c:pt>
                <c:pt idx="51">
                  <c:v>0.76406533575317581</c:v>
                </c:pt>
                <c:pt idx="52">
                  <c:v>0.41470054446460958</c:v>
                </c:pt>
                <c:pt idx="53">
                  <c:v>0.6805807622504535</c:v>
                </c:pt>
                <c:pt idx="54">
                  <c:v>0.43194192377495455</c:v>
                </c:pt>
                <c:pt idx="55">
                  <c:v>0.5235934664246823</c:v>
                </c:pt>
                <c:pt idx="56">
                  <c:v>0.66878402903811263</c:v>
                </c:pt>
                <c:pt idx="57">
                  <c:v>0.83938294010889247</c:v>
                </c:pt>
                <c:pt idx="58">
                  <c:v>0.70417422867513635</c:v>
                </c:pt>
                <c:pt idx="59">
                  <c:v>0.28221415607985406</c:v>
                </c:pt>
                <c:pt idx="60">
                  <c:v>0.54627949183303026</c:v>
                </c:pt>
                <c:pt idx="61">
                  <c:v>0.68874773139745904</c:v>
                </c:pt>
                <c:pt idx="62">
                  <c:v>0.76406533575317581</c:v>
                </c:pt>
                <c:pt idx="63">
                  <c:v>0.54355716878402882</c:v>
                </c:pt>
                <c:pt idx="64">
                  <c:v>0.57622504537205099</c:v>
                </c:pt>
                <c:pt idx="65">
                  <c:v>0.72413793103448287</c:v>
                </c:pt>
                <c:pt idx="66">
                  <c:v>0.58529945553539042</c:v>
                </c:pt>
                <c:pt idx="67">
                  <c:v>0.49364791288566262</c:v>
                </c:pt>
                <c:pt idx="68">
                  <c:v>0.58529945553539042</c:v>
                </c:pt>
                <c:pt idx="69">
                  <c:v>0.34210526315789447</c:v>
                </c:pt>
                <c:pt idx="70">
                  <c:v>0.53720508166969094</c:v>
                </c:pt>
                <c:pt idx="71">
                  <c:v>0.49183303085299396</c:v>
                </c:pt>
                <c:pt idx="72">
                  <c:v>0.61887477313974548</c:v>
                </c:pt>
                <c:pt idx="73">
                  <c:v>0.90744101633393837</c:v>
                </c:pt>
                <c:pt idx="74">
                  <c:v>0.63974591651542678</c:v>
                </c:pt>
                <c:pt idx="75">
                  <c:v>0.50544464609800355</c:v>
                </c:pt>
                <c:pt idx="76">
                  <c:v>0.47005444646097982</c:v>
                </c:pt>
                <c:pt idx="77">
                  <c:v>0.61887477313974548</c:v>
                </c:pt>
                <c:pt idx="78">
                  <c:v>0.6070780399274045</c:v>
                </c:pt>
                <c:pt idx="79">
                  <c:v>0.73593466424682374</c:v>
                </c:pt>
                <c:pt idx="80">
                  <c:v>0.67332123411978184</c:v>
                </c:pt>
                <c:pt idx="81">
                  <c:v>0.81306715063520907</c:v>
                </c:pt>
                <c:pt idx="82">
                  <c:v>0.73774954627949141</c:v>
                </c:pt>
                <c:pt idx="83">
                  <c:v>0.6333938294010889</c:v>
                </c:pt>
                <c:pt idx="84">
                  <c:v>0.63430127041742268</c:v>
                </c:pt>
                <c:pt idx="85">
                  <c:v>0.71597096188747722</c:v>
                </c:pt>
                <c:pt idx="86">
                  <c:v>0.80580762250453741</c:v>
                </c:pt>
                <c:pt idx="87">
                  <c:v>0.46188747731397423</c:v>
                </c:pt>
                <c:pt idx="88">
                  <c:v>0.82395644283121616</c:v>
                </c:pt>
                <c:pt idx="89">
                  <c:v>0.86206896551724144</c:v>
                </c:pt>
                <c:pt idx="90">
                  <c:v>0.60344827586206917</c:v>
                </c:pt>
                <c:pt idx="91">
                  <c:v>0.81941923774954595</c:v>
                </c:pt>
                <c:pt idx="92">
                  <c:v>0.7486388384754985</c:v>
                </c:pt>
                <c:pt idx="93">
                  <c:v>0.89382940108892883</c:v>
                </c:pt>
                <c:pt idx="94">
                  <c:v>0.33666061705989042</c:v>
                </c:pt>
                <c:pt idx="95">
                  <c:v>0.51451905626134298</c:v>
                </c:pt>
                <c:pt idx="96">
                  <c:v>0.66606170598911008</c:v>
                </c:pt>
                <c:pt idx="97">
                  <c:v>0.5499092558983667</c:v>
                </c:pt>
                <c:pt idx="98">
                  <c:v>0.50453720508166966</c:v>
                </c:pt>
                <c:pt idx="99">
                  <c:v>0.66152450090744086</c:v>
                </c:pt>
                <c:pt idx="100">
                  <c:v>0.71234119782214189</c:v>
                </c:pt>
                <c:pt idx="101">
                  <c:v>0.82667876588021771</c:v>
                </c:pt>
                <c:pt idx="102">
                  <c:v>0.82032667876587984</c:v>
                </c:pt>
                <c:pt idx="103">
                  <c:v>0.57713248638838488</c:v>
                </c:pt>
                <c:pt idx="104">
                  <c:v>0.67876588021778583</c:v>
                </c:pt>
                <c:pt idx="105">
                  <c:v>0.75862068965517271</c:v>
                </c:pt>
                <c:pt idx="106">
                  <c:v>0.8847549909255894</c:v>
                </c:pt>
                <c:pt idx="107">
                  <c:v>0.65245009074410154</c:v>
                </c:pt>
                <c:pt idx="108">
                  <c:v>0.60889292196007228</c:v>
                </c:pt>
                <c:pt idx="109">
                  <c:v>0.71143375680580712</c:v>
                </c:pt>
                <c:pt idx="110">
                  <c:v>0.76225045372050804</c:v>
                </c:pt>
                <c:pt idx="111">
                  <c:v>0.57622504537205099</c:v>
                </c:pt>
                <c:pt idx="112">
                  <c:v>0.86569872958257676</c:v>
                </c:pt>
                <c:pt idx="113">
                  <c:v>0.5816696914700541</c:v>
                </c:pt>
                <c:pt idx="114">
                  <c:v>0.70598911070780401</c:v>
                </c:pt>
                <c:pt idx="115">
                  <c:v>0.7014519056261338</c:v>
                </c:pt>
                <c:pt idx="116">
                  <c:v>0.90381125226860204</c:v>
                </c:pt>
                <c:pt idx="117">
                  <c:v>0.73411978221415608</c:v>
                </c:pt>
                <c:pt idx="118">
                  <c:v>0.84119782214156114</c:v>
                </c:pt>
                <c:pt idx="119">
                  <c:v>0.66243194192377475</c:v>
                </c:pt>
                <c:pt idx="120">
                  <c:v>0.74047186932849396</c:v>
                </c:pt>
                <c:pt idx="121">
                  <c:v>0.62704174228675102</c:v>
                </c:pt>
                <c:pt idx="122">
                  <c:v>0.46007259528130656</c:v>
                </c:pt>
                <c:pt idx="123">
                  <c:v>0.90381125226860204</c:v>
                </c:pt>
                <c:pt idx="124">
                  <c:v>0.89201451905626106</c:v>
                </c:pt>
                <c:pt idx="125">
                  <c:v>0.83303085299455559</c:v>
                </c:pt>
                <c:pt idx="126">
                  <c:v>0.55989110707803991</c:v>
                </c:pt>
                <c:pt idx="127">
                  <c:v>0.82758620689655149</c:v>
                </c:pt>
                <c:pt idx="128">
                  <c:v>0.59346642468239597</c:v>
                </c:pt>
                <c:pt idx="129">
                  <c:v>0.82577132486388383</c:v>
                </c:pt>
                <c:pt idx="130">
                  <c:v>0.93194192377495499</c:v>
                </c:pt>
                <c:pt idx="131">
                  <c:v>0.78130671506352067</c:v>
                </c:pt>
                <c:pt idx="132">
                  <c:v>0.56715063520871156</c:v>
                </c:pt>
                <c:pt idx="133">
                  <c:v>0.51088929219600654</c:v>
                </c:pt>
                <c:pt idx="134">
                  <c:v>0.67332123411978184</c:v>
                </c:pt>
                <c:pt idx="135">
                  <c:v>0.82486388384755005</c:v>
                </c:pt>
                <c:pt idx="136">
                  <c:v>0.6388384754990919</c:v>
                </c:pt>
                <c:pt idx="137">
                  <c:v>0.40471869328493637</c:v>
                </c:pt>
                <c:pt idx="138">
                  <c:v>0.45281306715063485</c:v>
                </c:pt>
                <c:pt idx="139">
                  <c:v>0.69782214156079847</c:v>
                </c:pt>
                <c:pt idx="140">
                  <c:v>0.36206896551724094</c:v>
                </c:pt>
                <c:pt idx="141">
                  <c:v>0.48275862068965453</c:v>
                </c:pt>
                <c:pt idx="142">
                  <c:v>0.48911070780399241</c:v>
                </c:pt>
                <c:pt idx="143">
                  <c:v>0.51814882032667831</c:v>
                </c:pt>
                <c:pt idx="144">
                  <c:v>0.17513611615245001</c:v>
                </c:pt>
                <c:pt idx="145">
                  <c:v>7.8039927404718185E-2</c:v>
                </c:pt>
                <c:pt idx="146">
                  <c:v>0.2304900181488202</c:v>
                </c:pt>
                <c:pt idx="147">
                  <c:v>0.5235934664246823</c:v>
                </c:pt>
                <c:pt idx="148">
                  <c:v>0.37205081669691414</c:v>
                </c:pt>
                <c:pt idx="149">
                  <c:v>2.3593466424681821E-2</c:v>
                </c:pt>
                <c:pt idx="150">
                  <c:v>0.37658802177858436</c:v>
                </c:pt>
                <c:pt idx="151">
                  <c:v>0.15245009074410101</c:v>
                </c:pt>
                <c:pt idx="152">
                  <c:v>0.22867513611615253</c:v>
                </c:pt>
                <c:pt idx="153">
                  <c:v>0.16787658802177829</c:v>
                </c:pt>
                <c:pt idx="154">
                  <c:v>0.27313974591651463</c:v>
                </c:pt>
                <c:pt idx="155">
                  <c:v>0.15607985480943737</c:v>
                </c:pt>
                <c:pt idx="156">
                  <c:v>0.46733212341197827</c:v>
                </c:pt>
                <c:pt idx="157">
                  <c:v>0</c:v>
                </c:pt>
                <c:pt idx="158">
                  <c:v>9.0744101633383862E-4</c:v>
                </c:pt>
                <c:pt idx="159">
                  <c:v>0.16515426497277677</c:v>
                </c:pt>
                <c:pt idx="160">
                  <c:v>0.31215970961887474</c:v>
                </c:pt>
                <c:pt idx="161">
                  <c:v>0.38294010889292124</c:v>
                </c:pt>
                <c:pt idx="162">
                  <c:v>0.30399274047186919</c:v>
                </c:pt>
                <c:pt idx="163">
                  <c:v>0.43284936479128838</c:v>
                </c:pt>
                <c:pt idx="164">
                  <c:v>0.43284936479128838</c:v>
                </c:pt>
                <c:pt idx="165">
                  <c:v>0.64609800362976366</c:v>
                </c:pt>
                <c:pt idx="166">
                  <c:v>0.3457350272232298</c:v>
                </c:pt>
                <c:pt idx="167">
                  <c:v>0.32849364791288588</c:v>
                </c:pt>
                <c:pt idx="168">
                  <c:v>0.19056261343012626</c:v>
                </c:pt>
                <c:pt idx="169">
                  <c:v>0.25226860254083433</c:v>
                </c:pt>
                <c:pt idx="170">
                  <c:v>9.8003629764064654E-2</c:v>
                </c:pt>
                <c:pt idx="171">
                  <c:v>0.33938294010889292</c:v>
                </c:pt>
                <c:pt idx="172">
                  <c:v>0.30671506352087069</c:v>
                </c:pt>
                <c:pt idx="173">
                  <c:v>0.26678765880217775</c:v>
                </c:pt>
                <c:pt idx="174">
                  <c:v>1.6333938294010104E-2</c:v>
                </c:pt>
                <c:pt idx="175">
                  <c:v>0.46188747731397423</c:v>
                </c:pt>
                <c:pt idx="176">
                  <c:v>0.248638838475499</c:v>
                </c:pt>
                <c:pt idx="177">
                  <c:v>0.22504537205081615</c:v>
                </c:pt>
                <c:pt idx="178">
                  <c:v>0.35571687840290406</c:v>
                </c:pt>
                <c:pt idx="179">
                  <c:v>0.33756805807622525</c:v>
                </c:pt>
                <c:pt idx="180">
                  <c:v>0.43466424682395605</c:v>
                </c:pt>
                <c:pt idx="181">
                  <c:v>0.56715063520871156</c:v>
                </c:pt>
                <c:pt idx="182">
                  <c:v>0.45190562613430102</c:v>
                </c:pt>
                <c:pt idx="183">
                  <c:v>0.44827586206896564</c:v>
                </c:pt>
                <c:pt idx="184">
                  <c:v>0.41742286751361113</c:v>
                </c:pt>
                <c:pt idx="185">
                  <c:v>0.10617059891107021</c:v>
                </c:pt>
                <c:pt idx="186">
                  <c:v>0.10617059891107021</c:v>
                </c:pt>
                <c:pt idx="187">
                  <c:v>0.26406533575317626</c:v>
                </c:pt>
                <c:pt idx="188">
                  <c:v>0.46551724137931061</c:v>
                </c:pt>
                <c:pt idx="189">
                  <c:v>0.51451905626134298</c:v>
                </c:pt>
                <c:pt idx="190">
                  <c:v>0.28039927404718634</c:v>
                </c:pt>
                <c:pt idx="191">
                  <c:v>0.4373865698729576</c:v>
                </c:pt>
                <c:pt idx="192">
                  <c:v>0.64791288566243133</c:v>
                </c:pt>
                <c:pt idx="193">
                  <c:v>0.15880217785843889</c:v>
                </c:pt>
                <c:pt idx="194">
                  <c:v>0.50635208711433732</c:v>
                </c:pt>
                <c:pt idx="195">
                  <c:v>0.7068965517241379</c:v>
                </c:pt>
                <c:pt idx="196">
                  <c:v>0.63974591651542678</c:v>
                </c:pt>
                <c:pt idx="197">
                  <c:v>0.69691470054446469</c:v>
                </c:pt>
                <c:pt idx="198">
                  <c:v>0.36297640653357477</c:v>
                </c:pt>
                <c:pt idx="199">
                  <c:v>0.8012704174228672</c:v>
                </c:pt>
                <c:pt idx="200">
                  <c:v>0.4791288566243192</c:v>
                </c:pt>
                <c:pt idx="201">
                  <c:v>0.81306715063520907</c:v>
                </c:pt>
                <c:pt idx="202">
                  <c:v>0.54355716878402882</c:v>
                </c:pt>
                <c:pt idx="203">
                  <c:v>0.71960072595281266</c:v>
                </c:pt>
                <c:pt idx="204">
                  <c:v>0.44101633393829393</c:v>
                </c:pt>
                <c:pt idx="205">
                  <c:v>0.63702359346642423</c:v>
                </c:pt>
                <c:pt idx="206">
                  <c:v>0.39019963702359295</c:v>
                </c:pt>
                <c:pt idx="207">
                  <c:v>0.7277676950998182</c:v>
                </c:pt>
                <c:pt idx="208">
                  <c:v>0.39927404718693232</c:v>
                </c:pt>
                <c:pt idx="209">
                  <c:v>0.54718693284936415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91B-4864-8CB2-D1E5BC127363}"/>
            </c:ext>
          </c:extLst>
        </c:ser>
        <c:ser>
          <c:idx val="3"/>
          <c:order val="3"/>
          <c:tx>
            <c:strRef>
              <c:f>feature_scaling!$Z$1</c:f>
              <c:strCache>
                <c:ptCount val="1"/>
                <c:pt idx="0">
                  <c:v>f4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feature_scaling!$V$2:$V$211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feature_scaling!$Z$2:$Z$211</c:f>
              <c:numCache>
                <c:formatCode>0.00000</c:formatCode>
                <c:ptCount val="210"/>
                <c:pt idx="0">
                  <c:v>0.48648648648648646</c:v>
                </c:pt>
                <c:pt idx="1">
                  <c:v>0.36880630630630651</c:v>
                </c:pt>
                <c:pt idx="2">
                  <c:v>0.22072072072072094</c:v>
                </c:pt>
                <c:pt idx="3">
                  <c:v>0.23930180180180172</c:v>
                </c:pt>
                <c:pt idx="4">
                  <c:v>0.42736486486486508</c:v>
                </c:pt>
                <c:pt idx="5">
                  <c:v>0.27421171171171183</c:v>
                </c:pt>
                <c:pt idx="6">
                  <c:v>0.37387387387387377</c:v>
                </c:pt>
                <c:pt idx="7">
                  <c:v>0.29335585585585583</c:v>
                </c:pt>
                <c:pt idx="8">
                  <c:v>0.64977477477477485</c:v>
                </c:pt>
                <c:pt idx="9">
                  <c:v>0.55461711711711736</c:v>
                </c:pt>
                <c:pt idx="10">
                  <c:v>0.45889639639639668</c:v>
                </c:pt>
                <c:pt idx="11">
                  <c:v>0.30349099099099086</c:v>
                </c:pt>
                <c:pt idx="12">
                  <c:v>0.30405405405405411</c:v>
                </c:pt>
                <c:pt idx="13">
                  <c:v>0.32657657657657663</c:v>
                </c:pt>
                <c:pt idx="14">
                  <c:v>0.32826576576576588</c:v>
                </c:pt>
                <c:pt idx="15">
                  <c:v>0.25450450450450451</c:v>
                </c:pt>
                <c:pt idx="16">
                  <c:v>0.12387387387387375</c:v>
                </c:pt>
                <c:pt idx="17">
                  <c:v>0.35360360360360371</c:v>
                </c:pt>
                <c:pt idx="18">
                  <c:v>0.17229729729729734</c:v>
                </c:pt>
                <c:pt idx="19">
                  <c:v>0.18412162162162163</c:v>
                </c:pt>
                <c:pt idx="20">
                  <c:v>0.42736486486486508</c:v>
                </c:pt>
                <c:pt idx="21">
                  <c:v>0.34966216216216195</c:v>
                </c:pt>
                <c:pt idx="22">
                  <c:v>0.40484234234234256</c:v>
                </c:pt>
                <c:pt idx="23">
                  <c:v>0.11261261261261273</c:v>
                </c:pt>
                <c:pt idx="24">
                  <c:v>0.50112612612612595</c:v>
                </c:pt>
                <c:pt idx="25">
                  <c:v>0.52590090090090102</c:v>
                </c:pt>
                <c:pt idx="26">
                  <c:v>0.27927927927927904</c:v>
                </c:pt>
                <c:pt idx="27">
                  <c:v>0.27927927927927904</c:v>
                </c:pt>
                <c:pt idx="28">
                  <c:v>0.36148648648648674</c:v>
                </c:pt>
                <c:pt idx="29">
                  <c:v>0.34740990990990994</c:v>
                </c:pt>
                <c:pt idx="30">
                  <c:v>0.31249999999999989</c:v>
                </c:pt>
                <c:pt idx="31">
                  <c:v>0.48310810810810795</c:v>
                </c:pt>
                <c:pt idx="32">
                  <c:v>0.46058558558558543</c:v>
                </c:pt>
                <c:pt idx="33">
                  <c:v>0.38626126126126126</c:v>
                </c:pt>
                <c:pt idx="34">
                  <c:v>0.45777027027027017</c:v>
                </c:pt>
                <c:pt idx="35">
                  <c:v>0.45608108108108092</c:v>
                </c:pt>
                <c:pt idx="36">
                  <c:v>0.52195945945945932</c:v>
                </c:pt>
                <c:pt idx="37">
                  <c:v>0.52533783783783783</c:v>
                </c:pt>
                <c:pt idx="38">
                  <c:v>0.42623873873873858</c:v>
                </c:pt>
                <c:pt idx="39">
                  <c:v>0.28040540540540554</c:v>
                </c:pt>
                <c:pt idx="40">
                  <c:v>0.25281531531531526</c:v>
                </c:pt>
                <c:pt idx="41">
                  <c:v>0.25450450450450451</c:v>
                </c:pt>
                <c:pt idx="42">
                  <c:v>0.13457207207207203</c:v>
                </c:pt>
                <c:pt idx="43">
                  <c:v>0.55067567567567555</c:v>
                </c:pt>
                <c:pt idx="44">
                  <c:v>0.38288288288288275</c:v>
                </c:pt>
                <c:pt idx="45">
                  <c:v>0.26858108108108131</c:v>
                </c:pt>
                <c:pt idx="46">
                  <c:v>0.45157657657657641</c:v>
                </c:pt>
                <c:pt idx="47">
                  <c:v>0.37781531531531548</c:v>
                </c:pt>
                <c:pt idx="48">
                  <c:v>0.36373873873873874</c:v>
                </c:pt>
                <c:pt idx="49">
                  <c:v>0.43862612612612611</c:v>
                </c:pt>
                <c:pt idx="50">
                  <c:v>0.38626126126126126</c:v>
                </c:pt>
                <c:pt idx="51">
                  <c:v>0.43637387387387411</c:v>
                </c:pt>
                <c:pt idx="52">
                  <c:v>0.45945945945945943</c:v>
                </c:pt>
                <c:pt idx="53">
                  <c:v>0.34065315315315292</c:v>
                </c:pt>
                <c:pt idx="54">
                  <c:v>0.47409909909909898</c:v>
                </c:pt>
                <c:pt idx="55">
                  <c:v>0.45213963963963966</c:v>
                </c:pt>
                <c:pt idx="56">
                  <c:v>0.27533783783783777</c:v>
                </c:pt>
                <c:pt idx="57">
                  <c:v>0.27308558558558582</c:v>
                </c:pt>
                <c:pt idx="58">
                  <c:v>0.42961711711711709</c:v>
                </c:pt>
                <c:pt idx="59">
                  <c:v>0.14639639639639629</c:v>
                </c:pt>
                <c:pt idx="60">
                  <c:v>6.1373873873873871E-2</c:v>
                </c:pt>
                <c:pt idx="61">
                  <c:v>1.6891891891892535E-3</c:v>
                </c:pt>
                <c:pt idx="62">
                  <c:v>9.9662162162161949E-2</c:v>
                </c:pt>
                <c:pt idx="63">
                  <c:v>0.27927927927927904</c:v>
                </c:pt>
                <c:pt idx="64">
                  <c:v>0.20439189189189166</c:v>
                </c:pt>
                <c:pt idx="65">
                  <c:v>0.13513513513513528</c:v>
                </c:pt>
                <c:pt idx="66">
                  <c:v>0.41159909909909909</c:v>
                </c:pt>
                <c:pt idx="67">
                  <c:v>0.3997747747747748</c:v>
                </c:pt>
                <c:pt idx="68">
                  <c:v>0.37725225225225223</c:v>
                </c:pt>
                <c:pt idx="69">
                  <c:v>0.28885135135135132</c:v>
                </c:pt>
                <c:pt idx="70">
                  <c:v>0.72747747747747749</c:v>
                </c:pt>
                <c:pt idx="71">
                  <c:v>0.61880630630630651</c:v>
                </c:pt>
                <c:pt idx="72">
                  <c:v>0.60754504504504492</c:v>
                </c:pt>
                <c:pt idx="73">
                  <c:v>0.70664414414414412</c:v>
                </c:pt>
                <c:pt idx="74">
                  <c:v>0.62950450450450479</c:v>
                </c:pt>
                <c:pt idx="75">
                  <c:v>0.57882882882882869</c:v>
                </c:pt>
                <c:pt idx="76">
                  <c:v>0.65596846846846857</c:v>
                </c:pt>
                <c:pt idx="77">
                  <c:v>0.94594594594594594</c:v>
                </c:pt>
                <c:pt idx="78">
                  <c:v>0.87049549549549576</c:v>
                </c:pt>
                <c:pt idx="79">
                  <c:v>0.5354729729729728</c:v>
                </c:pt>
                <c:pt idx="80">
                  <c:v>0.5495495495495496</c:v>
                </c:pt>
                <c:pt idx="81">
                  <c:v>0.62331081081081097</c:v>
                </c:pt>
                <c:pt idx="82">
                  <c:v>0.78040540540540559</c:v>
                </c:pt>
                <c:pt idx="83">
                  <c:v>0.83614864864864891</c:v>
                </c:pt>
                <c:pt idx="84">
                  <c:v>0.82601351351351338</c:v>
                </c:pt>
                <c:pt idx="85">
                  <c:v>0.7173423423423424</c:v>
                </c:pt>
                <c:pt idx="86">
                  <c:v>0.6672297297297296</c:v>
                </c:pt>
                <c:pt idx="87">
                  <c:v>0.92905405405405439</c:v>
                </c:pt>
                <c:pt idx="88">
                  <c:v>0.94256756756756788</c:v>
                </c:pt>
                <c:pt idx="89">
                  <c:v>0.87331081081081097</c:v>
                </c:pt>
                <c:pt idx="90">
                  <c:v>0.94707207207207245</c:v>
                </c:pt>
                <c:pt idx="91">
                  <c:v>0.7167792792792792</c:v>
                </c:pt>
                <c:pt idx="92">
                  <c:v>0.77308558558558582</c:v>
                </c:pt>
                <c:pt idx="93">
                  <c:v>0.64076576576576583</c:v>
                </c:pt>
                <c:pt idx="94">
                  <c:v>0.99493243243243279</c:v>
                </c:pt>
                <c:pt idx="95">
                  <c:v>0.69819819819819839</c:v>
                </c:pt>
                <c:pt idx="96">
                  <c:v>0.81193693693693714</c:v>
                </c:pt>
                <c:pt idx="97">
                  <c:v>0.87274774774774777</c:v>
                </c:pt>
                <c:pt idx="98">
                  <c:v>0.77252252252252251</c:v>
                </c:pt>
                <c:pt idx="99">
                  <c:v>0.74324324324324353</c:v>
                </c:pt>
                <c:pt idx="100">
                  <c:v>0.46114864864864868</c:v>
                </c:pt>
                <c:pt idx="101">
                  <c:v>0.55799549549549532</c:v>
                </c:pt>
                <c:pt idx="102">
                  <c:v>0.68355855855855885</c:v>
                </c:pt>
                <c:pt idx="103">
                  <c:v>0.82770270270270263</c:v>
                </c:pt>
                <c:pt idx="104">
                  <c:v>0.75957207207207222</c:v>
                </c:pt>
                <c:pt idx="105">
                  <c:v>0.64076576576576583</c:v>
                </c:pt>
                <c:pt idx="106">
                  <c:v>0.70551801801801817</c:v>
                </c:pt>
                <c:pt idx="107">
                  <c:v>0.63851351351351382</c:v>
                </c:pt>
                <c:pt idx="108">
                  <c:v>1</c:v>
                </c:pt>
                <c:pt idx="109">
                  <c:v>0.70608108108108092</c:v>
                </c:pt>
                <c:pt idx="110">
                  <c:v>0.68018018018018034</c:v>
                </c:pt>
                <c:pt idx="111">
                  <c:v>0.79054054054054057</c:v>
                </c:pt>
                <c:pt idx="112">
                  <c:v>0.72297297297297292</c:v>
                </c:pt>
                <c:pt idx="113">
                  <c:v>0.76576576576576605</c:v>
                </c:pt>
                <c:pt idx="114">
                  <c:v>0.93693693693693691</c:v>
                </c:pt>
                <c:pt idx="115">
                  <c:v>0.85416666666666696</c:v>
                </c:pt>
                <c:pt idx="116">
                  <c:v>0.6486486486486488</c:v>
                </c:pt>
                <c:pt idx="117">
                  <c:v>0.75788288288288297</c:v>
                </c:pt>
                <c:pt idx="118">
                  <c:v>0.74774774774774799</c:v>
                </c:pt>
                <c:pt idx="119">
                  <c:v>0.89752252252252285</c:v>
                </c:pt>
                <c:pt idx="120">
                  <c:v>0.79729729729729759</c:v>
                </c:pt>
                <c:pt idx="121">
                  <c:v>0.65315315315315325</c:v>
                </c:pt>
                <c:pt idx="122">
                  <c:v>0.48592342342342321</c:v>
                </c:pt>
                <c:pt idx="123">
                  <c:v>0.60867117117117142</c:v>
                </c:pt>
                <c:pt idx="124">
                  <c:v>0.26126126126126153</c:v>
                </c:pt>
                <c:pt idx="125">
                  <c:v>0.68243243243243235</c:v>
                </c:pt>
                <c:pt idx="126">
                  <c:v>0.78040540540540559</c:v>
                </c:pt>
                <c:pt idx="127">
                  <c:v>0.60810810810810823</c:v>
                </c:pt>
                <c:pt idx="128">
                  <c:v>0.90878378378378377</c:v>
                </c:pt>
                <c:pt idx="129">
                  <c:v>0.50225225225225245</c:v>
                </c:pt>
                <c:pt idx="130">
                  <c:v>0.60810810810810823</c:v>
                </c:pt>
                <c:pt idx="131">
                  <c:v>0.7010135135135136</c:v>
                </c:pt>
                <c:pt idx="132">
                  <c:v>0.55461711711711736</c:v>
                </c:pt>
                <c:pt idx="133">
                  <c:v>0.5326576576576576</c:v>
                </c:pt>
                <c:pt idx="134">
                  <c:v>0.49380630630630623</c:v>
                </c:pt>
                <c:pt idx="135">
                  <c:v>0.32545045045045062</c:v>
                </c:pt>
                <c:pt idx="136">
                  <c:v>0.70157657657657635</c:v>
                </c:pt>
                <c:pt idx="137">
                  <c:v>0.57488738738738743</c:v>
                </c:pt>
                <c:pt idx="138">
                  <c:v>0.52533783783783783</c:v>
                </c:pt>
                <c:pt idx="139">
                  <c:v>0.54786036036036034</c:v>
                </c:pt>
                <c:pt idx="140">
                  <c:v>0.32263513513513542</c:v>
                </c:pt>
                <c:pt idx="141">
                  <c:v>0.36148648648648674</c:v>
                </c:pt>
                <c:pt idx="142">
                  <c:v>0.27590090090090102</c:v>
                </c:pt>
                <c:pt idx="143">
                  <c:v>0.18299549549549562</c:v>
                </c:pt>
                <c:pt idx="144">
                  <c:v>0.23367117117117123</c:v>
                </c:pt>
                <c:pt idx="145">
                  <c:v>0.21396396396396392</c:v>
                </c:pt>
                <c:pt idx="146">
                  <c:v>0.15596846846846857</c:v>
                </c:pt>
                <c:pt idx="147">
                  <c:v>0.20720720720720742</c:v>
                </c:pt>
                <c:pt idx="148">
                  <c:v>0.27421171171171183</c:v>
                </c:pt>
                <c:pt idx="149">
                  <c:v>0.23536036036036048</c:v>
                </c:pt>
                <c:pt idx="150">
                  <c:v>0.20495495495495492</c:v>
                </c:pt>
                <c:pt idx="151">
                  <c:v>0.28490990990991005</c:v>
                </c:pt>
                <c:pt idx="152">
                  <c:v>0.28659909909909931</c:v>
                </c:pt>
                <c:pt idx="153">
                  <c:v>0.18074324324324312</c:v>
                </c:pt>
                <c:pt idx="154">
                  <c:v>0.15540540540540532</c:v>
                </c:pt>
                <c:pt idx="155">
                  <c:v>0.19763513513513514</c:v>
                </c:pt>
                <c:pt idx="156">
                  <c:v>8.6711711711711673E-2</c:v>
                </c:pt>
                <c:pt idx="157">
                  <c:v>0.27871621621621628</c:v>
                </c:pt>
                <c:pt idx="158">
                  <c:v>0.30686936936936937</c:v>
                </c:pt>
                <c:pt idx="159">
                  <c:v>0.22804054054054071</c:v>
                </c:pt>
                <c:pt idx="160">
                  <c:v>0.31081081081081063</c:v>
                </c:pt>
                <c:pt idx="161">
                  <c:v>0.25394144144144126</c:v>
                </c:pt>
                <c:pt idx="162">
                  <c:v>0.20720720720720742</c:v>
                </c:pt>
                <c:pt idx="163">
                  <c:v>0.24436936936936948</c:v>
                </c:pt>
                <c:pt idx="164">
                  <c:v>6.3063063063063127E-2</c:v>
                </c:pt>
                <c:pt idx="165">
                  <c:v>0.11599099099099124</c:v>
                </c:pt>
                <c:pt idx="166">
                  <c:v>0.23648648648648649</c:v>
                </c:pt>
                <c:pt idx="167">
                  <c:v>0.29166666666666657</c:v>
                </c:pt>
                <c:pt idx="168">
                  <c:v>0.15596846846846857</c:v>
                </c:pt>
                <c:pt idx="169">
                  <c:v>0.10754504504504496</c:v>
                </c:pt>
                <c:pt idx="170">
                  <c:v>0.23986486486486497</c:v>
                </c:pt>
                <c:pt idx="171">
                  <c:v>0.1509009009009008</c:v>
                </c:pt>
                <c:pt idx="172">
                  <c:v>0.10641891891891896</c:v>
                </c:pt>
                <c:pt idx="173">
                  <c:v>0.13344594594594603</c:v>
                </c:pt>
                <c:pt idx="174">
                  <c:v>0.21340090090090066</c:v>
                </c:pt>
                <c:pt idx="175">
                  <c:v>4.6171171171171095E-2</c:v>
                </c:pt>
                <c:pt idx="176">
                  <c:v>0.16159909909909909</c:v>
                </c:pt>
                <c:pt idx="177">
                  <c:v>0.13851351351351326</c:v>
                </c:pt>
                <c:pt idx="178">
                  <c:v>0.15822072072072058</c:v>
                </c:pt>
                <c:pt idx="179">
                  <c:v>0.25788288288288302</c:v>
                </c:pt>
                <c:pt idx="180">
                  <c:v>0.10754504504504496</c:v>
                </c:pt>
                <c:pt idx="181">
                  <c:v>0.18975225225225212</c:v>
                </c:pt>
                <c:pt idx="182">
                  <c:v>0.19200450450450463</c:v>
                </c:pt>
                <c:pt idx="183">
                  <c:v>0.11768018018017999</c:v>
                </c:pt>
                <c:pt idx="184">
                  <c:v>0.33558558558558566</c:v>
                </c:pt>
                <c:pt idx="185">
                  <c:v>0.26126126126126153</c:v>
                </c:pt>
                <c:pt idx="186">
                  <c:v>0.28941441441441457</c:v>
                </c:pt>
                <c:pt idx="187">
                  <c:v>0.10641891891891896</c:v>
                </c:pt>
                <c:pt idx="188">
                  <c:v>0.10698198198198221</c:v>
                </c:pt>
                <c:pt idx="189">
                  <c:v>0</c:v>
                </c:pt>
                <c:pt idx="190">
                  <c:v>8.277027027027041E-2</c:v>
                </c:pt>
                <c:pt idx="191">
                  <c:v>0.10810810810810821</c:v>
                </c:pt>
                <c:pt idx="192">
                  <c:v>0.13119369369369352</c:v>
                </c:pt>
                <c:pt idx="193">
                  <c:v>0.15822072072072058</c:v>
                </c:pt>
                <c:pt idx="194">
                  <c:v>0.18975225225225212</c:v>
                </c:pt>
                <c:pt idx="195">
                  <c:v>0.14695945945945954</c:v>
                </c:pt>
                <c:pt idx="196">
                  <c:v>0.18299549549549562</c:v>
                </c:pt>
                <c:pt idx="197">
                  <c:v>0.23704954954954974</c:v>
                </c:pt>
                <c:pt idx="198">
                  <c:v>0.28772522522522531</c:v>
                </c:pt>
                <c:pt idx="199">
                  <c:v>9.7972972972973194E-2</c:v>
                </c:pt>
                <c:pt idx="200">
                  <c:v>0.18018018018018037</c:v>
                </c:pt>
                <c:pt idx="201">
                  <c:v>4.7860360360360343E-2</c:v>
                </c:pt>
                <c:pt idx="202">
                  <c:v>6.1936936936937123E-2</c:v>
                </c:pt>
                <c:pt idx="203">
                  <c:v>0.15990990990990983</c:v>
                </c:pt>
                <c:pt idx="204">
                  <c:v>0.17173423423423409</c:v>
                </c:pt>
                <c:pt idx="205">
                  <c:v>0.13400900900900878</c:v>
                </c:pt>
                <c:pt idx="206">
                  <c:v>0.13569819819819803</c:v>
                </c:pt>
                <c:pt idx="207">
                  <c:v>0.18975225225225212</c:v>
                </c:pt>
                <c:pt idx="208">
                  <c:v>0.15540540540540532</c:v>
                </c:pt>
                <c:pt idx="209">
                  <c:v>0.19369369369369388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91B-4864-8CB2-D1E5BC127363}"/>
            </c:ext>
          </c:extLst>
        </c:ser>
        <c:ser>
          <c:idx val="4"/>
          <c:order val="4"/>
          <c:tx>
            <c:strRef>
              <c:f>feature_scaling!$AA$1</c:f>
              <c:strCache>
                <c:ptCount val="1"/>
                <c:pt idx="0">
                  <c:v>f5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feature_scaling!$V$2:$V$211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feature_scaling!$AA$2:$AA$211</c:f>
              <c:numCache>
                <c:formatCode>0.00000</c:formatCode>
                <c:ptCount val="210"/>
                <c:pt idx="0">
                  <c:v>0.48610121168923714</c:v>
                </c:pt>
                <c:pt idx="1">
                  <c:v>0.50106913756236637</c:v>
                </c:pt>
                <c:pt idx="2">
                  <c:v>0.50392017106201004</c:v>
                </c:pt>
                <c:pt idx="3">
                  <c:v>0.53385602280826794</c:v>
                </c:pt>
                <c:pt idx="4">
                  <c:v>0.66429080541696339</c:v>
                </c:pt>
                <c:pt idx="5">
                  <c:v>0.48610121168923714</c:v>
                </c:pt>
                <c:pt idx="6">
                  <c:v>0.44832501781895923</c:v>
                </c:pt>
                <c:pt idx="7">
                  <c:v>0.47897362794012827</c:v>
                </c:pt>
                <c:pt idx="8">
                  <c:v>0.59515324305060557</c:v>
                </c:pt>
                <c:pt idx="9">
                  <c:v>0.62366357804704187</c:v>
                </c:pt>
                <c:pt idx="10">
                  <c:v>0.43620812544547388</c:v>
                </c:pt>
                <c:pt idx="11">
                  <c:v>0.40698503207412684</c:v>
                </c:pt>
                <c:pt idx="12">
                  <c:v>0.4055595153243049</c:v>
                </c:pt>
                <c:pt idx="13">
                  <c:v>0.37491090520313619</c:v>
                </c:pt>
                <c:pt idx="14">
                  <c:v>0.34497505345687801</c:v>
                </c:pt>
                <c:pt idx="15">
                  <c:v>0.50106913756236637</c:v>
                </c:pt>
                <c:pt idx="16">
                  <c:v>0.53670705630791149</c:v>
                </c:pt>
                <c:pt idx="17">
                  <c:v>0.63007840342123989</c:v>
                </c:pt>
                <c:pt idx="18">
                  <c:v>0.59586600142551671</c:v>
                </c:pt>
                <c:pt idx="19">
                  <c:v>0.29864575908766922</c:v>
                </c:pt>
                <c:pt idx="20">
                  <c:v>0.35566642908054164</c:v>
                </c:pt>
                <c:pt idx="21">
                  <c:v>0.38346400570206707</c:v>
                </c:pt>
                <c:pt idx="22">
                  <c:v>0.62508909479686381</c:v>
                </c:pt>
                <c:pt idx="23">
                  <c:v>0.21810406272273694</c:v>
                </c:pt>
                <c:pt idx="24">
                  <c:v>0.43834640057020668</c:v>
                </c:pt>
                <c:pt idx="25">
                  <c:v>0.56379187455452573</c:v>
                </c:pt>
                <c:pt idx="26">
                  <c:v>0.28225231646471832</c:v>
                </c:pt>
                <c:pt idx="27">
                  <c:v>0.23235923022095506</c:v>
                </c:pt>
                <c:pt idx="28">
                  <c:v>0.42124019957234499</c:v>
                </c:pt>
                <c:pt idx="29">
                  <c:v>0.3100498930862437</c:v>
                </c:pt>
                <c:pt idx="30">
                  <c:v>0.24590163934426235</c:v>
                </c:pt>
                <c:pt idx="31">
                  <c:v>0.52815395580898061</c:v>
                </c:pt>
                <c:pt idx="32">
                  <c:v>0.39629365645046322</c:v>
                </c:pt>
                <c:pt idx="33">
                  <c:v>0.37063435495367059</c:v>
                </c:pt>
                <c:pt idx="34">
                  <c:v>0.49750534568781163</c:v>
                </c:pt>
                <c:pt idx="35">
                  <c:v>0.60940841054882378</c:v>
                </c:pt>
                <c:pt idx="36">
                  <c:v>0.59444048467569477</c:v>
                </c:pt>
                <c:pt idx="37">
                  <c:v>0.75053456878118285</c:v>
                </c:pt>
                <c:pt idx="38">
                  <c:v>0.46899501069137539</c:v>
                </c:pt>
                <c:pt idx="39">
                  <c:v>0.4761225944404846</c:v>
                </c:pt>
                <c:pt idx="40">
                  <c:v>0.37491090520313619</c:v>
                </c:pt>
                <c:pt idx="41">
                  <c:v>0.37633642195295786</c:v>
                </c:pt>
                <c:pt idx="42">
                  <c:v>0.40698503207412684</c:v>
                </c:pt>
                <c:pt idx="43">
                  <c:v>0.54597291518175317</c:v>
                </c:pt>
                <c:pt idx="44">
                  <c:v>0.59301496792587316</c:v>
                </c:pt>
                <c:pt idx="45">
                  <c:v>0.37419814682822505</c:v>
                </c:pt>
                <c:pt idx="46">
                  <c:v>0.54383464005702042</c:v>
                </c:pt>
                <c:pt idx="47">
                  <c:v>0.53243050605844588</c:v>
                </c:pt>
                <c:pt idx="48">
                  <c:v>0.47113328581610819</c:v>
                </c:pt>
                <c:pt idx="49">
                  <c:v>0.44761225944404842</c:v>
                </c:pt>
                <c:pt idx="50">
                  <c:v>0.45759087669280091</c:v>
                </c:pt>
                <c:pt idx="51">
                  <c:v>0.57305773342836774</c:v>
                </c:pt>
                <c:pt idx="52">
                  <c:v>0.34426229508196715</c:v>
                </c:pt>
                <c:pt idx="53">
                  <c:v>0.4055595153243049</c:v>
                </c:pt>
                <c:pt idx="54">
                  <c:v>0.34426229508196715</c:v>
                </c:pt>
                <c:pt idx="55">
                  <c:v>0.41482537419814691</c:v>
                </c:pt>
                <c:pt idx="56">
                  <c:v>0.53243050605844588</c:v>
                </c:pt>
                <c:pt idx="57">
                  <c:v>0.55737704918032771</c:v>
                </c:pt>
                <c:pt idx="58">
                  <c:v>0.56236635780470412</c:v>
                </c:pt>
                <c:pt idx="59">
                  <c:v>0.28652886671418387</c:v>
                </c:pt>
                <c:pt idx="60">
                  <c:v>0.15680684248039922</c:v>
                </c:pt>
                <c:pt idx="61">
                  <c:v>0.17747683535281542</c:v>
                </c:pt>
                <c:pt idx="62">
                  <c:v>0.29365645046329281</c:v>
                </c:pt>
                <c:pt idx="63">
                  <c:v>0.31361368496079817</c:v>
                </c:pt>
                <c:pt idx="64">
                  <c:v>0.28225231646471832</c:v>
                </c:pt>
                <c:pt idx="65">
                  <c:v>0.34853884533143276</c:v>
                </c:pt>
                <c:pt idx="66">
                  <c:v>0.39914468995010682</c:v>
                </c:pt>
                <c:pt idx="67">
                  <c:v>0.37633642195295786</c:v>
                </c:pt>
                <c:pt idx="68">
                  <c:v>0.37277263007840339</c:v>
                </c:pt>
                <c:pt idx="69">
                  <c:v>0.17961511047754822</c:v>
                </c:pt>
                <c:pt idx="70">
                  <c:v>0.66357804704205259</c:v>
                </c:pt>
                <c:pt idx="71">
                  <c:v>0.60869565217391286</c:v>
                </c:pt>
                <c:pt idx="72">
                  <c:v>0.68709907341411236</c:v>
                </c:pt>
                <c:pt idx="73">
                  <c:v>0.92658588738417669</c:v>
                </c:pt>
                <c:pt idx="74">
                  <c:v>0.61012116892373491</c:v>
                </c:pt>
                <c:pt idx="75">
                  <c:v>0.57590876692801141</c:v>
                </c:pt>
                <c:pt idx="76">
                  <c:v>0.55096222380612958</c:v>
                </c:pt>
                <c:pt idx="77">
                  <c:v>0.84390591589451158</c:v>
                </c:pt>
                <c:pt idx="78">
                  <c:v>0.71917320028510301</c:v>
                </c:pt>
                <c:pt idx="79">
                  <c:v>0.66714183891660706</c:v>
                </c:pt>
                <c:pt idx="80">
                  <c:v>0.59657875980042763</c:v>
                </c:pt>
                <c:pt idx="81">
                  <c:v>0.87455452601568062</c:v>
                </c:pt>
                <c:pt idx="82">
                  <c:v>0.8795438346400567</c:v>
                </c:pt>
                <c:pt idx="83">
                  <c:v>0.81397006414825335</c:v>
                </c:pt>
                <c:pt idx="84">
                  <c:v>0.8346400570206699</c:v>
                </c:pt>
                <c:pt idx="85">
                  <c:v>0.72772630078403389</c:v>
                </c:pt>
                <c:pt idx="86">
                  <c:v>0.80826799714896613</c:v>
                </c:pt>
                <c:pt idx="87">
                  <c:v>0.74126870990734117</c:v>
                </c:pt>
                <c:pt idx="88">
                  <c:v>1</c:v>
                </c:pt>
                <c:pt idx="89">
                  <c:v>0.99928724162508886</c:v>
                </c:pt>
                <c:pt idx="90">
                  <c:v>0.82323592302209536</c:v>
                </c:pt>
                <c:pt idx="91">
                  <c:v>0.8310762651461151</c:v>
                </c:pt>
                <c:pt idx="92">
                  <c:v>0.75766215253029212</c:v>
                </c:pt>
                <c:pt idx="93">
                  <c:v>0.87669280114041315</c:v>
                </c:pt>
                <c:pt idx="94">
                  <c:v>0.60940841054882378</c:v>
                </c:pt>
                <c:pt idx="95">
                  <c:v>0.59372772630078396</c:v>
                </c:pt>
                <c:pt idx="96">
                  <c:v>0.84105488239486792</c:v>
                </c:pt>
                <c:pt idx="97">
                  <c:v>0.65716322166785446</c:v>
                </c:pt>
                <c:pt idx="98">
                  <c:v>0.62865288667141828</c:v>
                </c:pt>
                <c:pt idx="99">
                  <c:v>0.75124732715609399</c:v>
                </c:pt>
                <c:pt idx="100">
                  <c:v>0.63791874554525996</c:v>
                </c:pt>
                <c:pt idx="101">
                  <c:v>0.75837491090520293</c:v>
                </c:pt>
                <c:pt idx="102">
                  <c:v>0.89950106913756211</c:v>
                </c:pt>
                <c:pt idx="103">
                  <c:v>0.74910905203136124</c:v>
                </c:pt>
                <c:pt idx="104">
                  <c:v>0.80185317177476811</c:v>
                </c:pt>
                <c:pt idx="105">
                  <c:v>0.82394868139700628</c:v>
                </c:pt>
                <c:pt idx="106">
                  <c:v>0.83820384889522437</c:v>
                </c:pt>
                <c:pt idx="107">
                  <c:v>0.67213114754098346</c:v>
                </c:pt>
                <c:pt idx="108">
                  <c:v>0.80755523877405533</c:v>
                </c:pt>
                <c:pt idx="109">
                  <c:v>0.74411974340698483</c:v>
                </c:pt>
                <c:pt idx="110">
                  <c:v>0.81183178902352093</c:v>
                </c:pt>
                <c:pt idx="111">
                  <c:v>0.82751247327156063</c:v>
                </c:pt>
                <c:pt idx="112">
                  <c:v>0.90662865288667127</c:v>
                </c:pt>
                <c:pt idx="113">
                  <c:v>0.78902352102637197</c:v>
                </c:pt>
                <c:pt idx="114">
                  <c:v>0.97006414825374176</c:v>
                </c:pt>
                <c:pt idx="115">
                  <c:v>0.77619387027797548</c:v>
                </c:pt>
                <c:pt idx="116">
                  <c:v>0.90306486101211647</c:v>
                </c:pt>
                <c:pt idx="117">
                  <c:v>0.84461867426942239</c:v>
                </c:pt>
                <c:pt idx="118">
                  <c:v>0.81183178902352093</c:v>
                </c:pt>
                <c:pt idx="119">
                  <c:v>0.87455452601568062</c:v>
                </c:pt>
                <c:pt idx="120">
                  <c:v>0.94939415538132566</c:v>
                </c:pt>
                <c:pt idx="121">
                  <c:v>0.66500356379187453</c:v>
                </c:pt>
                <c:pt idx="122">
                  <c:v>0.53955808980755515</c:v>
                </c:pt>
                <c:pt idx="123">
                  <c:v>0.81325730577334254</c:v>
                </c:pt>
                <c:pt idx="124">
                  <c:v>0.67854597291518148</c:v>
                </c:pt>
                <c:pt idx="125">
                  <c:v>0.8831076265146115</c:v>
                </c:pt>
                <c:pt idx="126">
                  <c:v>0.68709907341411236</c:v>
                </c:pt>
                <c:pt idx="127">
                  <c:v>0.75338560228082652</c:v>
                </c:pt>
                <c:pt idx="128">
                  <c:v>0.8146828225231646</c:v>
                </c:pt>
                <c:pt idx="129">
                  <c:v>0.75552387740555926</c:v>
                </c:pt>
                <c:pt idx="130">
                  <c:v>0.80185317177476811</c:v>
                </c:pt>
                <c:pt idx="131">
                  <c:v>0.85174625801853165</c:v>
                </c:pt>
                <c:pt idx="132">
                  <c:v>0.4547398431931573</c:v>
                </c:pt>
                <c:pt idx="133">
                  <c:v>0.54526015680684237</c:v>
                </c:pt>
                <c:pt idx="134">
                  <c:v>0.55452601568068405</c:v>
                </c:pt>
                <c:pt idx="135">
                  <c:v>0.59515324305060557</c:v>
                </c:pt>
                <c:pt idx="136">
                  <c:v>0.67284390591589427</c:v>
                </c:pt>
                <c:pt idx="137">
                  <c:v>0.42836778332145387</c:v>
                </c:pt>
                <c:pt idx="138">
                  <c:v>0.46756949394155378</c:v>
                </c:pt>
                <c:pt idx="139">
                  <c:v>0.60014255167498198</c:v>
                </c:pt>
                <c:pt idx="140">
                  <c:v>0.25944404846756963</c:v>
                </c:pt>
                <c:pt idx="141">
                  <c:v>0.31575196008553097</c:v>
                </c:pt>
                <c:pt idx="142">
                  <c:v>0.31646471846044177</c:v>
                </c:pt>
                <c:pt idx="143">
                  <c:v>0.2401995723449751</c:v>
                </c:pt>
                <c:pt idx="144">
                  <c:v>0.1047754811119032</c:v>
                </c:pt>
                <c:pt idx="145">
                  <c:v>4.062722736992154E-2</c:v>
                </c:pt>
                <c:pt idx="146">
                  <c:v>6.3435495367070521E-2</c:v>
                </c:pt>
                <c:pt idx="147">
                  <c:v>0.2401995723449751</c:v>
                </c:pt>
                <c:pt idx="148">
                  <c:v>0.20028510334996438</c:v>
                </c:pt>
                <c:pt idx="149">
                  <c:v>1.2829650748396459E-2</c:v>
                </c:pt>
                <c:pt idx="150">
                  <c:v>0.14967925873129001</c:v>
                </c:pt>
                <c:pt idx="151">
                  <c:v>0.10406272273699206</c:v>
                </c:pt>
                <c:pt idx="152">
                  <c:v>0.14468995010691391</c:v>
                </c:pt>
                <c:pt idx="153">
                  <c:v>4.4903777619387131E-2</c:v>
                </c:pt>
                <c:pt idx="154">
                  <c:v>8.9094796863863124E-2</c:v>
                </c:pt>
                <c:pt idx="155">
                  <c:v>3.207412687099067E-2</c:v>
                </c:pt>
                <c:pt idx="156">
                  <c:v>0.15609408410548842</c:v>
                </c:pt>
                <c:pt idx="157">
                  <c:v>8.1967213114754217E-2</c:v>
                </c:pt>
                <c:pt idx="158">
                  <c:v>3.4212401995723465E-2</c:v>
                </c:pt>
                <c:pt idx="159">
                  <c:v>4.6329294369208782E-2</c:v>
                </c:pt>
                <c:pt idx="160">
                  <c:v>0.17747683535281542</c:v>
                </c:pt>
                <c:pt idx="161">
                  <c:v>0.12829650748396301</c:v>
                </c:pt>
                <c:pt idx="162">
                  <c:v>0.15466856735566645</c:v>
                </c:pt>
                <c:pt idx="163">
                  <c:v>0.24091233071988594</c:v>
                </c:pt>
                <c:pt idx="164">
                  <c:v>0.11689237348538851</c:v>
                </c:pt>
                <c:pt idx="165">
                  <c:v>0.22166785459729141</c:v>
                </c:pt>
                <c:pt idx="166">
                  <c:v>0.19030648610121156</c:v>
                </c:pt>
                <c:pt idx="167">
                  <c:v>0.14754098360655754</c:v>
                </c:pt>
                <c:pt idx="168">
                  <c:v>2.7084818246614573E-2</c:v>
                </c:pt>
                <c:pt idx="169">
                  <c:v>6.0584461867426893E-2</c:v>
                </c:pt>
                <c:pt idx="170">
                  <c:v>5.060584461867438E-2</c:v>
                </c:pt>
                <c:pt idx="171">
                  <c:v>0.15324305060584478</c:v>
                </c:pt>
                <c:pt idx="172">
                  <c:v>9.4796863863150366E-2</c:v>
                </c:pt>
                <c:pt idx="173">
                  <c:v>9.4796863863150366E-2</c:v>
                </c:pt>
                <c:pt idx="174">
                  <c:v>7.8403421240200409E-3</c:v>
                </c:pt>
                <c:pt idx="175">
                  <c:v>0.13613684960798306</c:v>
                </c:pt>
                <c:pt idx="176">
                  <c:v>5.7020669992872447E-2</c:v>
                </c:pt>
                <c:pt idx="177">
                  <c:v>8.5531004989308664E-3</c:v>
                </c:pt>
                <c:pt idx="178">
                  <c:v>9.1233071988595912E-2</c:v>
                </c:pt>
                <c:pt idx="179">
                  <c:v>0.18745545260156793</c:v>
                </c:pt>
                <c:pt idx="180">
                  <c:v>0.10334996436208123</c:v>
                </c:pt>
                <c:pt idx="181">
                  <c:v>0.27583749109052025</c:v>
                </c:pt>
                <c:pt idx="182">
                  <c:v>0.19885958660014241</c:v>
                </c:pt>
                <c:pt idx="183">
                  <c:v>0.15680684248039922</c:v>
                </c:pt>
                <c:pt idx="184">
                  <c:v>0.28225231646471832</c:v>
                </c:pt>
                <c:pt idx="185">
                  <c:v>3.7776193870277919E-2</c:v>
                </c:pt>
                <c:pt idx="186">
                  <c:v>6.1297220242338038E-2</c:v>
                </c:pt>
                <c:pt idx="187">
                  <c:v>3.207412687099067E-2</c:v>
                </c:pt>
                <c:pt idx="188">
                  <c:v>0.13613684960798306</c:v>
                </c:pt>
                <c:pt idx="189">
                  <c:v>0.11190306486101211</c:v>
                </c:pt>
                <c:pt idx="190">
                  <c:v>6.2009978617248863E-2</c:v>
                </c:pt>
                <c:pt idx="191">
                  <c:v>0.12401995723449742</c:v>
                </c:pt>
                <c:pt idx="192">
                  <c:v>0.23022095509622226</c:v>
                </c:pt>
                <c:pt idx="193">
                  <c:v>0</c:v>
                </c:pt>
                <c:pt idx="194">
                  <c:v>0.24590163934426235</c:v>
                </c:pt>
                <c:pt idx="195">
                  <c:v>0.35352815395580883</c:v>
                </c:pt>
                <c:pt idx="196">
                  <c:v>0.30220955096222368</c:v>
                </c:pt>
                <c:pt idx="197">
                  <c:v>0.35495367070563083</c:v>
                </c:pt>
                <c:pt idx="198">
                  <c:v>0.20028510334996438</c:v>
                </c:pt>
                <c:pt idx="199">
                  <c:v>0.37419814682822505</c:v>
                </c:pt>
                <c:pt idx="200">
                  <c:v>0.25588025659301489</c:v>
                </c:pt>
                <c:pt idx="201">
                  <c:v>0.35994297933000691</c:v>
                </c:pt>
                <c:pt idx="202">
                  <c:v>0.12829650748396301</c:v>
                </c:pt>
                <c:pt idx="203">
                  <c:v>0.3285816108339274</c:v>
                </c:pt>
                <c:pt idx="204">
                  <c:v>0.23521026372059869</c:v>
                </c:pt>
                <c:pt idx="205">
                  <c:v>0.25017818959372762</c:v>
                </c:pt>
                <c:pt idx="206">
                  <c:v>0.11760513186029935</c:v>
                </c:pt>
                <c:pt idx="207">
                  <c:v>0.429080541696365</c:v>
                </c:pt>
                <c:pt idx="208">
                  <c:v>0.1468282252316464</c:v>
                </c:pt>
                <c:pt idx="209">
                  <c:v>0.24518888096935151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891B-4864-8CB2-D1E5BC127363}"/>
            </c:ext>
          </c:extLst>
        </c:ser>
        <c:ser>
          <c:idx val="5"/>
          <c:order val="5"/>
          <c:tx>
            <c:strRef>
              <c:f>feature_scaling!$AB$1</c:f>
              <c:strCache>
                <c:ptCount val="1"/>
                <c:pt idx="0">
                  <c:v>f6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feature_scaling!$V$2:$V$211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feature_scaling!$AB$2:$AB$211</c:f>
              <c:numCache>
                <c:formatCode>0.00000</c:formatCode>
                <c:ptCount val="210"/>
                <c:pt idx="0">
                  <c:v>0.18930164220052273</c:v>
                </c:pt>
                <c:pt idx="1">
                  <c:v>3.2883017592219378E-2</c:v>
                </c:pt>
                <c:pt idx="2">
                  <c:v>0.25145301590191005</c:v>
                </c:pt>
                <c:pt idx="3">
                  <c:v>0.19424254638598865</c:v>
                </c:pt>
                <c:pt idx="4">
                  <c:v>7.6701036289641006E-2</c:v>
                </c:pt>
                <c:pt idx="5">
                  <c:v>0.22063737663992516</c:v>
                </c:pt>
                <c:pt idx="6">
                  <c:v>0.36678412149423351</c:v>
                </c:pt>
                <c:pt idx="7">
                  <c:v>0.2515830396962645</c:v>
                </c:pt>
                <c:pt idx="8">
                  <c:v>0.16576733542238234</c:v>
                </c:pt>
                <c:pt idx="9">
                  <c:v>0.15653564602322226</c:v>
                </c:pt>
                <c:pt idx="10">
                  <c:v>0.49121689269136259</c:v>
                </c:pt>
                <c:pt idx="11">
                  <c:v>0.12376964984592183</c:v>
                </c:pt>
                <c:pt idx="12">
                  <c:v>0.41879363923598029</c:v>
                </c:pt>
                <c:pt idx="13">
                  <c:v>0.30827341403476843</c:v>
                </c:pt>
                <c:pt idx="14">
                  <c:v>0.28174855998647758</c:v>
                </c:pt>
                <c:pt idx="15">
                  <c:v>0.44466837431249917</c:v>
                </c:pt>
                <c:pt idx="16">
                  <c:v>0.58106333459023007</c:v>
                </c:pt>
                <c:pt idx="17">
                  <c:v>0.10842684211210653</c:v>
                </c:pt>
                <c:pt idx="18">
                  <c:v>0.13027083956364016</c:v>
                </c:pt>
                <c:pt idx="19">
                  <c:v>0.43387639938108685</c:v>
                </c:pt>
                <c:pt idx="20">
                  <c:v>0.29995189119608895</c:v>
                </c:pt>
                <c:pt idx="21">
                  <c:v>0.2500227541640121</c:v>
                </c:pt>
                <c:pt idx="22">
                  <c:v>0</c:v>
                </c:pt>
                <c:pt idx="23">
                  <c:v>8.4502463950903023E-2</c:v>
                </c:pt>
                <c:pt idx="24">
                  <c:v>0.13339141062814497</c:v>
                </c:pt>
                <c:pt idx="25">
                  <c:v>1.7930281241467193E-2</c:v>
                </c:pt>
                <c:pt idx="26">
                  <c:v>0.33908905329675337</c:v>
                </c:pt>
                <c:pt idx="27">
                  <c:v>0.22609837600280855</c:v>
                </c:pt>
                <c:pt idx="28">
                  <c:v>0.25860432459140026</c:v>
                </c:pt>
                <c:pt idx="29">
                  <c:v>0.35963281280474335</c:v>
                </c:pt>
                <c:pt idx="30">
                  <c:v>1.1702141491893013E-2</c:v>
                </c:pt>
                <c:pt idx="31">
                  <c:v>0.34415998127657366</c:v>
                </c:pt>
                <c:pt idx="32">
                  <c:v>0.41021206880859201</c:v>
                </c:pt>
                <c:pt idx="33">
                  <c:v>0.17668933414814916</c:v>
                </c:pt>
                <c:pt idx="34">
                  <c:v>0.17733945311992097</c:v>
                </c:pt>
                <c:pt idx="35">
                  <c:v>0.19567280812388671</c:v>
                </c:pt>
                <c:pt idx="36">
                  <c:v>0.26757596640185155</c:v>
                </c:pt>
                <c:pt idx="37">
                  <c:v>0.28486913105098238</c:v>
                </c:pt>
                <c:pt idx="38">
                  <c:v>0.30515284297026363</c:v>
                </c:pt>
                <c:pt idx="39">
                  <c:v>0.76972786019841632</c:v>
                </c:pt>
                <c:pt idx="40">
                  <c:v>0.23689035093422103</c:v>
                </c:pt>
                <c:pt idx="41">
                  <c:v>0.192942308442445</c:v>
                </c:pt>
                <c:pt idx="42">
                  <c:v>0.22050735284557077</c:v>
                </c:pt>
                <c:pt idx="43">
                  <c:v>0.51306089014289624</c:v>
                </c:pt>
                <c:pt idx="44">
                  <c:v>0.3072332236799335</c:v>
                </c:pt>
                <c:pt idx="45">
                  <c:v>0.10335591413228623</c:v>
                </c:pt>
                <c:pt idx="46">
                  <c:v>7.8261321821893409E-2</c:v>
                </c:pt>
                <c:pt idx="47">
                  <c:v>0.28512917863969112</c:v>
                </c:pt>
                <c:pt idx="48">
                  <c:v>0.25210313487368197</c:v>
                </c:pt>
                <c:pt idx="49">
                  <c:v>0.17733945311992097</c:v>
                </c:pt>
                <c:pt idx="50">
                  <c:v>0.41736337749808222</c:v>
                </c:pt>
                <c:pt idx="51">
                  <c:v>0.62774187676344773</c:v>
                </c:pt>
                <c:pt idx="52">
                  <c:v>0.43569673250204788</c:v>
                </c:pt>
                <c:pt idx="53">
                  <c:v>0.33323798255080683</c:v>
                </c:pt>
                <c:pt idx="54">
                  <c:v>9.3084034378291255E-2</c:v>
                </c:pt>
                <c:pt idx="55">
                  <c:v>0.15185478942646505</c:v>
                </c:pt>
                <c:pt idx="56">
                  <c:v>0.26484546672040987</c:v>
                </c:pt>
                <c:pt idx="57">
                  <c:v>4.9005968092160859E-2</c:v>
                </c:pt>
                <c:pt idx="58">
                  <c:v>0.16043635985385329</c:v>
                </c:pt>
                <c:pt idx="59">
                  <c:v>9.5814534059732948E-2</c:v>
                </c:pt>
                <c:pt idx="60">
                  <c:v>0.2515830396962645</c:v>
                </c:pt>
                <c:pt idx="61">
                  <c:v>0.19554278432953234</c:v>
                </c:pt>
                <c:pt idx="62">
                  <c:v>0.31919541276053526</c:v>
                </c:pt>
                <c:pt idx="63">
                  <c:v>0.44102770807057701</c:v>
                </c:pt>
                <c:pt idx="64">
                  <c:v>5.3426777100209336E-2</c:v>
                </c:pt>
                <c:pt idx="65">
                  <c:v>0.20633475926094477</c:v>
                </c:pt>
                <c:pt idx="66">
                  <c:v>7.1240036926757594E-2</c:v>
                </c:pt>
                <c:pt idx="67">
                  <c:v>0.18878154702310526</c:v>
                </c:pt>
                <c:pt idx="68">
                  <c:v>9.087362987426699E-2</c:v>
                </c:pt>
                <c:pt idx="69">
                  <c:v>0.35989286039345203</c:v>
                </c:pt>
                <c:pt idx="70">
                  <c:v>0.4304957807278732</c:v>
                </c:pt>
                <c:pt idx="71">
                  <c:v>0.50838003354613903</c:v>
                </c:pt>
                <c:pt idx="72">
                  <c:v>0.49069679751394507</c:v>
                </c:pt>
                <c:pt idx="73">
                  <c:v>0.28226865516389504</c:v>
                </c:pt>
                <c:pt idx="74">
                  <c:v>0.42113406753435878</c:v>
                </c:pt>
                <c:pt idx="75">
                  <c:v>0.5402358631629588</c:v>
                </c:pt>
                <c:pt idx="76">
                  <c:v>0.39772978455057278</c:v>
                </c:pt>
                <c:pt idx="77">
                  <c:v>0.47925470361076078</c:v>
                </c:pt>
                <c:pt idx="78">
                  <c:v>0.55895928954998764</c:v>
                </c:pt>
                <c:pt idx="79">
                  <c:v>0.27212679920425442</c:v>
                </c:pt>
                <c:pt idx="80">
                  <c:v>0.61981042530783137</c:v>
                </c:pt>
                <c:pt idx="81">
                  <c:v>0.59276547608212304</c:v>
                </c:pt>
                <c:pt idx="82">
                  <c:v>0.57313188313461361</c:v>
                </c:pt>
                <c:pt idx="83">
                  <c:v>9.1913820229101925E-2</c:v>
                </c:pt>
                <c:pt idx="84">
                  <c:v>0.28564927381710858</c:v>
                </c:pt>
                <c:pt idx="85">
                  <c:v>0.21816692454719219</c:v>
                </c:pt>
                <c:pt idx="86">
                  <c:v>0.11492803182982488</c:v>
                </c:pt>
                <c:pt idx="87">
                  <c:v>0.38043661990144201</c:v>
                </c:pt>
                <c:pt idx="88">
                  <c:v>0.65205632630771437</c:v>
                </c:pt>
                <c:pt idx="89">
                  <c:v>0.55271814742097802</c:v>
                </c:pt>
                <c:pt idx="90">
                  <c:v>0.15471531290226115</c:v>
                </c:pt>
                <c:pt idx="91">
                  <c:v>0.30619303332509856</c:v>
                </c:pt>
                <c:pt idx="92">
                  <c:v>0.32140581726455947</c:v>
                </c:pt>
                <c:pt idx="93">
                  <c:v>0.68079158486002944</c:v>
                </c:pt>
                <c:pt idx="94">
                  <c:v>0.54192617248956554</c:v>
                </c:pt>
                <c:pt idx="95">
                  <c:v>0.38108673887321387</c:v>
                </c:pt>
                <c:pt idx="96">
                  <c:v>0.35261152790960748</c:v>
                </c:pt>
                <c:pt idx="97">
                  <c:v>0.1792898100352365</c:v>
                </c:pt>
                <c:pt idx="98">
                  <c:v>0.27147668023248261</c:v>
                </c:pt>
                <c:pt idx="99">
                  <c:v>0.18501085698682865</c:v>
                </c:pt>
                <c:pt idx="100">
                  <c:v>0.44882913573183897</c:v>
                </c:pt>
                <c:pt idx="101">
                  <c:v>0.16940800166430461</c:v>
                </c:pt>
                <c:pt idx="102">
                  <c:v>0.46066130101808633</c:v>
                </c:pt>
                <c:pt idx="103">
                  <c:v>0.3370086725870835</c:v>
                </c:pt>
                <c:pt idx="104">
                  <c:v>0.33843893432498151</c:v>
                </c:pt>
                <c:pt idx="105">
                  <c:v>0.23246954192617253</c:v>
                </c:pt>
                <c:pt idx="106">
                  <c:v>0.27017644228893889</c:v>
                </c:pt>
                <c:pt idx="107">
                  <c:v>0.38771795238528656</c:v>
                </c:pt>
                <c:pt idx="108">
                  <c:v>0.32335617417987494</c:v>
                </c:pt>
                <c:pt idx="109">
                  <c:v>0.12650014952736352</c:v>
                </c:pt>
                <c:pt idx="110">
                  <c:v>0.19112197532148384</c:v>
                </c:pt>
                <c:pt idx="111">
                  <c:v>0.37874631057483527</c:v>
                </c:pt>
                <c:pt idx="112">
                  <c:v>0.17473897723283363</c:v>
                </c:pt>
                <c:pt idx="113">
                  <c:v>0.76933778881535331</c:v>
                </c:pt>
                <c:pt idx="114">
                  <c:v>0.50864008113484771</c:v>
                </c:pt>
                <c:pt idx="115">
                  <c:v>0.19281228464809066</c:v>
                </c:pt>
                <c:pt idx="116">
                  <c:v>0.46404191967129987</c:v>
                </c:pt>
                <c:pt idx="117">
                  <c:v>0.30151217672834135</c:v>
                </c:pt>
                <c:pt idx="118">
                  <c:v>0.37367538259501493</c:v>
                </c:pt>
                <c:pt idx="119">
                  <c:v>0.29878167704689967</c:v>
                </c:pt>
                <c:pt idx="120">
                  <c:v>0.66778920542459275</c:v>
                </c:pt>
                <c:pt idx="121">
                  <c:v>0.37107490670792764</c:v>
                </c:pt>
                <c:pt idx="122">
                  <c:v>0.45780077754229026</c:v>
                </c:pt>
                <c:pt idx="123">
                  <c:v>0.28850979729290466</c:v>
                </c:pt>
                <c:pt idx="124">
                  <c:v>0.33427817290564177</c:v>
                </c:pt>
                <c:pt idx="125">
                  <c:v>0.4450584456955623</c:v>
                </c:pt>
                <c:pt idx="126">
                  <c:v>0.47145327594949882</c:v>
                </c:pt>
                <c:pt idx="127">
                  <c:v>0.19398249879727994</c:v>
                </c:pt>
                <c:pt idx="128">
                  <c:v>0.14886424215631461</c:v>
                </c:pt>
                <c:pt idx="129">
                  <c:v>0.5982264754450064</c:v>
                </c:pt>
                <c:pt idx="130">
                  <c:v>0.26939629952281274</c:v>
                </c:pt>
                <c:pt idx="131">
                  <c:v>0.27862798892197277</c:v>
                </c:pt>
                <c:pt idx="132">
                  <c:v>0.48068496534865884</c:v>
                </c:pt>
                <c:pt idx="133">
                  <c:v>0.45520030165520298</c:v>
                </c:pt>
                <c:pt idx="134">
                  <c:v>0.54699710046938599</c:v>
                </c:pt>
                <c:pt idx="135">
                  <c:v>0.36860445461519464</c:v>
                </c:pt>
                <c:pt idx="136">
                  <c:v>0.35898269383297143</c:v>
                </c:pt>
                <c:pt idx="137">
                  <c:v>0.24378161203500245</c:v>
                </c:pt>
                <c:pt idx="138">
                  <c:v>0.25483363455512364</c:v>
                </c:pt>
                <c:pt idx="139">
                  <c:v>0.39057847586108263</c:v>
                </c:pt>
                <c:pt idx="140">
                  <c:v>0.5901650001950357</c:v>
                </c:pt>
                <c:pt idx="141">
                  <c:v>0.81523618822244481</c:v>
                </c:pt>
                <c:pt idx="142">
                  <c:v>0.68001144209390318</c:v>
                </c:pt>
                <c:pt idx="143">
                  <c:v>0.61161892626350634</c:v>
                </c:pt>
                <c:pt idx="144">
                  <c:v>0.48185517949784817</c:v>
                </c:pt>
                <c:pt idx="145">
                  <c:v>0.70263558231156298</c:v>
                </c:pt>
                <c:pt idx="146">
                  <c:v>0.18930164220052273</c:v>
                </c:pt>
                <c:pt idx="147">
                  <c:v>0.47535398978012988</c:v>
                </c:pt>
                <c:pt idx="148">
                  <c:v>0.32439636453470988</c:v>
                </c:pt>
                <c:pt idx="149">
                  <c:v>0.61070875970302563</c:v>
                </c:pt>
                <c:pt idx="150">
                  <c:v>0.57599240661040974</c:v>
                </c:pt>
                <c:pt idx="151">
                  <c:v>0.80964516506520701</c:v>
                </c:pt>
                <c:pt idx="152">
                  <c:v>0.51891196088884273</c:v>
                </c:pt>
                <c:pt idx="153">
                  <c:v>0.3337580777282243</c:v>
                </c:pt>
                <c:pt idx="154">
                  <c:v>0.42685511448595098</c:v>
                </c:pt>
                <c:pt idx="155">
                  <c:v>0.65634711152140846</c:v>
                </c:pt>
                <c:pt idx="156">
                  <c:v>0.33570843464353983</c:v>
                </c:pt>
                <c:pt idx="157">
                  <c:v>0.52788360269929402</c:v>
                </c:pt>
                <c:pt idx="158">
                  <c:v>0.46976296662289208</c:v>
                </c:pt>
                <c:pt idx="159">
                  <c:v>0.60108699892080253</c:v>
                </c:pt>
                <c:pt idx="160">
                  <c:v>0.30125212913963256</c:v>
                </c:pt>
                <c:pt idx="161">
                  <c:v>0.45585042062697478</c:v>
                </c:pt>
                <c:pt idx="162">
                  <c:v>0.54907748117905586</c:v>
                </c:pt>
                <c:pt idx="163">
                  <c:v>0.47509394219142104</c:v>
                </c:pt>
                <c:pt idx="164">
                  <c:v>0.73111079327516937</c:v>
                </c:pt>
                <c:pt idx="165">
                  <c:v>0.18670116631343539</c:v>
                </c:pt>
                <c:pt idx="166">
                  <c:v>0.54075595834037637</c:v>
                </c:pt>
                <c:pt idx="167">
                  <c:v>0.37354535880066059</c:v>
                </c:pt>
                <c:pt idx="168">
                  <c:v>0.464431991054363</c:v>
                </c:pt>
                <c:pt idx="169">
                  <c:v>0.35833257486119963</c:v>
                </c:pt>
                <c:pt idx="170">
                  <c:v>0.77622904991613473</c:v>
                </c:pt>
                <c:pt idx="171">
                  <c:v>0.77362857402904739</c:v>
                </c:pt>
                <c:pt idx="172">
                  <c:v>0.46079132481244078</c:v>
                </c:pt>
                <c:pt idx="173">
                  <c:v>0.62709175779167592</c:v>
                </c:pt>
                <c:pt idx="174">
                  <c:v>0.57430209728380299</c:v>
                </c:pt>
                <c:pt idx="175">
                  <c:v>0.52112236539286683</c:v>
                </c:pt>
                <c:pt idx="176">
                  <c:v>0.59419573782002111</c:v>
                </c:pt>
                <c:pt idx="177">
                  <c:v>0.51189067599370686</c:v>
                </c:pt>
                <c:pt idx="178">
                  <c:v>0.6645386105657336</c:v>
                </c:pt>
                <c:pt idx="179">
                  <c:v>0.11648831736207728</c:v>
                </c:pt>
                <c:pt idx="180">
                  <c:v>0.54504674355407035</c:v>
                </c:pt>
                <c:pt idx="181">
                  <c:v>0.54894745738470141</c:v>
                </c:pt>
                <c:pt idx="182">
                  <c:v>0.53204436411863376</c:v>
                </c:pt>
                <c:pt idx="183">
                  <c:v>0.57781273973137082</c:v>
                </c:pt>
                <c:pt idx="184">
                  <c:v>0.70471596302123285</c:v>
                </c:pt>
                <c:pt idx="185">
                  <c:v>0.42867544760691217</c:v>
                </c:pt>
                <c:pt idx="186">
                  <c:v>0.53737533968716278</c:v>
                </c:pt>
                <c:pt idx="187">
                  <c:v>0.44388823154637308</c:v>
                </c:pt>
                <c:pt idx="188">
                  <c:v>0.87881782366173011</c:v>
                </c:pt>
                <c:pt idx="189">
                  <c:v>0.54738717185244901</c:v>
                </c:pt>
                <c:pt idx="190">
                  <c:v>0.60238723686434614</c:v>
                </c:pt>
                <c:pt idx="191">
                  <c:v>0.41866361544162584</c:v>
                </c:pt>
                <c:pt idx="192">
                  <c:v>0.36821438323213151</c:v>
                </c:pt>
                <c:pt idx="193">
                  <c:v>0.53152426894121618</c:v>
                </c:pt>
                <c:pt idx="194">
                  <c:v>0.43777711321171775</c:v>
                </c:pt>
                <c:pt idx="195">
                  <c:v>0.53412474482830363</c:v>
                </c:pt>
                <c:pt idx="196">
                  <c:v>0.61343925938446731</c:v>
                </c:pt>
                <c:pt idx="197">
                  <c:v>0.50772991457436711</c:v>
                </c:pt>
                <c:pt idx="198">
                  <c:v>0.33037745907501076</c:v>
                </c:pt>
                <c:pt idx="199">
                  <c:v>0.26822608537362341</c:v>
                </c:pt>
                <c:pt idx="200">
                  <c:v>0.61200899764656935</c:v>
                </c:pt>
                <c:pt idx="201">
                  <c:v>0.19957352195451769</c:v>
                </c:pt>
                <c:pt idx="202">
                  <c:v>0.42724518586901411</c:v>
                </c:pt>
                <c:pt idx="203">
                  <c:v>1</c:v>
                </c:pt>
                <c:pt idx="204">
                  <c:v>0.41008204501423767</c:v>
                </c:pt>
                <c:pt idx="205">
                  <c:v>0.37263519224017999</c:v>
                </c:pt>
                <c:pt idx="206">
                  <c:v>0.46287170552211065</c:v>
                </c:pt>
                <c:pt idx="207">
                  <c:v>0.98166664499603429</c:v>
                </c:pt>
                <c:pt idx="208">
                  <c:v>0.36834440702648591</c:v>
                </c:pt>
                <c:pt idx="209">
                  <c:v>0.63346292371503987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4CA-41A6-A717-B22140F13A06}"/>
            </c:ext>
          </c:extLst>
        </c:ser>
        <c:ser>
          <c:idx val="6"/>
          <c:order val="6"/>
          <c:tx>
            <c:strRef>
              <c:f>feature_scaling!$AC$1</c:f>
              <c:strCache>
                <c:ptCount val="1"/>
                <c:pt idx="0">
                  <c:v>f7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feature_scaling!$V$2:$V$211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feature_scaling!$AC$2:$AC$211</c:f>
              <c:numCache>
                <c:formatCode>0.00000</c:formatCode>
                <c:ptCount val="210"/>
                <c:pt idx="0">
                  <c:v>0.34515017232890188</c:v>
                </c:pt>
                <c:pt idx="1">
                  <c:v>0.21516494337764666</c:v>
                </c:pt>
                <c:pt idx="2">
                  <c:v>0.15066469719350079</c:v>
                </c:pt>
                <c:pt idx="3">
                  <c:v>0.14081733136385999</c:v>
                </c:pt>
                <c:pt idx="4">
                  <c:v>0.32299359921221066</c:v>
                </c:pt>
                <c:pt idx="5">
                  <c:v>0.21516494337764666</c:v>
                </c:pt>
                <c:pt idx="6">
                  <c:v>0.34465780403742013</c:v>
                </c:pt>
                <c:pt idx="7">
                  <c:v>0.23682914820285572</c:v>
                </c:pt>
                <c:pt idx="8">
                  <c:v>0.66863613983259473</c:v>
                </c:pt>
                <c:pt idx="9">
                  <c:v>0.49926144756277713</c:v>
                </c:pt>
                <c:pt idx="10">
                  <c:v>0.39143279172821271</c:v>
                </c:pt>
                <c:pt idx="11">
                  <c:v>0.23732151649433791</c:v>
                </c:pt>
                <c:pt idx="12">
                  <c:v>0.10782865583456443</c:v>
                </c:pt>
                <c:pt idx="13">
                  <c:v>0.17380600689315598</c:v>
                </c:pt>
                <c:pt idx="14">
                  <c:v>0.15066469719350079</c:v>
                </c:pt>
                <c:pt idx="15">
                  <c:v>0.12900049236829128</c:v>
                </c:pt>
                <c:pt idx="16">
                  <c:v>0.12900049236829128</c:v>
                </c:pt>
                <c:pt idx="17">
                  <c:v>0.25947808961102914</c:v>
                </c:pt>
                <c:pt idx="18">
                  <c:v>6.400787789266367E-2</c:v>
                </c:pt>
                <c:pt idx="19">
                  <c:v>0.1944854751354011</c:v>
                </c:pt>
                <c:pt idx="20">
                  <c:v>0.32348596750369285</c:v>
                </c:pt>
                <c:pt idx="21">
                  <c:v>0.34465780403742013</c:v>
                </c:pt>
                <c:pt idx="22">
                  <c:v>0.28163466272772042</c:v>
                </c:pt>
                <c:pt idx="23">
                  <c:v>0.21762678483505674</c:v>
                </c:pt>
                <c:pt idx="24">
                  <c:v>0.23732151649433791</c:v>
                </c:pt>
                <c:pt idx="25">
                  <c:v>0.3879862136878387</c:v>
                </c:pt>
                <c:pt idx="26">
                  <c:v>0.15066469719350079</c:v>
                </c:pt>
                <c:pt idx="27">
                  <c:v>0.17232890201870985</c:v>
                </c:pt>
                <c:pt idx="28">
                  <c:v>0.25553914327917293</c:v>
                </c:pt>
                <c:pt idx="29">
                  <c:v>0.28458887247661269</c:v>
                </c:pt>
                <c:pt idx="30">
                  <c:v>0.26440177252584934</c:v>
                </c:pt>
                <c:pt idx="31">
                  <c:v>0.34908911866075809</c:v>
                </c:pt>
                <c:pt idx="32">
                  <c:v>0.38404726735598244</c:v>
                </c:pt>
                <c:pt idx="33">
                  <c:v>0.24273756770063984</c:v>
                </c:pt>
                <c:pt idx="34">
                  <c:v>0.41408173313638619</c:v>
                </c:pt>
                <c:pt idx="35">
                  <c:v>0.45494830132939418</c:v>
                </c:pt>
                <c:pt idx="36">
                  <c:v>0.49630723781388486</c:v>
                </c:pt>
                <c:pt idx="37">
                  <c:v>0.47513540128015758</c:v>
                </c:pt>
                <c:pt idx="38">
                  <c:v>0.38897095027080264</c:v>
                </c:pt>
                <c:pt idx="39">
                  <c:v>0.23732151649433791</c:v>
                </c:pt>
                <c:pt idx="40">
                  <c:v>0.32447070408665679</c:v>
                </c:pt>
                <c:pt idx="41">
                  <c:v>0.32348596750369285</c:v>
                </c:pt>
                <c:pt idx="42">
                  <c:v>0.12998522895125567</c:v>
                </c:pt>
                <c:pt idx="43">
                  <c:v>0.49679960610536661</c:v>
                </c:pt>
                <c:pt idx="44">
                  <c:v>0.32545544066962073</c:v>
                </c:pt>
                <c:pt idx="45">
                  <c:v>0.21762678483505674</c:v>
                </c:pt>
                <c:pt idx="46">
                  <c:v>0.30182176267848332</c:v>
                </c:pt>
                <c:pt idx="47">
                  <c:v>0.32299359921221066</c:v>
                </c:pt>
                <c:pt idx="48">
                  <c:v>0.29148202855736077</c:v>
                </c:pt>
                <c:pt idx="49">
                  <c:v>0.40965041851304773</c:v>
                </c:pt>
                <c:pt idx="50">
                  <c:v>0.30773018217626791</c:v>
                </c:pt>
                <c:pt idx="51">
                  <c:v>0.30379123584441164</c:v>
                </c:pt>
                <c:pt idx="52">
                  <c:v>0.43180699162973901</c:v>
                </c:pt>
                <c:pt idx="53">
                  <c:v>0.34711964549483021</c:v>
                </c:pt>
                <c:pt idx="54">
                  <c:v>0.47661250615460371</c:v>
                </c:pt>
                <c:pt idx="55">
                  <c:v>0.4529788281634663</c:v>
                </c:pt>
                <c:pt idx="56">
                  <c:v>0.25849335302806475</c:v>
                </c:pt>
                <c:pt idx="57">
                  <c:v>0.28015755785327429</c:v>
                </c:pt>
                <c:pt idx="58">
                  <c:v>0.34613490891186627</c:v>
                </c:pt>
                <c:pt idx="59">
                  <c:v>0</c:v>
                </c:pt>
                <c:pt idx="60">
                  <c:v>4.3328409650418558E-2</c:v>
                </c:pt>
                <c:pt idx="61">
                  <c:v>9.0595765632693351E-2</c:v>
                </c:pt>
                <c:pt idx="62">
                  <c:v>4.234367306745461E-2</c:v>
                </c:pt>
                <c:pt idx="63">
                  <c:v>0.28015755785327429</c:v>
                </c:pt>
                <c:pt idx="64">
                  <c:v>0.12949286065977347</c:v>
                </c:pt>
                <c:pt idx="65">
                  <c:v>4.3328409650418558E-2</c:v>
                </c:pt>
                <c:pt idx="66">
                  <c:v>0.31068439192516017</c:v>
                </c:pt>
                <c:pt idx="67">
                  <c:v>0.30182176267848332</c:v>
                </c:pt>
                <c:pt idx="68">
                  <c:v>0.38453963564746418</c:v>
                </c:pt>
                <c:pt idx="69">
                  <c:v>0.26981782373215168</c:v>
                </c:pt>
                <c:pt idx="70">
                  <c:v>0.75873953717380582</c:v>
                </c:pt>
                <c:pt idx="71">
                  <c:v>0.66863613983259473</c:v>
                </c:pt>
                <c:pt idx="72">
                  <c:v>0.6262924667651405</c:v>
                </c:pt>
                <c:pt idx="73">
                  <c:v>0.76809453471196443</c:v>
                </c:pt>
                <c:pt idx="74">
                  <c:v>0.65091088133924191</c:v>
                </c:pt>
                <c:pt idx="75">
                  <c:v>0.62826193993106838</c:v>
                </c:pt>
                <c:pt idx="76">
                  <c:v>0.69079271294928601</c:v>
                </c:pt>
                <c:pt idx="77">
                  <c:v>0.95125553914327909</c:v>
                </c:pt>
                <c:pt idx="78">
                  <c:v>0.90743476120137878</c:v>
                </c:pt>
                <c:pt idx="79">
                  <c:v>0.60413589364844933</c:v>
                </c:pt>
                <c:pt idx="80">
                  <c:v>0.67011324470704081</c:v>
                </c:pt>
                <c:pt idx="81">
                  <c:v>0.66962087641555867</c:v>
                </c:pt>
                <c:pt idx="82">
                  <c:v>0.82127031019202379</c:v>
                </c:pt>
                <c:pt idx="83">
                  <c:v>0.86361398325947802</c:v>
                </c:pt>
                <c:pt idx="84">
                  <c:v>0.8202855736090594</c:v>
                </c:pt>
                <c:pt idx="85">
                  <c:v>0.82619399310684405</c:v>
                </c:pt>
                <c:pt idx="86">
                  <c:v>0.78286558345642543</c:v>
                </c:pt>
                <c:pt idx="87">
                  <c:v>0.97439684884293476</c:v>
                </c:pt>
                <c:pt idx="88">
                  <c:v>0.84293451501723293</c:v>
                </c:pt>
                <c:pt idx="89">
                  <c:v>0.88724766125061538</c:v>
                </c:pt>
                <c:pt idx="90">
                  <c:v>0.95027080256031515</c:v>
                </c:pt>
                <c:pt idx="91">
                  <c:v>0.75529295913343186</c:v>
                </c:pt>
                <c:pt idx="92">
                  <c:v>0.75529295913343186</c:v>
                </c:pt>
                <c:pt idx="93">
                  <c:v>0.66863613983259473</c:v>
                </c:pt>
                <c:pt idx="94">
                  <c:v>0.94977843426883335</c:v>
                </c:pt>
                <c:pt idx="95">
                  <c:v>0.71294928606597718</c:v>
                </c:pt>
                <c:pt idx="96">
                  <c:v>0.84638109305760734</c:v>
                </c:pt>
                <c:pt idx="97">
                  <c:v>0.95224027572624348</c:v>
                </c:pt>
                <c:pt idx="98">
                  <c:v>0.86361398325947802</c:v>
                </c:pt>
                <c:pt idx="99">
                  <c:v>0.77695716395864134</c:v>
                </c:pt>
                <c:pt idx="100">
                  <c:v>0.54111275233874956</c:v>
                </c:pt>
                <c:pt idx="101">
                  <c:v>0.64894140817331358</c:v>
                </c:pt>
                <c:pt idx="102">
                  <c:v>0.73362875430822272</c:v>
                </c:pt>
                <c:pt idx="103">
                  <c:v>0.84194977843426899</c:v>
                </c:pt>
                <c:pt idx="104">
                  <c:v>0.80206794682422444</c:v>
                </c:pt>
                <c:pt idx="105">
                  <c:v>0.66962087641555867</c:v>
                </c:pt>
                <c:pt idx="106">
                  <c:v>0.82767109798129013</c:v>
                </c:pt>
                <c:pt idx="107">
                  <c:v>0.69423929098966042</c:v>
                </c:pt>
                <c:pt idx="108">
                  <c:v>1</c:v>
                </c:pt>
                <c:pt idx="109">
                  <c:v>0.6770064007877894</c:v>
                </c:pt>
                <c:pt idx="110">
                  <c:v>0.62776957163958624</c:v>
                </c:pt>
                <c:pt idx="111">
                  <c:v>0.71196454948301324</c:v>
                </c:pt>
                <c:pt idx="112">
                  <c:v>0.6917774495322504</c:v>
                </c:pt>
                <c:pt idx="113">
                  <c:v>0.75529295913343186</c:v>
                </c:pt>
                <c:pt idx="114">
                  <c:v>0.88478581979320525</c:v>
                </c:pt>
                <c:pt idx="115">
                  <c:v>0.80945347119645517</c:v>
                </c:pt>
                <c:pt idx="116">
                  <c:v>0.60610536681437721</c:v>
                </c:pt>
                <c:pt idx="117">
                  <c:v>0.8202855736090594</c:v>
                </c:pt>
                <c:pt idx="118">
                  <c:v>0.71245691777449549</c:v>
                </c:pt>
                <c:pt idx="119">
                  <c:v>0.88675529295913369</c:v>
                </c:pt>
                <c:pt idx="120">
                  <c:v>0.82176267848350559</c:v>
                </c:pt>
                <c:pt idx="121">
                  <c:v>0.73461349089118666</c:v>
                </c:pt>
                <c:pt idx="122">
                  <c:v>0.58296405711472199</c:v>
                </c:pt>
                <c:pt idx="123">
                  <c:v>0.68242245199409179</c:v>
                </c:pt>
                <c:pt idx="124">
                  <c:v>0.30773018217626791</c:v>
                </c:pt>
                <c:pt idx="125">
                  <c:v>0.72525849335302806</c:v>
                </c:pt>
                <c:pt idx="126">
                  <c:v>0.77941900541605147</c:v>
                </c:pt>
                <c:pt idx="127">
                  <c:v>0.68931560807483983</c:v>
                </c:pt>
                <c:pt idx="128">
                  <c:v>0.8202855736090594</c:v>
                </c:pt>
                <c:pt idx="129">
                  <c:v>0.56228458887247645</c:v>
                </c:pt>
                <c:pt idx="130">
                  <c:v>0.71048744460856716</c:v>
                </c:pt>
                <c:pt idx="131">
                  <c:v>0.70408665681930083</c:v>
                </c:pt>
                <c:pt idx="132">
                  <c:v>0.62826193993106838</c:v>
                </c:pt>
                <c:pt idx="133">
                  <c:v>0.62826193993106838</c:v>
                </c:pt>
                <c:pt idx="134">
                  <c:v>0.65386509108813418</c:v>
                </c:pt>
                <c:pt idx="135">
                  <c:v>0.4529788281634663</c:v>
                </c:pt>
                <c:pt idx="136">
                  <c:v>0.71491875923190551</c:v>
                </c:pt>
                <c:pt idx="137">
                  <c:v>0.66962087641555867</c:v>
                </c:pt>
                <c:pt idx="138">
                  <c:v>0.60709010339734115</c:v>
                </c:pt>
                <c:pt idx="139">
                  <c:v>0.69079271294928601</c:v>
                </c:pt>
                <c:pt idx="140">
                  <c:v>0.43131462333825682</c:v>
                </c:pt>
                <c:pt idx="141">
                  <c:v>0.45347119645494849</c:v>
                </c:pt>
                <c:pt idx="142">
                  <c:v>0.3879862136878387</c:v>
                </c:pt>
                <c:pt idx="143">
                  <c:v>0.34564254062038408</c:v>
                </c:pt>
                <c:pt idx="144">
                  <c:v>0.32447070408665679</c:v>
                </c:pt>
                <c:pt idx="145">
                  <c:v>0.37223042836041376</c:v>
                </c:pt>
                <c:pt idx="146">
                  <c:v>0.30182176267848332</c:v>
                </c:pt>
                <c:pt idx="147">
                  <c:v>0.23781388478581966</c:v>
                </c:pt>
                <c:pt idx="148">
                  <c:v>0.39241752831117666</c:v>
                </c:pt>
                <c:pt idx="149">
                  <c:v>0.33234859675036926</c:v>
                </c:pt>
                <c:pt idx="150">
                  <c:v>0.3879862136878387</c:v>
                </c:pt>
                <c:pt idx="151">
                  <c:v>0.36976858690300324</c:v>
                </c:pt>
                <c:pt idx="152">
                  <c:v>0.41408173313638619</c:v>
                </c:pt>
                <c:pt idx="153">
                  <c:v>0.23732151649433791</c:v>
                </c:pt>
                <c:pt idx="154">
                  <c:v>0.36632200886262917</c:v>
                </c:pt>
                <c:pt idx="155">
                  <c:v>0.34465780403742013</c:v>
                </c:pt>
                <c:pt idx="156">
                  <c:v>0.23830625307730186</c:v>
                </c:pt>
                <c:pt idx="157">
                  <c:v>0.34515017232890188</c:v>
                </c:pt>
                <c:pt idx="158">
                  <c:v>0.38946331856228439</c:v>
                </c:pt>
                <c:pt idx="159">
                  <c:v>0.38946331856228439</c:v>
                </c:pt>
                <c:pt idx="160">
                  <c:v>0.47858197932053159</c:v>
                </c:pt>
                <c:pt idx="161">
                  <c:v>0.38847858197932045</c:v>
                </c:pt>
                <c:pt idx="162">
                  <c:v>0.25947808961102914</c:v>
                </c:pt>
                <c:pt idx="163">
                  <c:v>0.32348596750369285</c:v>
                </c:pt>
                <c:pt idx="164">
                  <c:v>0.26095519448547527</c:v>
                </c:pt>
                <c:pt idx="165">
                  <c:v>0.26440177252584934</c:v>
                </c:pt>
                <c:pt idx="166">
                  <c:v>0.36976858690300324</c:v>
                </c:pt>
                <c:pt idx="167">
                  <c:v>0.40324963072378145</c:v>
                </c:pt>
                <c:pt idx="168">
                  <c:v>0.30182176267848332</c:v>
                </c:pt>
                <c:pt idx="169">
                  <c:v>0.28015755785327429</c:v>
                </c:pt>
                <c:pt idx="170">
                  <c:v>0.31708517971442651</c:v>
                </c:pt>
                <c:pt idx="171">
                  <c:v>0.21516494337764666</c:v>
                </c:pt>
                <c:pt idx="172">
                  <c:v>0.23682914820285572</c:v>
                </c:pt>
                <c:pt idx="173">
                  <c:v>0.28064992614475648</c:v>
                </c:pt>
                <c:pt idx="174">
                  <c:v>0.32791728212703081</c:v>
                </c:pt>
                <c:pt idx="175">
                  <c:v>0.26784835056622336</c:v>
                </c:pt>
                <c:pt idx="176">
                  <c:v>0.28212703101920217</c:v>
                </c:pt>
                <c:pt idx="177">
                  <c:v>0.21861152141802068</c:v>
                </c:pt>
                <c:pt idx="178">
                  <c:v>0.23781388478581966</c:v>
                </c:pt>
                <c:pt idx="179">
                  <c:v>0.32447070408665679</c:v>
                </c:pt>
                <c:pt idx="180">
                  <c:v>0.15066469719350079</c:v>
                </c:pt>
                <c:pt idx="181">
                  <c:v>0.30920728705071404</c:v>
                </c:pt>
                <c:pt idx="182">
                  <c:v>0.31462333825701644</c:v>
                </c:pt>
                <c:pt idx="183">
                  <c:v>0.30329886755292945</c:v>
                </c:pt>
                <c:pt idx="184">
                  <c:v>0.39241752831117666</c:v>
                </c:pt>
                <c:pt idx="185">
                  <c:v>0.32644017725258512</c:v>
                </c:pt>
                <c:pt idx="186">
                  <c:v>0.41014278680452992</c:v>
                </c:pt>
                <c:pt idx="187">
                  <c:v>0.21516494337764666</c:v>
                </c:pt>
                <c:pt idx="188">
                  <c:v>0.21565731166912841</c:v>
                </c:pt>
                <c:pt idx="189">
                  <c:v>0.13540128015755762</c:v>
                </c:pt>
                <c:pt idx="190">
                  <c:v>0.25898572131954695</c:v>
                </c:pt>
                <c:pt idx="191">
                  <c:v>0.23732151649433791</c:v>
                </c:pt>
                <c:pt idx="192">
                  <c:v>0.30182176267848332</c:v>
                </c:pt>
                <c:pt idx="193">
                  <c:v>0.28064992614475648</c:v>
                </c:pt>
                <c:pt idx="194">
                  <c:v>0.24273756770063984</c:v>
                </c:pt>
                <c:pt idx="195">
                  <c:v>0.1944854751354011</c:v>
                </c:pt>
                <c:pt idx="196">
                  <c:v>0.2161496799606106</c:v>
                </c:pt>
                <c:pt idx="197">
                  <c:v>0.28163466272772042</c:v>
                </c:pt>
                <c:pt idx="198">
                  <c:v>0.35056622353520428</c:v>
                </c:pt>
                <c:pt idx="199">
                  <c:v>0.15312653865091089</c:v>
                </c:pt>
                <c:pt idx="200">
                  <c:v>0.25898572131954695</c:v>
                </c:pt>
                <c:pt idx="201">
                  <c:v>0.11127523387493846</c:v>
                </c:pt>
                <c:pt idx="202">
                  <c:v>0.15214180206794692</c:v>
                </c:pt>
                <c:pt idx="203">
                  <c:v>0.23682914820285572</c:v>
                </c:pt>
                <c:pt idx="204">
                  <c:v>0.23732151649433791</c:v>
                </c:pt>
                <c:pt idx="205">
                  <c:v>0.17282127031019204</c:v>
                </c:pt>
                <c:pt idx="206">
                  <c:v>0.23830625307730186</c:v>
                </c:pt>
                <c:pt idx="207">
                  <c:v>0.26440177252584934</c:v>
                </c:pt>
                <c:pt idx="208">
                  <c:v>0.25849335302806475</c:v>
                </c:pt>
                <c:pt idx="209">
                  <c:v>0.26784835056622336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4CA-41A6-A717-B22140F13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899520"/>
        <c:axId val="125901056"/>
      </c:scatterChart>
      <c:valAx>
        <c:axId val="125899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01056"/>
        <c:crosses val="autoZero"/>
        <c:crossBetween val="midCat"/>
      </c:valAx>
      <c:valAx>
        <c:axId val="12590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99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247649</xdr:colOff>
      <xdr:row>24</xdr:row>
      <xdr:rowOff>9524</xdr:rowOff>
    </xdr:from>
    <xdr:to>
      <xdr:col>1</xdr:col>
      <xdr:colOff>438149</xdr:colOff>
      <xdr:row>28</xdr:row>
      <xdr:rowOff>0</xdr:rowOff>
    </xdr:to>
    <xdr:sp macro="[0]!_xludf.run" textlink="">
      <xdr:nvSpPr>
        <xdr:cNvPr id="3" name="Oval 2"/>
        <xdr:cNvSpPr/>
      </xdr:nvSpPr>
      <xdr:spPr>
        <a:xfrm>
          <a:off x="247649" y="2114549"/>
          <a:ext cx="695325" cy="638176"/>
        </a:xfrm>
        <a:prstGeom prst="ellips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Train</a:t>
          </a:r>
        </a:p>
      </xdr:txBody>
    </xdr:sp>
    <xdr:clientData/>
  </xdr:twoCellAnchor>
  <xdr:twoCellAnchor>
    <xdr:from>
      <xdr:col>15</xdr:col>
      <xdr:colOff>285750</xdr:colOff>
      <xdr:row>22</xdr:row>
      <xdr:rowOff>38100</xdr:rowOff>
    </xdr:from>
    <xdr:to>
      <xdr:col>24</xdr:col>
      <xdr:colOff>581025</xdr:colOff>
      <xdr:row>39</xdr:row>
      <xdr:rowOff>28575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238124</xdr:colOff>
      <xdr:row>28</xdr:row>
      <xdr:rowOff>123824</xdr:rowOff>
    </xdr:from>
    <xdr:to>
      <xdr:col>1</xdr:col>
      <xdr:colOff>466725</xdr:colOff>
      <xdr:row>32</xdr:row>
      <xdr:rowOff>104775</xdr:rowOff>
    </xdr:to>
    <xdr:sp macro="[0]!reseT" textlink="">
      <xdr:nvSpPr>
        <xdr:cNvPr id="5" name="Oval 4"/>
        <xdr:cNvSpPr/>
      </xdr:nvSpPr>
      <xdr:spPr>
        <a:xfrm>
          <a:off x="238124" y="4657724"/>
          <a:ext cx="733426" cy="628651"/>
        </a:xfrm>
        <a:prstGeom prst="ellips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28576</xdr:colOff>
      <xdr:row>2</xdr:row>
      <xdr:rowOff>47625</xdr:rowOff>
    </xdr:from>
    <xdr:to>
      <xdr:col>19</xdr:col>
      <xdr:colOff>581026</xdr:colOff>
      <xdr:row>17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609599</xdr:colOff>
      <xdr:row>22</xdr:row>
      <xdr:rowOff>19050</xdr:rowOff>
    </xdr:from>
    <xdr:to>
      <xdr:col>19</xdr:col>
      <xdr:colOff>581024</xdr:colOff>
      <xdr:row>36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333375</xdr:colOff>
      <xdr:row>18</xdr:row>
      <xdr:rowOff>8793</xdr:rowOff>
    </xdr:from>
    <xdr:to>
      <xdr:col>16</xdr:col>
      <xdr:colOff>295275</xdr:colOff>
      <xdr:row>20</xdr:row>
      <xdr:rowOff>167410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2650" y="3437793"/>
          <a:ext cx="1790700" cy="53961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9525</xdr:colOff>
      <xdr:row>3</xdr:row>
      <xdr:rowOff>9525</xdr:rowOff>
    </xdr:from>
    <xdr:to>
      <xdr:col>26</xdr:col>
      <xdr:colOff>594662</xdr:colOff>
      <xdr:row>23</xdr:row>
      <xdr:rowOff>85725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67725" y="495300"/>
          <a:ext cx="6709712" cy="3314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514350</xdr:colOff>
      <xdr:row>4</xdr:row>
      <xdr:rowOff>57150</xdr:rowOff>
    </xdr:from>
    <xdr:to>
      <xdr:col>5</xdr:col>
      <xdr:colOff>257175</xdr:colOff>
      <xdr:row>10</xdr:row>
      <xdr:rowOff>85725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" y="466725"/>
          <a:ext cx="2819400" cy="1171575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104775</xdr:colOff>
      <xdr:row>2</xdr:row>
      <xdr:rowOff>0</xdr:rowOff>
    </xdr:from>
    <xdr:to>
      <xdr:col>16</xdr:col>
      <xdr:colOff>504825</xdr:colOff>
      <xdr:row>14</xdr:row>
      <xdr:rowOff>152400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71975" y="0"/>
          <a:ext cx="6057900" cy="2466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133350</xdr:colOff>
      <xdr:row>15</xdr:row>
      <xdr:rowOff>66675</xdr:rowOff>
    </xdr:from>
    <xdr:to>
      <xdr:col>16</xdr:col>
      <xdr:colOff>476250</xdr:colOff>
      <xdr:row>27</xdr:row>
      <xdr:rowOff>19050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9125" y="2571750"/>
          <a:ext cx="6000750" cy="2238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</xdr:row>
      <xdr:rowOff>28575</xdr:rowOff>
    </xdr:from>
    <xdr:to>
      <xdr:col>10</xdr:col>
      <xdr:colOff>476250</xdr:colOff>
      <xdr:row>27</xdr:row>
      <xdr:rowOff>66675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0500"/>
          <a:ext cx="5981700" cy="424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1</xdr:row>
      <xdr:rowOff>9524</xdr:rowOff>
    </xdr:from>
    <xdr:to>
      <xdr:col>25</xdr:col>
      <xdr:colOff>9525</xdr:colOff>
      <xdr:row>2</xdr:row>
      <xdr:rowOff>161924</xdr:rowOff>
    </xdr:to>
    <xdr:sp macro="[0]!testModel" textlink="">
      <xdr:nvSpPr>
        <xdr:cNvPr id="2" name="Rectangle 1"/>
        <xdr:cNvSpPr/>
      </xdr:nvSpPr>
      <xdr:spPr>
        <a:xfrm>
          <a:off x="10372725" y="171449"/>
          <a:ext cx="619125" cy="31432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TEST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Vba/AI/ML/neural_network/mni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NN"/>
      <sheetName val="Training"/>
      <sheetName val="Testing"/>
      <sheetName val="Sigmoid"/>
    </sheetNames>
    <sheetDataSet>
      <sheetData sheetId="0">
        <row r="2">
          <cell r="AI2">
            <v>0.1</v>
          </cell>
        </row>
      </sheetData>
      <sheetData sheetId="1">
        <row r="12">
          <cell r="AFF12">
            <v>8</v>
          </cell>
        </row>
      </sheetData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U569"/>
  <sheetViews>
    <sheetView showGridLines="0" tabSelected="1" workbookViewId="0"/>
  </sheetViews>
  <sheetFormatPr defaultRowHeight="12.75" x14ac:dyDescent="0.2"/>
  <cols>
    <col min="1" max="1" width="7.5703125" bestFit="1" customWidth="1"/>
    <col min="2" max="2" width="12.5703125" style="43" bestFit="1" customWidth="1"/>
    <col min="3" max="3" width="3.42578125" customWidth="1"/>
    <col min="4" max="4" width="18" style="37" bestFit="1" customWidth="1"/>
    <col min="5" max="5" width="12.85546875" customWidth="1"/>
    <col min="6" max="8" width="13.28515625" bestFit="1" customWidth="1"/>
    <col min="9" max="9" width="12.140625" bestFit="1" customWidth="1"/>
    <col min="10" max="10" width="11.5703125" bestFit="1" customWidth="1"/>
    <col min="11" max="11" width="12.140625" bestFit="1" customWidth="1"/>
    <col min="12" max="12" width="5.5703125" bestFit="1" customWidth="1"/>
    <col min="13" max="13" width="12.140625" bestFit="1" customWidth="1"/>
    <col min="14" max="15" width="9.42578125" bestFit="1" customWidth="1"/>
    <col min="16" max="16" width="7" customWidth="1"/>
    <col min="17" max="17" width="12.5703125" bestFit="1" customWidth="1"/>
    <col min="18" max="18" width="11.7109375" bestFit="1" customWidth="1"/>
    <col min="19" max="19" width="6.5703125" bestFit="1" customWidth="1"/>
    <col min="20" max="20" width="3" bestFit="1" customWidth="1"/>
    <col min="21" max="21" width="2" bestFit="1" customWidth="1"/>
    <col min="22" max="22" width="5" bestFit="1" customWidth="1"/>
    <col min="23" max="23" width="13.7109375" bestFit="1" customWidth="1"/>
    <col min="25" max="25" width="9.85546875" customWidth="1"/>
    <col min="26" max="28" width="8.28515625" style="10" bestFit="1" customWidth="1"/>
    <col min="29" max="30" width="8.28515625" style="10" customWidth="1"/>
    <col min="31" max="31" width="8.28515625" style="10" bestFit="1" customWidth="1"/>
    <col min="32" max="32" width="9.5703125" style="10" bestFit="1" customWidth="1"/>
    <col min="33" max="33" width="8.28515625" style="10" bestFit="1" customWidth="1"/>
    <col min="34" max="35" width="8.28515625" style="10" customWidth="1"/>
    <col min="36" max="38" width="8.28515625" style="10" bestFit="1" customWidth="1"/>
    <col min="39" max="40" width="8.28515625" style="10" customWidth="1"/>
    <col min="41" max="45" width="8.140625" style="10" bestFit="1" customWidth="1"/>
    <col min="46" max="47" width="8.140625" style="10" customWidth="1"/>
    <col min="48" max="52" width="7.5703125" style="10" bestFit="1" customWidth="1"/>
    <col min="53" max="54" width="7.5703125" style="10" customWidth="1"/>
    <col min="55" max="59" width="8.140625" style="10" bestFit="1" customWidth="1"/>
    <col min="60" max="61" width="8.140625" style="10" customWidth="1"/>
    <col min="62" max="66" width="8.140625" style="10" bestFit="1" customWidth="1"/>
    <col min="67" max="68" width="8.140625" style="10" customWidth="1"/>
    <col min="69" max="73" width="8.140625" style="10" bestFit="1" customWidth="1"/>
    <col min="74" max="75" width="8.140625" style="10" customWidth="1"/>
  </cols>
  <sheetData>
    <row r="1" spans="1:177" x14ac:dyDescent="0.2">
      <c r="A1" s="68" t="s">
        <v>59</v>
      </c>
      <c r="B1" s="13"/>
      <c r="D1" s="79" t="s">
        <v>235</v>
      </c>
      <c r="W1" s="13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</row>
    <row r="2" spans="1:177" x14ac:dyDescent="0.2">
      <c r="A2" s="8"/>
      <c r="B2" s="12"/>
      <c r="D2"/>
      <c r="W2" s="13"/>
      <c r="Z2" s="93" t="s">
        <v>108</v>
      </c>
      <c r="AA2" s="93"/>
      <c r="AB2" s="93"/>
      <c r="AC2" s="93"/>
      <c r="AD2" s="93"/>
      <c r="AE2" s="93"/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93"/>
      <c r="AU2" s="93"/>
      <c r="AV2" s="93"/>
      <c r="AW2" s="93"/>
      <c r="AX2" s="93"/>
      <c r="AY2" s="93"/>
      <c r="AZ2" s="93"/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93"/>
      <c r="BP2" s="93"/>
      <c r="BQ2" s="93"/>
      <c r="BR2" s="93"/>
      <c r="BS2" s="93"/>
      <c r="BT2" s="93"/>
      <c r="BU2" s="93"/>
      <c r="BV2" s="93"/>
      <c r="BW2" s="93"/>
      <c r="BX2" s="93"/>
      <c r="BZ2" s="87" t="s">
        <v>214</v>
      </c>
      <c r="CA2" s="87"/>
      <c r="CB2" s="87"/>
      <c r="CC2" s="87"/>
      <c r="CD2" s="87"/>
      <c r="CE2" s="87"/>
      <c r="CF2" s="87"/>
      <c r="CG2" s="87"/>
      <c r="CH2" s="87"/>
      <c r="CI2" s="87"/>
      <c r="CJ2" s="87"/>
      <c r="CK2" s="87"/>
      <c r="CL2" s="87"/>
      <c r="CM2" s="87"/>
      <c r="CN2" s="87"/>
      <c r="CO2" s="87"/>
      <c r="CP2" s="87"/>
      <c r="CQ2" s="87"/>
      <c r="CR2" s="87"/>
      <c r="CS2" s="87"/>
      <c r="CT2" s="87"/>
      <c r="CU2" s="87"/>
      <c r="CV2" s="87"/>
      <c r="CW2" s="87"/>
      <c r="CX2" s="87"/>
      <c r="CY2" s="87"/>
      <c r="CZ2" s="87"/>
      <c r="DA2" s="87"/>
      <c r="DB2" s="87"/>
      <c r="DC2" s="87"/>
      <c r="DD2" s="87"/>
      <c r="DE2" s="87"/>
      <c r="DF2" s="87"/>
      <c r="DG2" s="87"/>
      <c r="DH2" s="87"/>
      <c r="DI2" s="87"/>
      <c r="DJ2" s="87"/>
      <c r="DK2" s="87"/>
      <c r="DL2" s="87"/>
      <c r="DM2" s="87"/>
      <c r="DN2" s="87"/>
      <c r="DO2" s="87"/>
      <c r="DP2" s="87"/>
      <c r="DQ2" s="87"/>
      <c r="DR2" s="87"/>
      <c r="DS2" s="87"/>
      <c r="DT2" s="87"/>
      <c r="DU2" s="87"/>
      <c r="DV2" s="87"/>
      <c r="DW2" s="87"/>
      <c r="DX2" s="87"/>
      <c r="DY2" s="87"/>
      <c r="DZ2" s="87"/>
      <c r="EA2" s="87"/>
      <c r="EB2" s="87"/>
      <c r="EC2" s="87"/>
      <c r="ED2" s="87"/>
      <c r="EE2" s="87"/>
      <c r="EF2" s="87"/>
      <c r="EG2" s="87"/>
      <c r="EH2" s="87"/>
      <c r="EI2" s="87"/>
      <c r="EJ2" s="87"/>
      <c r="EK2" s="87"/>
      <c r="EL2" s="87"/>
      <c r="EM2" s="87"/>
      <c r="EN2" s="87"/>
      <c r="EO2" s="87"/>
      <c r="EP2" s="87"/>
      <c r="EQ2" s="87"/>
      <c r="ER2" s="87"/>
      <c r="ES2" s="87"/>
      <c r="ET2" s="87"/>
      <c r="EU2" s="87"/>
      <c r="EV2" s="87"/>
      <c r="EW2" s="87"/>
      <c r="EX2" s="87"/>
      <c r="EY2" s="87"/>
      <c r="EZ2" s="87"/>
      <c r="FA2" s="87"/>
      <c r="FB2" s="87"/>
      <c r="FC2" s="87"/>
      <c r="FD2" s="87"/>
      <c r="FE2" s="87"/>
      <c r="FF2" s="87"/>
      <c r="FG2" s="87"/>
      <c r="FH2" s="87"/>
      <c r="FI2" s="87"/>
      <c r="FJ2" s="87"/>
      <c r="FK2" s="87"/>
      <c r="FL2" s="87"/>
      <c r="FM2" s="87"/>
      <c r="FN2" s="87"/>
      <c r="FO2" s="87"/>
      <c r="FP2" s="87"/>
      <c r="FQ2" s="87"/>
      <c r="FR2" s="87"/>
      <c r="FS2" s="87"/>
      <c r="FT2" s="87"/>
      <c r="FU2" s="87"/>
    </row>
    <row r="3" spans="1:177" x14ac:dyDescent="0.2">
      <c r="B3" s="23" t="s">
        <v>225</v>
      </c>
      <c r="D3" s="21" t="s">
        <v>56</v>
      </c>
      <c r="E3" s="21" t="s">
        <v>57</v>
      </c>
      <c r="F3" s="21" t="s">
        <v>66</v>
      </c>
      <c r="G3" s="21" t="s">
        <v>113</v>
      </c>
      <c r="H3" s="21" t="s">
        <v>114</v>
      </c>
      <c r="W3" s="13"/>
      <c r="Y3" s="53"/>
      <c r="Z3" s="44"/>
      <c r="AA3" s="44"/>
      <c r="AB3" s="44"/>
      <c r="AC3" s="44"/>
      <c r="AD3" s="44"/>
      <c r="AE3" s="34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</row>
    <row r="4" spans="1:177" x14ac:dyDescent="0.2">
      <c r="A4" s="22" t="s">
        <v>1</v>
      </c>
      <c r="B4" s="12">
        <v>8.4041548630783808E-2</v>
      </c>
      <c r="D4" s="11">
        <v>-0.31910575650253481</v>
      </c>
      <c r="E4" s="11">
        <v>1.1696855272770963</v>
      </c>
      <c r="F4" s="11">
        <v>-0.86822569469299848</v>
      </c>
      <c r="G4" s="11">
        <v>-1.0673948067538359</v>
      </c>
      <c r="H4" s="11">
        <v>1.7666656150421955</v>
      </c>
      <c r="I4" s="22" t="s">
        <v>0</v>
      </c>
      <c r="J4" s="83">
        <f>SUMPRODUCT(B4:B10,D4:D10)</f>
        <v>-0.16603578369811844</v>
      </c>
      <c r="M4" s="21" t="s">
        <v>50</v>
      </c>
      <c r="N4" s="21" t="s">
        <v>51</v>
      </c>
      <c r="O4" s="21" t="s">
        <v>69</v>
      </c>
      <c r="P4" s="22" t="s">
        <v>53</v>
      </c>
      <c r="Q4" s="86">
        <f>SUMPRODUCT(L7:L11,M5:M9)</f>
        <v>-3.5700287835672686</v>
      </c>
      <c r="R4" s="3"/>
      <c r="S4" s="3"/>
      <c r="Y4" s="10"/>
      <c r="Z4" s="45">
        <f t="shared" ref="Z4:BW4" si="0">SUM(Z8:Z75)</f>
        <v>0</v>
      </c>
      <c r="AA4" s="45">
        <f t="shared" si="0"/>
        <v>0</v>
      </c>
      <c r="AB4" s="45">
        <f>SUM(AB8:AB75)</f>
        <v>0</v>
      </c>
      <c r="AC4" s="45">
        <f t="shared" si="0"/>
        <v>0</v>
      </c>
      <c r="AD4" s="45">
        <f t="shared" si="0"/>
        <v>0</v>
      </c>
      <c r="AE4" s="45">
        <f t="shared" si="0"/>
        <v>0</v>
      </c>
      <c r="AF4" s="45">
        <f t="shared" si="0"/>
        <v>0</v>
      </c>
      <c r="AG4" s="45">
        <f t="shared" si="0"/>
        <v>0</v>
      </c>
      <c r="AH4" s="45">
        <f t="shared" si="0"/>
        <v>0</v>
      </c>
      <c r="AI4" s="45">
        <f t="shared" si="0"/>
        <v>0</v>
      </c>
      <c r="AJ4" s="45">
        <f t="shared" si="0"/>
        <v>0</v>
      </c>
      <c r="AK4" s="45">
        <f t="shared" si="0"/>
        <v>0</v>
      </c>
      <c r="AL4" s="45">
        <f t="shared" si="0"/>
        <v>0</v>
      </c>
      <c r="AM4" s="45">
        <f t="shared" si="0"/>
        <v>0</v>
      </c>
      <c r="AN4" s="45">
        <f t="shared" si="0"/>
        <v>0</v>
      </c>
      <c r="AO4" s="45">
        <f t="shared" si="0"/>
        <v>0</v>
      </c>
      <c r="AP4" s="45">
        <f t="shared" si="0"/>
        <v>0</v>
      </c>
      <c r="AQ4" s="45">
        <f t="shared" si="0"/>
        <v>0</v>
      </c>
      <c r="AR4" s="45">
        <f t="shared" si="0"/>
        <v>0</v>
      </c>
      <c r="AS4" s="45">
        <f t="shared" si="0"/>
        <v>0</v>
      </c>
      <c r="AT4" s="45">
        <f t="shared" si="0"/>
        <v>0</v>
      </c>
      <c r="AU4" s="45">
        <f t="shared" si="0"/>
        <v>0</v>
      </c>
      <c r="AV4" s="45">
        <f t="shared" si="0"/>
        <v>0</v>
      </c>
      <c r="AW4" s="45">
        <f t="shared" si="0"/>
        <v>0</v>
      </c>
      <c r="AX4" s="45">
        <f t="shared" si="0"/>
        <v>0</v>
      </c>
      <c r="AY4" s="45">
        <f t="shared" si="0"/>
        <v>0</v>
      </c>
      <c r="AZ4" s="45">
        <f t="shared" si="0"/>
        <v>0</v>
      </c>
      <c r="BA4" s="45">
        <f t="shared" si="0"/>
        <v>0</v>
      </c>
      <c r="BB4" s="45">
        <f t="shared" si="0"/>
        <v>0</v>
      </c>
      <c r="BC4" s="45">
        <f t="shared" si="0"/>
        <v>0</v>
      </c>
      <c r="BD4" s="45">
        <f t="shared" si="0"/>
        <v>0</v>
      </c>
      <c r="BE4" s="45">
        <f t="shared" si="0"/>
        <v>0</v>
      </c>
      <c r="BF4" s="45">
        <f t="shared" si="0"/>
        <v>0</v>
      </c>
      <c r="BG4" s="45">
        <f t="shared" si="0"/>
        <v>0</v>
      </c>
      <c r="BH4" s="45">
        <f t="shared" si="0"/>
        <v>0</v>
      </c>
      <c r="BI4" s="45">
        <f t="shared" si="0"/>
        <v>0</v>
      </c>
      <c r="BJ4" s="45">
        <f t="shared" si="0"/>
        <v>0</v>
      </c>
      <c r="BK4" s="45">
        <f t="shared" si="0"/>
        <v>0</v>
      </c>
      <c r="BL4" s="45">
        <f t="shared" si="0"/>
        <v>0</v>
      </c>
      <c r="BM4" s="45">
        <f t="shared" si="0"/>
        <v>0</v>
      </c>
      <c r="BN4" s="45">
        <f t="shared" si="0"/>
        <v>0</v>
      </c>
      <c r="BO4" s="45">
        <f t="shared" si="0"/>
        <v>0</v>
      </c>
      <c r="BP4" s="45">
        <f t="shared" si="0"/>
        <v>0</v>
      </c>
      <c r="BQ4" s="45">
        <f t="shared" si="0"/>
        <v>0</v>
      </c>
      <c r="BR4" s="45">
        <f t="shared" si="0"/>
        <v>0</v>
      </c>
      <c r="BS4" s="45">
        <f t="shared" si="0"/>
        <v>0</v>
      </c>
      <c r="BT4" s="45">
        <f t="shared" si="0"/>
        <v>0</v>
      </c>
      <c r="BU4" s="45">
        <f t="shared" si="0"/>
        <v>0</v>
      </c>
      <c r="BV4" s="45">
        <f t="shared" si="0"/>
        <v>0</v>
      </c>
      <c r="BW4" s="45">
        <f t="shared" si="0"/>
        <v>0</v>
      </c>
      <c r="BX4" s="45">
        <f>SUM(BX8:BX75)</f>
        <v>0</v>
      </c>
      <c r="BZ4" s="45">
        <f>SUM(BZ8:BZ75)</f>
        <v>0</v>
      </c>
      <c r="CA4" s="45">
        <f t="shared" ref="CA4" si="1">SUM(CA8:CA75)</f>
        <v>5.9598226795695029E-8</v>
      </c>
      <c r="CB4" s="45">
        <f t="shared" ref="CB4:CC4" si="2">SUM(CB8:CB75)</f>
        <v>-2.7062477460310215E-2</v>
      </c>
      <c r="CC4" s="45">
        <f t="shared" si="2"/>
        <v>2.9787480187635943E-2</v>
      </c>
      <c r="CD4" s="45">
        <f t="shared" ref="CD4:CE4" si="3">SUM(CD8:CD75)</f>
        <v>1.3385806659453421E-3</v>
      </c>
      <c r="CE4" s="45">
        <f t="shared" si="3"/>
        <v>5.3452744606606586E-3</v>
      </c>
      <c r="CF4" s="45">
        <f t="shared" ref="CF4:CG4" si="4">SUM(CF8:CF75)</f>
        <v>6.508896606521616E-3</v>
      </c>
      <c r="CG4" s="45">
        <f t="shared" si="4"/>
        <v>2.8174860788866148E-3</v>
      </c>
      <c r="CH4" s="45">
        <f t="shared" ref="CH4:CI4" si="5">SUM(CH8:CH75)</f>
        <v>-0.20144943487023489</v>
      </c>
      <c r="CI4" s="45">
        <f t="shared" si="5"/>
        <v>0.25772928012976348</v>
      </c>
      <c r="CJ4" s="45">
        <f t="shared" ref="CJ4:CK4" si="6">SUM(CJ8:CJ75)</f>
        <v>0</v>
      </c>
      <c r="CK4" s="45">
        <f t="shared" si="6"/>
        <v>4.081885783782425E-8</v>
      </c>
      <c r="CL4" s="45">
        <f t="shared" ref="CL4:CM4" si="7">SUM(CL8:CL75)</f>
        <v>1.9849775200891769E-2</v>
      </c>
      <c r="CM4" s="45">
        <f t="shared" si="7"/>
        <v>3.1670564849967046E-2</v>
      </c>
      <c r="CN4" s="45">
        <f t="shared" ref="CN4:CO4" si="8">SUM(CN8:CN75)</f>
        <v>1.9344322877915604E-3</v>
      </c>
      <c r="CO4" s="45">
        <f t="shared" si="8"/>
        <v>5.6761035362791186E-4</v>
      </c>
      <c r="CP4" s="45">
        <f t="shared" ref="CP4:CQ4" si="9">SUM(CP8:CP75)</f>
        <v>1.996616660259349E-3</v>
      </c>
      <c r="CQ4" s="45">
        <f t="shared" si="9"/>
        <v>3.3919086228137523E-3</v>
      </c>
      <c r="CR4" s="45">
        <f t="shared" ref="CR4:CS4" si="10">SUM(CR8:CR75)</f>
        <v>0.15991089799070196</v>
      </c>
      <c r="CS4" s="45">
        <f t="shared" si="10"/>
        <v>0.22066187185742775</v>
      </c>
      <c r="CT4" s="45">
        <f t="shared" ref="CT4:CU4" si="11">SUM(CT8:CT75)</f>
        <v>0</v>
      </c>
      <c r="CU4" s="45">
        <f t="shared" si="11"/>
        <v>2.8604619445413173E-8</v>
      </c>
      <c r="CV4" s="45">
        <f t="shared" ref="CV4:CW4" si="12">SUM(CV8:CV75)</f>
        <v>1.3754342383188987E-3</v>
      </c>
      <c r="CW4" s="45">
        <f t="shared" si="12"/>
        <v>7.6287733249573713E-4</v>
      </c>
      <c r="CX4" s="45">
        <f t="shared" ref="CX4:CY4" si="13">SUM(CX8:CX75)</f>
        <v>1.1533033563398543E-2</v>
      </c>
      <c r="CY4" s="45">
        <f t="shared" si="13"/>
        <v>4.8836604483810291E-3</v>
      </c>
      <c r="CZ4" s="45">
        <f t="shared" ref="CZ4:DA4" si="14">SUM(CZ8:CZ75)</f>
        <v>3.9424372012533232E-4</v>
      </c>
      <c r="DA4" s="45">
        <f t="shared" si="14"/>
        <v>2.2653302458128799E-3</v>
      </c>
      <c r="DB4" s="45">
        <f t="shared" ref="DB4:DC4" si="15">SUM(DB8:DB75)</f>
        <v>3.6391306850154181E-2</v>
      </c>
      <c r="DC4" s="45">
        <f t="shared" si="15"/>
        <v>2.3249924038075191E-2</v>
      </c>
      <c r="DD4" s="45">
        <f t="shared" ref="DD4:DE4" si="16">SUM(DD8:DD75)</f>
        <v>0</v>
      </c>
      <c r="DE4" s="45">
        <f t="shared" si="16"/>
        <v>2.5718276937763356E-8</v>
      </c>
      <c r="DF4" s="45">
        <f t="shared" ref="DF4:DG4" si="17">SUM(DF8:DF75)</f>
        <v>0</v>
      </c>
      <c r="DG4" s="45">
        <f t="shared" si="17"/>
        <v>3.0613143200245749E-8</v>
      </c>
      <c r="DH4" s="45">
        <f t="shared" ref="DH4:DI4" si="18">SUM(DH8:DH75)</f>
        <v>0</v>
      </c>
      <c r="DI4" s="45">
        <f t="shared" si="18"/>
        <v>4.0645013864249499E-8</v>
      </c>
      <c r="DJ4" s="45">
        <f t="shared" ref="DJ4:DK4" si="19">SUM(DJ8:DJ75)</f>
        <v>0</v>
      </c>
      <c r="DK4" s="45">
        <f t="shared" si="19"/>
        <v>2.7858264725983275E-8</v>
      </c>
      <c r="DL4" s="45">
        <f t="shared" ref="DL4:DM4" si="20">SUM(DL8:DL75)</f>
        <v>0</v>
      </c>
      <c r="DM4" s="45">
        <f t="shared" si="20"/>
        <v>2.9374600365857242E-8</v>
      </c>
      <c r="DN4" s="45">
        <f t="shared" ref="DN4:DO4" si="21">SUM(DN8:DN75)</f>
        <v>0</v>
      </c>
      <c r="DO4" s="45">
        <f t="shared" si="21"/>
        <v>4.5429746261162713E-8</v>
      </c>
      <c r="DP4" s="45">
        <f t="shared" ref="DP4:DQ4" si="22">SUM(DP8:DP75)</f>
        <v>0</v>
      </c>
      <c r="DQ4" s="45">
        <f t="shared" si="22"/>
        <v>3.3913191525562257E-8</v>
      </c>
      <c r="DR4" s="45">
        <f t="shared" ref="DR4:DS4" si="23">SUM(DR8:DR75)</f>
        <v>8.9791883152345306E-2</v>
      </c>
      <c r="DS4" s="45">
        <f t="shared" si="23"/>
        <v>0.12818252117506071</v>
      </c>
      <c r="DT4" s="45">
        <f t="shared" ref="DT4:DU4" si="24">SUM(DT8:DT75)</f>
        <v>0.10176481437254623</v>
      </c>
      <c r="DU4" s="45">
        <f t="shared" si="24"/>
        <v>0.15036360979683253</v>
      </c>
      <c r="DV4" s="45">
        <f t="shared" ref="DV4:DW4" si="25">SUM(DV8:DV75)</f>
        <v>0.13699501160397978</v>
      </c>
      <c r="DW4" s="45">
        <f t="shared" si="25"/>
        <v>0.21428397629090101</v>
      </c>
      <c r="DX4" s="45">
        <f t="shared" ref="DX4:DY4" si="26">SUM(DX8:DX75)</f>
        <v>0.10275672784877161</v>
      </c>
      <c r="DY4" s="45">
        <f t="shared" si="26"/>
        <v>0.12838840516980798</v>
      </c>
      <c r="DZ4" s="45">
        <f t="shared" ref="DZ4:EA4" si="27">SUM(DZ8:DZ75)</f>
        <v>0.1055808143071536</v>
      </c>
      <c r="EA4" s="45">
        <f t="shared" si="27"/>
        <v>0.15973591692996292</v>
      </c>
      <c r="EB4" s="45">
        <f t="shared" ref="EB4:EC4" si="28">SUM(EB8:EB75)</f>
        <v>6.3294079774438738E-2</v>
      </c>
      <c r="EC4" s="45">
        <f t="shared" si="28"/>
        <v>6.9232786428261875E-2</v>
      </c>
      <c r="ED4" s="45">
        <f t="shared" ref="ED4:EE4" si="29">SUM(ED8:ED75)</f>
        <v>6.3801527978027378E-2</v>
      </c>
      <c r="EE4" s="45">
        <f t="shared" si="29"/>
        <v>0.13588225520573924</v>
      </c>
      <c r="EF4" s="45">
        <f t="shared" ref="EF4:EG4" si="30">SUM(EF8:EF75)</f>
        <v>1.069651981649747E-2</v>
      </c>
      <c r="EG4" s="45">
        <f t="shared" si="30"/>
        <v>4.7603572739038846E-3</v>
      </c>
      <c r="EH4" s="45">
        <f t="shared" ref="EH4:EI4" si="31">SUM(EH8:EH75)</f>
        <v>1.117986566342E-2</v>
      </c>
      <c r="EI4" s="45">
        <f t="shared" si="31"/>
        <v>6.0582721611461311E-3</v>
      </c>
      <c r="EJ4" s="45">
        <f t="shared" ref="EJ4:EK4" si="32">SUM(EJ8:EJ75)</f>
        <v>4.6600835554438939E-2</v>
      </c>
      <c r="EK4" s="45">
        <f t="shared" si="32"/>
        <v>4.2355873254493998E-2</v>
      </c>
      <c r="EL4" s="45">
        <f t="shared" ref="EL4:EM4" si="33">SUM(EL8:EL75)</f>
        <v>6.6133013831879226E-3</v>
      </c>
      <c r="EM4" s="45">
        <f t="shared" si="33"/>
        <v>4.50064694899903E-3</v>
      </c>
      <c r="EN4" s="45">
        <f t="shared" ref="EN4:EO4" si="34">SUM(EN8:EN75)</f>
        <v>1.8671325129283187E-2</v>
      </c>
      <c r="EO4" s="45">
        <f t="shared" si="34"/>
        <v>9.5030716089406931E-3</v>
      </c>
      <c r="EP4" s="45">
        <f t="shared" ref="EP4:EQ4" si="35">SUM(EP8:EP75)</f>
        <v>2.141274179624449E-2</v>
      </c>
      <c r="EQ4" s="45">
        <f t="shared" si="35"/>
        <v>1.8429314773817766E-2</v>
      </c>
      <c r="ER4" s="45">
        <f t="shared" ref="ER4:ES4" si="36">SUM(ER8:ER75)</f>
        <v>5.480615871416062E-3</v>
      </c>
      <c r="ES4" s="45">
        <f t="shared" si="36"/>
        <v>6.1798659910252711E-3</v>
      </c>
      <c r="ET4" s="45">
        <f t="shared" ref="ET4:EU4" si="37">SUM(ET8:ET75)</f>
        <v>9.7681447301197072E-3</v>
      </c>
      <c r="EU4" s="45">
        <f t="shared" si="37"/>
        <v>7.099594798822456E-3</v>
      </c>
      <c r="EV4" s="45">
        <f t="shared" ref="EV4:EW4" si="38">SUM(EV8:EV75)</f>
        <v>1.0730023024167392E-2</v>
      </c>
      <c r="EW4" s="45">
        <f t="shared" si="38"/>
        <v>9.5315448706623594E-3</v>
      </c>
      <c r="EX4" s="45">
        <f t="shared" ref="EX4:EY4" si="39">SUM(EX8:EX75)</f>
        <v>3.7941171027726983E-2</v>
      </c>
      <c r="EY4" s="45">
        <f t="shared" si="39"/>
        <v>5.6034749323688349E-2</v>
      </c>
      <c r="EZ4" s="45">
        <f t="shared" ref="EZ4:FA4" si="40">SUM(EZ8:EZ75)</f>
        <v>6.6177933069787032E-3</v>
      </c>
      <c r="FA4" s="45">
        <f t="shared" si="40"/>
        <v>7.89152968279405E-3</v>
      </c>
      <c r="FB4" s="45">
        <f t="shared" ref="FB4:FC4" si="41">SUM(FB8:FB75)</f>
        <v>1.6239882513323076E-2</v>
      </c>
      <c r="FC4" s="45">
        <f t="shared" si="41"/>
        <v>1.3049332980064231E-2</v>
      </c>
      <c r="FD4" s="45">
        <f t="shared" ref="FD4:FE4" si="42">SUM(FD8:FD75)</f>
        <v>1.8860972163324535E-2</v>
      </c>
      <c r="FE4" s="45">
        <f t="shared" si="42"/>
        <v>2.7940005850637356E-2</v>
      </c>
      <c r="FF4" s="45">
        <f t="shared" ref="FF4:FG4" si="43">SUM(FF8:FF75)</f>
        <v>6.9380708910336767E-3</v>
      </c>
      <c r="FG4" s="45">
        <f t="shared" si="43"/>
        <v>1.0829946058299062E-2</v>
      </c>
      <c r="FH4" s="45">
        <f t="shared" ref="FH4:FI4" si="44">SUM(FH8:FH75)</f>
        <v>-1.0752068275822318E-2</v>
      </c>
      <c r="FI4" s="45">
        <f t="shared" si="44"/>
        <v>3.5219780050993843E-3</v>
      </c>
      <c r="FJ4" s="45">
        <f t="shared" ref="FJ4:FK4" si="45">SUM(FJ8:FJ75)</f>
        <v>-1.1417999052654219E-2</v>
      </c>
      <c r="FK4" s="45">
        <f t="shared" si="45"/>
        <v>4.5859165722254439E-3</v>
      </c>
      <c r="FL4" s="45">
        <f t="shared" ref="FL4:FM4" si="46">SUM(FL8:FL75)</f>
        <v>-4.1992642547135306E-2</v>
      </c>
      <c r="FM4" s="45">
        <f t="shared" si="46"/>
        <v>3.0710753394913536E-2</v>
      </c>
      <c r="FN4" s="45">
        <f t="shared" ref="FN4:FO4" si="47">SUM(FN8:FN75)</f>
        <v>-7.3906258660390925E-3</v>
      </c>
      <c r="FO4" s="45">
        <f t="shared" si="47"/>
        <v>3.5951274674352052E-3</v>
      </c>
      <c r="FP4" s="45">
        <f t="shared" ref="FP4:FQ4" si="48">SUM(FP8:FP75)</f>
        <v>-1.7732819073972686E-2</v>
      </c>
      <c r="FQ4" s="45">
        <f t="shared" si="48"/>
        <v>6.9745646632206337E-3</v>
      </c>
      <c r="FR4" s="45">
        <f t="shared" ref="FR4:FS4" si="49">SUM(FR8:FR75)</f>
        <v>-1.9034323283835534E-2</v>
      </c>
      <c r="FS4" s="45">
        <f t="shared" si="49"/>
        <v>1.3176835071953417E-2</v>
      </c>
      <c r="FT4" s="45">
        <f t="shared" ref="FT4:FU4" si="50">SUM(FT8:FT75)</f>
        <v>-6.2901967293192106E-3</v>
      </c>
      <c r="FU4" s="45">
        <f t="shared" si="50"/>
        <v>5.0385457516056381E-3</v>
      </c>
    </row>
    <row r="5" spans="1:177" s="31" customFormat="1" x14ac:dyDescent="0.2">
      <c r="A5" s="22" t="s">
        <v>2</v>
      </c>
      <c r="B5" s="12">
        <v>0.1322314049586778</v>
      </c>
      <c r="C5"/>
      <c r="D5" s="11">
        <v>-8.0826215372107865E-2</v>
      </c>
      <c r="E5" s="11">
        <v>0.50917766690877531</v>
      </c>
      <c r="F5" s="11">
        <v>-0.35381750798539707</v>
      </c>
      <c r="G5" s="11">
        <v>-0.34734215050195727</v>
      </c>
      <c r="H5" s="11">
        <v>2.149739621678934</v>
      </c>
      <c r="I5" s="6"/>
      <c r="J5" s="84"/>
      <c r="K5"/>
      <c r="L5"/>
      <c r="M5" s="11">
        <v>0.4129527901894452</v>
      </c>
      <c r="N5" s="11">
        <v>0.62834688242775938</v>
      </c>
      <c r="O5" s="11">
        <v>0.62603598660897686</v>
      </c>
      <c r="P5" s="4"/>
      <c r="Q5" s="86"/>
      <c r="R5"/>
      <c r="S5"/>
      <c r="T5" s="4"/>
      <c r="U5" s="3"/>
      <c r="V5" s="4"/>
      <c r="W5" s="13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 s="69" t="s">
        <v>163</v>
      </c>
      <c r="CA5" s="69" t="s">
        <v>163</v>
      </c>
      <c r="CB5" s="69" t="s">
        <v>164</v>
      </c>
      <c r="CC5" s="69" t="s">
        <v>164</v>
      </c>
      <c r="CD5" s="69" t="s">
        <v>165</v>
      </c>
      <c r="CE5" s="69" t="s">
        <v>165</v>
      </c>
      <c r="CF5" s="69" t="s">
        <v>167</v>
      </c>
      <c r="CG5" s="69" t="s">
        <v>167</v>
      </c>
      <c r="CH5" s="69" t="s">
        <v>168</v>
      </c>
      <c r="CI5" s="69" t="s">
        <v>168</v>
      </c>
      <c r="CJ5" s="69" t="s">
        <v>169</v>
      </c>
      <c r="CK5" s="69" t="s">
        <v>169</v>
      </c>
      <c r="CL5" s="69" t="s">
        <v>170</v>
      </c>
      <c r="CM5" s="69" t="s">
        <v>170</v>
      </c>
      <c r="CN5" s="69" t="s">
        <v>171</v>
      </c>
      <c r="CO5" s="69" t="s">
        <v>171</v>
      </c>
      <c r="CP5" s="69" t="s">
        <v>172</v>
      </c>
      <c r="CQ5" s="69" t="s">
        <v>172</v>
      </c>
      <c r="CR5" s="69" t="s">
        <v>173</v>
      </c>
      <c r="CS5" s="69" t="s">
        <v>173</v>
      </c>
      <c r="CT5" s="69" t="s">
        <v>174</v>
      </c>
      <c r="CU5" s="69" t="s">
        <v>174</v>
      </c>
      <c r="CV5" s="69" t="s">
        <v>175</v>
      </c>
      <c r="CW5" s="69" t="s">
        <v>175</v>
      </c>
      <c r="CX5" s="69" t="s">
        <v>176</v>
      </c>
      <c r="CY5" s="69" t="s">
        <v>176</v>
      </c>
      <c r="CZ5" s="69" t="s">
        <v>177</v>
      </c>
      <c r="DA5" s="69" t="s">
        <v>177</v>
      </c>
      <c r="DB5" s="69" t="s">
        <v>178</v>
      </c>
      <c r="DC5" s="69" t="s">
        <v>178</v>
      </c>
      <c r="DD5" s="69" t="s">
        <v>179</v>
      </c>
      <c r="DE5" s="69" t="s">
        <v>179</v>
      </c>
      <c r="DF5" s="69" t="s">
        <v>180</v>
      </c>
      <c r="DG5" s="69" t="s">
        <v>180</v>
      </c>
      <c r="DH5" s="69" t="s">
        <v>181</v>
      </c>
      <c r="DI5" s="69" t="s">
        <v>181</v>
      </c>
      <c r="DJ5" s="69" t="s">
        <v>182</v>
      </c>
      <c r="DK5" s="69" t="s">
        <v>182</v>
      </c>
      <c r="DL5" s="69" t="s">
        <v>183</v>
      </c>
      <c r="DM5" s="69" t="s">
        <v>183</v>
      </c>
      <c r="DN5" s="69" t="s">
        <v>184</v>
      </c>
      <c r="DO5" s="69" t="s">
        <v>184</v>
      </c>
      <c r="DP5" s="69" t="s">
        <v>185</v>
      </c>
      <c r="DQ5" s="69" t="s">
        <v>185</v>
      </c>
      <c r="DR5" s="69" t="s">
        <v>186</v>
      </c>
      <c r="DS5" s="69" t="s">
        <v>186</v>
      </c>
      <c r="DT5" s="69" t="s">
        <v>187</v>
      </c>
      <c r="DU5" s="69" t="s">
        <v>187</v>
      </c>
      <c r="DV5" s="69" t="s">
        <v>188</v>
      </c>
      <c r="DW5" s="69" t="s">
        <v>188</v>
      </c>
      <c r="DX5" s="69" t="s">
        <v>189</v>
      </c>
      <c r="DY5" s="69" t="s">
        <v>189</v>
      </c>
      <c r="DZ5" s="69" t="s">
        <v>190</v>
      </c>
      <c r="EA5" s="69" t="s">
        <v>190</v>
      </c>
      <c r="EB5" s="69" t="s">
        <v>191</v>
      </c>
      <c r="EC5" s="69" t="s">
        <v>191</v>
      </c>
      <c r="ED5" s="69" t="s">
        <v>192</v>
      </c>
      <c r="EE5" s="69" t="s">
        <v>192</v>
      </c>
      <c r="EF5" s="69" t="s">
        <v>193</v>
      </c>
      <c r="EG5" s="69" t="s">
        <v>193</v>
      </c>
      <c r="EH5" s="69" t="s">
        <v>194</v>
      </c>
      <c r="EI5" s="69" t="s">
        <v>194</v>
      </c>
      <c r="EJ5" s="69" t="s">
        <v>195</v>
      </c>
      <c r="EK5" s="69" t="s">
        <v>195</v>
      </c>
      <c r="EL5" s="69" t="s">
        <v>196</v>
      </c>
      <c r="EM5" s="69" t="s">
        <v>196</v>
      </c>
      <c r="EN5" s="69" t="s">
        <v>197</v>
      </c>
      <c r="EO5" s="69" t="s">
        <v>197</v>
      </c>
      <c r="EP5" s="69" t="s">
        <v>198</v>
      </c>
      <c r="EQ5" s="69" t="s">
        <v>198</v>
      </c>
      <c r="ER5" s="69" t="s">
        <v>199</v>
      </c>
      <c r="ES5" s="69" t="s">
        <v>199</v>
      </c>
      <c r="ET5" s="69" t="s">
        <v>200</v>
      </c>
      <c r="EU5" s="69" t="s">
        <v>200</v>
      </c>
      <c r="EV5" s="69" t="s">
        <v>201</v>
      </c>
      <c r="EW5" s="69" t="s">
        <v>201</v>
      </c>
      <c r="EX5" s="69" t="s">
        <v>202</v>
      </c>
      <c r="EY5" s="69" t="s">
        <v>202</v>
      </c>
      <c r="EZ5" s="69" t="s">
        <v>203</v>
      </c>
      <c r="FA5" s="69" t="s">
        <v>203</v>
      </c>
      <c r="FB5" s="69" t="s">
        <v>204</v>
      </c>
      <c r="FC5" s="69" t="s">
        <v>204</v>
      </c>
      <c r="FD5" s="69" t="s">
        <v>205</v>
      </c>
      <c r="FE5" s="69" t="s">
        <v>205</v>
      </c>
      <c r="FF5" s="69" t="s">
        <v>206</v>
      </c>
      <c r="FG5" s="69" t="s">
        <v>206</v>
      </c>
      <c r="FH5" s="69" t="s">
        <v>207</v>
      </c>
      <c r="FI5" s="69" t="s">
        <v>207</v>
      </c>
      <c r="FJ5" s="69" t="s">
        <v>208</v>
      </c>
      <c r="FK5" s="69" t="s">
        <v>208</v>
      </c>
      <c r="FL5" s="69" t="s">
        <v>209</v>
      </c>
      <c r="FM5" s="69" t="s">
        <v>209</v>
      </c>
      <c r="FN5" s="69" t="s">
        <v>210</v>
      </c>
      <c r="FO5" s="69" t="s">
        <v>210</v>
      </c>
      <c r="FP5" s="69" t="s">
        <v>211</v>
      </c>
      <c r="FQ5" s="69" t="s">
        <v>211</v>
      </c>
      <c r="FR5" s="69" t="s">
        <v>212</v>
      </c>
      <c r="FS5" s="69" t="s">
        <v>212</v>
      </c>
      <c r="FT5" s="69" t="s">
        <v>213</v>
      </c>
      <c r="FU5" s="69" t="s">
        <v>213</v>
      </c>
    </row>
    <row r="6" spans="1:177" x14ac:dyDescent="0.2">
      <c r="A6" s="22" t="s">
        <v>47</v>
      </c>
      <c r="B6" s="12">
        <v>0.35571687840290406</v>
      </c>
      <c r="D6" s="11">
        <v>-0.30009828849931891</v>
      </c>
      <c r="E6" s="11">
        <v>-1.9613811273637576</v>
      </c>
      <c r="F6" s="11">
        <v>0.28278566948105982</v>
      </c>
      <c r="G6" s="11">
        <v>-0.35452937906960102</v>
      </c>
      <c r="H6" s="11">
        <v>0.8439156976197375</v>
      </c>
      <c r="I6" s="6"/>
      <c r="J6" s="84"/>
      <c r="M6" s="11">
        <v>-3.3085070142445776</v>
      </c>
      <c r="N6" s="11">
        <v>3.5242201481460791</v>
      </c>
      <c r="O6" s="11">
        <v>-0.80634277761974782</v>
      </c>
      <c r="P6" s="4"/>
      <c r="Q6" s="86"/>
      <c r="R6" s="5" t="s">
        <v>226</v>
      </c>
      <c r="T6" s="4"/>
      <c r="U6" s="3"/>
      <c r="V6" s="4"/>
      <c r="W6" s="13"/>
      <c r="Z6" s="42" t="s">
        <v>101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Z6">
        <f t="shared" ref="BZ6:DE6" si="51">BZ30</f>
        <v>0</v>
      </c>
      <c r="CA6">
        <f t="shared" si="51"/>
        <v>2.7375640084760658E-9</v>
      </c>
      <c r="CB6">
        <f t="shared" si="51"/>
        <v>-3.0018624226493705E-3</v>
      </c>
      <c r="CC6">
        <f t="shared" si="51"/>
        <v>1.3682476484477607E-3</v>
      </c>
      <c r="CD6">
        <f t="shared" si="51"/>
        <v>1.4847993893683347E-4</v>
      </c>
      <c r="CE6">
        <f t="shared" si="51"/>
        <v>2.4552795889537982E-4</v>
      </c>
      <c r="CF6">
        <f t="shared" si="51"/>
        <v>7.2198904053344111E-4</v>
      </c>
      <c r="CG6">
        <f t="shared" si="51"/>
        <v>1.2941741556142224E-4</v>
      </c>
      <c r="CH6">
        <f t="shared" si="51"/>
        <v>-2.2345459298314295E-2</v>
      </c>
      <c r="CI6">
        <f t="shared" si="51"/>
        <v>1.1838446194587963E-2</v>
      </c>
      <c r="CJ6">
        <f t="shared" si="51"/>
        <v>0</v>
      </c>
      <c r="CK6">
        <f t="shared" si="51"/>
        <v>1.8749590733125723E-9</v>
      </c>
      <c r="CL6">
        <f t="shared" si="51"/>
        <v>2.2018048554861068E-3</v>
      </c>
      <c r="CM6">
        <f t="shared" si="51"/>
        <v>1.4547445976637614E-3</v>
      </c>
      <c r="CN6">
        <f t="shared" si="51"/>
        <v>2.145738357619892E-4</v>
      </c>
      <c r="CO6">
        <f t="shared" si="51"/>
        <v>2.6072414541071283E-5</v>
      </c>
      <c r="CP6">
        <f t="shared" si="51"/>
        <v>2.2147153872583854E-4</v>
      </c>
      <c r="CQ6">
        <f t="shared" si="51"/>
        <v>1.5580273885808417E-4</v>
      </c>
      <c r="CR6">
        <f t="shared" si="51"/>
        <v>1.7737862926792903E-2</v>
      </c>
      <c r="CS6">
        <f t="shared" si="51"/>
        <v>1.0135804887461618E-2</v>
      </c>
      <c r="CT6">
        <f t="shared" si="51"/>
        <v>0</v>
      </c>
      <c r="CU6">
        <f t="shared" si="51"/>
        <v>1.3139145387388284E-9</v>
      </c>
      <c r="CV6">
        <f t="shared" si="51"/>
        <v>1.5256786304543809E-4</v>
      </c>
      <c r="CW6">
        <f t="shared" si="51"/>
        <v>3.504173933700679E-5</v>
      </c>
      <c r="CX6">
        <f t="shared" si="51"/>
        <v>1.2792834700331691E-3</v>
      </c>
      <c r="CY6">
        <f t="shared" si="51"/>
        <v>2.2432434305363769E-4</v>
      </c>
      <c r="CZ6">
        <f t="shared" si="51"/>
        <v>4.3730859842577201E-5</v>
      </c>
      <c r="DA6">
        <f t="shared" si="51"/>
        <v>1.040548835371983E-4</v>
      </c>
      <c r="DB6">
        <f t="shared" si="51"/>
        <v>4.0366480380369532E-3</v>
      </c>
      <c r="DC6">
        <f t="shared" si="51"/>
        <v>1.0679538413890307E-3</v>
      </c>
      <c r="DD6">
        <f t="shared" si="51"/>
        <v>0</v>
      </c>
      <c r="DE6">
        <f t="shared" si="51"/>
        <v>1.1813342961728289E-9</v>
      </c>
      <c r="DF6">
        <f t="shared" ref="DF6:EE6" si="52">DF30</f>
        <v>0</v>
      </c>
      <c r="DG6">
        <f t="shared" si="52"/>
        <v>1.4061733631539876E-9</v>
      </c>
      <c r="DH6">
        <f t="shared" si="52"/>
        <v>0</v>
      </c>
      <c r="DI6">
        <f t="shared" si="52"/>
        <v>1.8669737853143208E-9</v>
      </c>
      <c r="DJ6">
        <f t="shared" si="52"/>
        <v>0</v>
      </c>
      <c r="DK6">
        <f t="shared" si="52"/>
        <v>1.2796317433048014E-9</v>
      </c>
      <c r="DL6">
        <f t="shared" si="52"/>
        <v>0</v>
      </c>
      <c r="DM6">
        <f t="shared" si="52"/>
        <v>1.3492825717886509E-9</v>
      </c>
      <c r="DN6">
        <f t="shared" si="52"/>
        <v>0</v>
      </c>
      <c r="DO6">
        <f t="shared" si="52"/>
        <v>2.0867540020123982E-9</v>
      </c>
      <c r="DP6">
        <f t="shared" si="52"/>
        <v>0</v>
      </c>
      <c r="DQ6">
        <f t="shared" si="52"/>
        <v>1.5577566233839839E-9</v>
      </c>
      <c r="DR6">
        <f t="shared" si="52"/>
        <v>9.9600223331089942E-3</v>
      </c>
      <c r="DS6">
        <f t="shared" si="52"/>
        <v>5.8878908878865262E-3</v>
      </c>
      <c r="DT6">
        <f t="shared" si="52"/>
        <v>1.1288100753556558E-2</v>
      </c>
      <c r="DU6">
        <f t="shared" si="52"/>
        <v>6.9067492188220822E-3</v>
      </c>
      <c r="DV6">
        <f t="shared" si="52"/>
        <v>1.519595454730727E-2</v>
      </c>
      <c r="DW6">
        <f t="shared" si="52"/>
        <v>9.8428448735236925E-3</v>
      </c>
      <c r="DX6">
        <f t="shared" si="52"/>
        <v>1.1398127183884952E-2</v>
      </c>
      <c r="DY6">
        <f t="shared" si="52"/>
        <v>5.8973478909593452E-3</v>
      </c>
      <c r="DZ6">
        <f t="shared" si="52"/>
        <v>1.1711384498562179E-2</v>
      </c>
      <c r="EA6">
        <f t="shared" si="52"/>
        <v>7.3372534815075363E-3</v>
      </c>
      <c r="EB6">
        <f t="shared" si="52"/>
        <v>7.0207954881334553E-3</v>
      </c>
      <c r="EC6">
        <f t="shared" si="52"/>
        <v>3.1801144853224102E-3</v>
      </c>
      <c r="ED6">
        <f t="shared" si="52"/>
        <v>7.0770833758934601E-3</v>
      </c>
      <c r="EE6">
        <f t="shared" si="52"/>
        <v>6.2415677653795748E-3</v>
      </c>
      <c r="EF6">
        <f t="shared" ref="EF6:EG6" si="53">EF30</f>
        <v>1.1864945083967207E-3</v>
      </c>
      <c r="EG6">
        <f t="shared" si="53"/>
        <v>2.1866057836250665E-4</v>
      </c>
      <c r="EH6">
        <f t="shared" ref="EH6:EI6" si="54">EH30</f>
        <v>1.2401088804418646E-3</v>
      </c>
      <c r="EI6">
        <f t="shared" si="54"/>
        <v>2.7827854474194098E-4</v>
      </c>
      <c r="EJ6">
        <f t="shared" ref="EJ6:EK6" si="55">EJ30</f>
        <v>5.1691238291133711E-3</v>
      </c>
      <c r="EK6">
        <f t="shared" si="55"/>
        <v>1.9455597993974607E-3</v>
      </c>
      <c r="EL6">
        <f t="shared" ref="EL6:EM6" si="56">EL30</f>
        <v>7.3356997492052137E-4</v>
      </c>
      <c r="EM6">
        <f t="shared" si="56"/>
        <v>2.0673113555330364E-4</v>
      </c>
      <c r="EN6">
        <f t="shared" ref="EN6:EO6" si="57">EN30</f>
        <v>2.0710871489450704E-3</v>
      </c>
      <c r="EO6">
        <f t="shared" si="57"/>
        <v>4.365107521703305E-4</v>
      </c>
      <c r="EP6">
        <f t="shared" ref="EP6:EQ6" si="58">EP30</f>
        <v>2.3751744480271651E-3</v>
      </c>
      <c r="EQ6">
        <f t="shared" si="58"/>
        <v>8.4652566927249603E-4</v>
      </c>
      <c r="ER6">
        <f t="shared" ref="ER6:ES6" si="59">ER30</f>
        <v>6.0792862964997082E-4</v>
      </c>
      <c r="ES6">
        <f t="shared" si="59"/>
        <v>2.8386379299892334E-4</v>
      </c>
      <c r="ET6">
        <f t="shared" ref="ET6:EU6" si="60">ET30</f>
        <v>1.0835159732641385E-3</v>
      </c>
      <c r="EU6">
        <f t="shared" si="60"/>
        <v>3.2611029288918589E-4</v>
      </c>
      <c r="EV6">
        <f t="shared" ref="EV6:EW6" si="61">EV30</f>
        <v>1.1902107986103588E-3</v>
      </c>
      <c r="EW6">
        <f t="shared" si="61"/>
        <v>4.3781863296954231E-4</v>
      </c>
      <c r="EX6">
        <f t="shared" ref="EX6:EY6" si="62">EX30</f>
        <v>4.2085642656509792E-3</v>
      </c>
      <c r="EY6">
        <f t="shared" si="62"/>
        <v>2.5738804863836688E-3</v>
      </c>
      <c r="EZ6">
        <f t="shared" ref="EZ6:FA6" si="63">EZ30</f>
        <v>7.3406823444804306E-4</v>
      </c>
      <c r="FA6">
        <f t="shared" si="63"/>
        <v>3.6248675158567019E-4</v>
      </c>
      <c r="FB6">
        <f t="shared" ref="FB6:FC6" si="64">FB30</f>
        <v>1.8013832302117084E-3</v>
      </c>
      <c r="FC6">
        <f t="shared" si="64"/>
        <v>5.9940347593401852E-4</v>
      </c>
      <c r="FD6">
        <f t="shared" ref="FD6:FE6" si="65">FD30</f>
        <v>2.0921234456363312E-3</v>
      </c>
      <c r="FE6">
        <f t="shared" si="65"/>
        <v>1.2833864114031065E-3</v>
      </c>
      <c r="FF6">
        <f t="shared" ref="FF6:FG6" si="66">FF30</f>
        <v>7.6959451787133953E-4</v>
      </c>
      <c r="FG6">
        <f t="shared" si="66"/>
        <v>4.9745893690042301E-4</v>
      </c>
      <c r="FH6">
        <f t="shared" ref="FH6:FI6" si="67">FH30</f>
        <v>-1.1926561332120352E-3</v>
      </c>
      <c r="FI6">
        <f t="shared" si="67"/>
        <v>1.6177730016123326E-4</v>
      </c>
      <c r="FJ6">
        <f t="shared" ref="FJ6:FK6" si="68">FJ30</f>
        <v>-1.2665234492398882E-3</v>
      </c>
      <c r="FK6">
        <f t="shared" si="68"/>
        <v>2.1064788046521444E-4</v>
      </c>
      <c r="FL6">
        <f t="shared" ref="FL6:FM6" si="69">FL30</f>
        <v>-4.6579673230163939E-3</v>
      </c>
      <c r="FM6">
        <f t="shared" si="69"/>
        <v>1.410656955538353E-3</v>
      </c>
      <c r="FN6">
        <f t="shared" ref="FN6:FO6" si="70">FN30</f>
        <v>-8.1979346124761289E-4</v>
      </c>
      <c r="FO6">
        <f t="shared" si="70"/>
        <v>1.651373218614826E-4</v>
      </c>
      <c r="FP6">
        <f t="shared" ref="FP6:FQ6" si="71">FP30</f>
        <v>-1.966984852139567E-3</v>
      </c>
      <c r="FQ6">
        <f t="shared" si="71"/>
        <v>3.2036720257255991E-4</v>
      </c>
      <c r="FR6">
        <f t="shared" ref="FR6:FS6" si="72">FR30</f>
        <v>-2.1113521439456158E-3</v>
      </c>
      <c r="FS6">
        <f t="shared" si="72"/>
        <v>6.052601122221717E-4</v>
      </c>
      <c r="FT6">
        <f t="shared" ref="FT6:FU6" si="73">FT30</f>
        <v>-6.9773010325858292E-4</v>
      </c>
      <c r="FU6">
        <f t="shared" si="73"/>
        <v>2.3143879014957401E-4</v>
      </c>
    </row>
    <row r="7" spans="1:177" x14ac:dyDescent="0.2">
      <c r="A7" s="22" t="s">
        <v>48</v>
      </c>
      <c r="B7" s="12">
        <v>0.15822072072072058</v>
      </c>
      <c r="D7" s="11">
        <v>-0.47465677165977049</v>
      </c>
      <c r="E7" s="11">
        <v>-0.43542165699891278</v>
      </c>
      <c r="F7" s="11">
        <v>-1.3124073105466478</v>
      </c>
      <c r="G7" s="11">
        <v>1.0321134855685083E-2</v>
      </c>
      <c r="H7" s="11">
        <v>0.97197036371037615</v>
      </c>
      <c r="I7" s="6"/>
      <c r="J7" s="84"/>
      <c r="K7" s="22" t="s">
        <v>121</v>
      </c>
      <c r="L7" s="11">
        <f>MAX(0,J4)</f>
        <v>0</v>
      </c>
      <c r="M7" s="11">
        <v>-1.0232612222838235</v>
      </c>
      <c r="N7" s="11">
        <v>-3.8947315086096048</v>
      </c>
      <c r="O7" s="11">
        <v>2.1107165163243198</v>
      </c>
      <c r="Q7" s="85"/>
      <c r="R7" s="22" t="s">
        <v>155</v>
      </c>
      <c r="S7" s="11">
        <f>1/(1+EXP(-Q4))</f>
        <v>2.7384044313605912E-2</v>
      </c>
      <c r="T7" s="32" t="s">
        <v>53</v>
      </c>
      <c r="U7" s="3">
        <v>0</v>
      </c>
      <c r="V7" s="32" t="s">
        <v>52</v>
      </c>
      <c r="W7" s="13">
        <f>((S7-U7)^2)</f>
        <v>7.4988588296953228E-4</v>
      </c>
      <c r="Z7" s="41" t="s">
        <v>77</v>
      </c>
      <c r="AA7" s="20" t="s">
        <v>78</v>
      </c>
      <c r="AB7" s="20" t="s">
        <v>79</v>
      </c>
      <c r="AC7" s="20" t="s">
        <v>126</v>
      </c>
      <c r="AD7" s="20" t="s">
        <v>127</v>
      </c>
      <c r="AE7" s="41" t="s">
        <v>80</v>
      </c>
      <c r="AF7" s="20" t="s">
        <v>81</v>
      </c>
      <c r="AG7" s="20" t="s">
        <v>82</v>
      </c>
      <c r="AH7" s="20" t="s">
        <v>128</v>
      </c>
      <c r="AI7" s="20" t="s">
        <v>129</v>
      </c>
      <c r="AJ7" s="41" t="s">
        <v>83</v>
      </c>
      <c r="AK7" s="20" t="s">
        <v>84</v>
      </c>
      <c r="AL7" s="20" t="s">
        <v>85</v>
      </c>
      <c r="AM7" s="20" t="s">
        <v>130</v>
      </c>
      <c r="AN7" s="20" t="s">
        <v>131</v>
      </c>
      <c r="AO7" s="41" t="s">
        <v>86</v>
      </c>
      <c r="AP7" s="20" t="s">
        <v>87</v>
      </c>
      <c r="AQ7" s="20" t="s">
        <v>88</v>
      </c>
      <c r="AR7" s="20" t="s">
        <v>89</v>
      </c>
      <c r="AS7" s="20" t="s">
        <v>90</v>
      </c>
      <c r="AT7" s="20" t="s">
        <v>132</v>
      </c>
      <c r="AU7" s="20" t="s">
        <v>133</v>
      </c>
      <c r="AV7" s="41" t="s">
        <v>91</v>
      </c>
      <c r="AW7" s="20" t="s">
        <v>92</v>
      </c>
      <c r="AX7" s="20" t="s">
        <v>93</v>
      </c>
      <c r="AY7" s="20" t="s">
        <v>94</v>
      </c>
      <c r="AZ7" s="20" t="s">
        <v>95</v>
      </c>
      <c r="BA7" s="20" t="s">
        <v>134</v>
      </c>
      <c r="BB7" s="20" t="s">
        <v>135</v>
      </c>
      <c r="BC7" s="41" t="s">
        <v>96</v>
      </c>
      <c r="BD7" s="20" t="s">
        <v>97</v>
      </c>
      <c r="BE7" s="20" t="s">
        <v>98</v>
      </c>
      <c r="BF7" s="20" t="s">
        <v>99</v>
      </c>
      <c r="BG7" s="20" t="s">
        <v>100</v>
      </c>
      <c r="BH7" s="20" t="s">
        <v>136</v>
      </c>
      <c r="BI7" s="20" t="s">
        <v>137</v>
      </c>
      <c r="BJ7" s="41" t="s">
        <v>138</v>
      </c>
      <c r="BK7" s="20" t="s">
        <v>139</v>
      </c>
      <c r="BL7" s="20" t="s">
        <v>140</v>
      </c>
      <c r="BM7" s="20" t="s">
        <v>141</v>
      </c>
      <c r="BN7" s="20" t="s">
        <v>142</v>
      </c>
      <c r="BO7" s="20" t="s">
        <v>143</v>
      </c>
      <c r="BP7" s="20" t="s">
        <v>144</v>
      </c>
      <c r="BQ7" s="41" t="s">
        <v>145</v>
      </c>
      <c r="BR7" s="20" t="s">
        <v>146</v>
      </c>
      <c r="BS7" s="20" t="s">
        <v>147</v>
      </c>
      <c r="BT7" s="20" t="s">
        <v>148</v>
      </c>
      <c r="BU7" s="20" t="s">
        <v>149</v>
      </c>
      <c r="BV7" s="20" t="s">
        <v>150</v>
      </c>
      <c r="BW7" s="20" t="s">
        <v>151</v>
      </c>
      <c r="BX7" s="41" t="s">
        <v>76</v>
      </c>
      <c r="BZ7" s="20" t="s">
        <v>161</v>
      </c>
      <c r="CA7" s="20" t="s">
        <v>162</v>
      </c>
      <c r="CB7" s="20" t="s">
        <v>161</v>
      </c>
      <c r="CC7" s="20" t="s">
        <v>162</v>
      </c>
      <c r="CD7" s="20" t="s">
        <v>161</v>
      </c>
      <c r="CE7" s="20" t="s">
        <v>162</v>
      </c>
      <c r="CF7" s="20" t="s">
        <v>161</v>
      </c>
      <c r="CG7" s="20" t="s">
        <v>162</v>
      </c>
      <c r="CH7" s="20" t="s">
        <v>161</v>
      </c>
      <c r="CI7" s="20" t="s">
        <v>162</v>
      </c>
      <c r="CJ7" s="20" t="s">
        <v>161</v>
      </c>
      <c r="CK7" s="20" t="s">
        <v>162</v>
      </c>
      <c r="CL7" s="20" t="s">
        <v>161</v>
      </c>
      <c r="CM7" s="20" t="s">
        <v>162</v>
      </c>
      <c r="CN7" s="20" t="s">
        <v>161</v>
      </c>
      <c r="CO7" s="20" t="s">
        <v>162</v>
      </c>
      <c r="CP7" s="20" t="s">
        <v>161</v>
      </c>
      <c r="CQ7" s="20" t="s">
        <v>162</v>
      </c>
      <c r="CR7" s="20" t="s">
        <v>161</v>
      </c>
      <c r="CS7" s="20" t="s">
        <v>162</v>
      </c>
      <c r="CT7" s="20" t="s">
        <v>161</v>
      </c>
      <c r="CU7" s="20" t="s">
        <v>162</v>
      </c>
      <c r="CV7" s="20" t="s">
        <v>161</v>
      </c>
      <c r="CW7" s="20" t="s">
        <v>162</v>
      </c>
      <c r="CX7" s="20" t="s">
        <v>161</v>
      </c>
      <c r="CY7" s="20" t="s">
        <v>162</v>
      </c>
      <c r="CZ7" s="20" t="s">
        <v>161</v>
      </c>
      <c r="DA7" s="20" t="s">
        <v>162</v>
      </c>
      <c r="DB7" s="20" t="s">
        <v>161</v>
      </c>
      <c r="DC7" s="20" t="s">
        <v>162</v>
      </c>
      <c r="DD7" s="20" t="s">
        <v>161</v>
      </c>
      <c r="DE7" s="20" t="s">
        <v>162</v>
      </c>
      <c r="DF7" s="20" t="s">
        <v>161</v>
      </c>
      <c r="DG7" s="20" t="s">
        <v>162</v>
      </c>
      <c r="DH7" s="20" t="s">
        <v>161</v>
      </c>
      <c r="DI7" s="20" t="s">
        <v>162</v>
      </c>
      <c r="DJ7" s="20" t="s">
        <v>161</v>
      </c>
      <c r="DK7" s="20" t="s">
        <v>162</v>
      </c>
      <c r="DL7" s="20" t="s">
        <v>161</v>
      </c>
      <c r="DM7" s="20" t="s">
        <v>162</v>
      </c>
      <c r="DN7" s="20" t="s">
        <v>161</v>
      </c>
      <c r="DO7" s="20" t="s">
        <v>162</v>
      </c>
      <c r="DP7" s="20" t="s">
        <v>161</v>
      </c>
      <c r="DQ7" s="20" t="s">
        <v>162</v>
      </c>
      <c r="DR7" s="20" t="s">
        <v>161</v>
      </c>
      <c r="DS7" s="20" t="s">
        <v>162</v>
      </c>
      <c r="DT7" s="20" t="s">
        <v>161</v>
      </c>
      <c r="DU7" s="20" t="s">
        <v>162</v>
      </c>
      <c r="DV7" s="20" t="s">
        <v>161</v>
      </c>
      <c r="DW7" s="20" t="s">
        <v>162</v>
      </c>
      <c r="DX7" s="20" t="s">
        <v>161</v>
      </c>
      <c r="DY7" s="20" t="s">
        <v>162</v>
      </c>
      <c r="DZ7" s="20" t="s">
        <v>161</v>
      </c>
      <c r="EA7" s="20" t="s">
        <v>162</v>
      </c>
      <c r="EB7" s="20" t="s">
        <v>161</v>
      </c>
      <c r="EC7" s="20" t="s">
        <v>162</v>
      </c>
      <c r="ED7" s="20" t="s">
        <v>161</v>
      </c>
      <c r="EE7" s="20" t="s">
        <v>162</v>
      </c>
      <c r="EF7" s="20" t="s">
        <v>161</v>
      </c>
      <c r="EG7" s="20" t="s">
        <v>162</v>
      </c>
      <c r="EH7" s="20" t="s">
        <v>161</v>
      </c>
      <c r="EI7" s="20" t="s">
        <v>162</v>
      </c>
      <c r="EJ7" s="20" t="s">
        <v>161</v>
      </c>
      <c r="EK7" s="20" t="s">
        <v>162</v>
      </c>
      <c r="EL7" s="20" t="s">
        <v>161</v>
      </c>
      <c r="EM7" s="20" t="s">
        <v>162</v>
      </c>
      <c r="EN7" s="20" t="s">
        <v>161</v>
      </c>
      <c r="EO7" s="20" t="s">
        <v>162</v>
      </c>
      <c r="EP7" s="20" t="s">
        <v>161</v>
      </c>
      <c r="EQ7" s="20" t="s">
        <v>162</v>
      </c>
      <c r="ER7" s="20" t="s">
        <v>161</v>
      </c>
      <c r="ES7" s="20" t="s">
        <v>162</v>
      </c>
      <c r="ET7" s="20" t="s">
        <v>161</v>
      </c>
      <c r="EU7" s="20" t="s">
        <v>162</v>
      </c>
      <c r="EV7" s="20" t="s">
        <v>161</v>
      </c>
      <c r="EW7" s="20" t="s">
        <v>162</v>
      </c>
      <c r="EX7" s="20" t="s">
        <v>161</v>
      </c>
      <c r="EY7" s="20" t="s">
        <v>162</v>
      </c>
      <c r="EZ7" s="20" t="s">
        <v>161</v>
      </c>
      <c r="FA7" s="20" t="s">
        <v>162</v>
      </c>
      <c r="FB7" s="20" t="s">
        <v>161</v>
      </c>
      <c r="FC7" s="20" t="s">
        <v>162</v>
      </c>
      <c r="FD7" s="20" t="s">
        <v>161</v>
      </c>
      <c r="FE7" s="20" t="s">
        <v>162</v>
      </c>
      <c r="FF7" s="20" t="s">
        <v>161</v>
      </c>
      <c r="FG7" s="20" t="s">
        <v>162</v>
      </c>
      <c r="FH7" s="20" t="s">
        <v>161</v>
      </c>
      <c r="FI7" s="20" t="s">
        <v>162</v>
      </c>
      <c r="FJ7" s="20" t="s">
        <v>161</v>
      </c>
      <c r="FK7" s="20" t="s">
        <v>162</v>
      </c>
      <c r="FL7" s="20" t="s">
        <v>161</v>
      </c>
      <c r="FM7" s="20" t="s">
        <v>162</v>
      </c>
      <c r="FN7" s="20" t="s">
        <v>161</v>
      </c>
      <c r="FO7" s="20" t="s">
        <v>162</v>
      </c>
      <c r="FP7" s="20" t="s">
        <v>161</v>
      </c>
      <c r="FQ7" s="20" t="s">
        <v>162</v>
      </c>
      <c r="FR7" s="20" t="s">
        <v>161</v>
      </c>
      <c r="FS7" s="20" t="s">
        <v>162</v>
      </c>
      <c r="FT7" s="20" t="s">
        <v>161</v>
      </c>
      <c r="FU7" s="20" t="s">
        <v>162</v>
      </c>
    </row>
    <row r="8" spans="1:177" x14ac:dyDescent="0.2">
      <c r="A8" s="22" t="s">
        <v>49</v>
      </c>
      <c r="B8" s="12">
        <v>9.1233071988595912E-2</v>
      </c>
      <c r="D8" s="11">
        <v>1.0872052224944796E-2</v>
      </c>
      <c r="E8" s="11">
        <v>1.1764054739275633</v>
      </c>
      <c r="F8" s="11">
        <v>-0.76971238597720992</v>
      </c>
      <c r="G8" s="11">
        <v>-0.85771097075326552</v>
      </c>
      <c r="H8" s="11">
        <v>0.73838040280042527</v>
      </c>
      <c r="I8" s="22" t="s">
        <v>3</v>
      </c>
      <c r="J8" s="83">
        <f>SUMPRODUCT(B4:B10,E4:E10)</f>
        <v>-0.15405380083713655</v>
      </c>
      <c r="K8" s="22" t="s">
        <v>117</v>
      </c>
      <c r="L8" s="11">
        <f>MAX(0,J8)</f>
        <v>0</v>
      </c>
      <c r="M8" s="11">
        <v>-2.1705306109637483</v>
      </c>
      <c r="N8" s="11">
        <v>-1.3343376755048642</v>
      </c>
      <c r="O8" s="11">
        <v>2.7084228010727092</v>
      </c>
      <c r="P8" s="22" t="s">
        <v>54</v>
      </c>
      <c r="Q8" s="86">
        <f>SUMPRODUCT(L7:L11,N5:N9)</f>
        <v>-6.0641559692536049</v>
      </c>
      <c r="R8" s="22" t="s">
        <v>156</v>
      </c>
      <c r="S8" s="11">
        <f>1/(1+EXP(-Q8))</f>
        <v>2.3193275357610362E-3</v>
      </c>
      <c r="T8" s="32" t="s">
        <v>54</v>
      </c>
      <c r="U8" s="3">
        <v>0</v>
      </c>
      <c r="V8" s="32" t="s">
        <v>52</v>
      </c>
      <c r="W8" s="13">
        <f>((S8-U8)^2)</f>
        <v>5.3792802181393601E-6</v>
      </c>
      <c r="BZ8" s="34">
        <f>$B$16*BZ6+$C$16*Z8</f>
        <v>0</v>
      </c>
      <c r="CA8" s="34">
        <f>$B$17*CA6+$C$17*Z8^2</f>
        <v>2.7348264444675897E-9</v>
      </c>
      <c r="CB8" s="34">
        <f>$B$16*CB6+$C$16*AA8</f>
        <v>-2.7016761803844336E-3</v>
      </c>
      <c r="CC8" s="34">
        <f>$B$17*CC6+$C$17*AA8^2</f>
        <v>1.3668794007993129E-3</v>
      </c>
      <c r="CD8" s="34">
        <f>$B$16*CD6+$C$16*AB8</f>
        <v>1.3363194504315012E-4</v>
      </c>
      <c r="CE8" s="34">
        <f>$B$17*CE6+$C$17*AB8^2</f>
        <v>2.4528243093648445E-4</v>
      </c>
      <c r="CF8" s="34">
        <f>$B$16*CF6+$C$16*AC8</f>
        <v>6.49790136480097E-4</v>
      </c>
      <c r="CG8" s="34">
        <f>$B$17*CG6+$C$17*AC8^2</f>
        <v>1.2928799814586082E-4</v>
      </c>
      <c r="CH8" s="34">
        <f>$B$16*CH6+$C$16*AD8</f>
        <v>-2.0110913368482867E-2</v>
      </c>
      <c r="CI8" s="34">
        <f>$B$17*CI6+$C$17*AD8^2</f>
        <v>1.1826607748393374E-2</v>
      </c>
      <c r="CJ8" s="34">
        <f>$B$16*CJ6+$C$16*AE8</f>
        <v>0</v>
      </c>
      <c r="CK8" s="34">
        <f>$B$17*CK6+$C$17*AE8^2</f>
        <v>1.8730841142392595E-9</v>
      </c>
      <c r="CL8" s="34">
        <f>$B$16*CL6+$C$16*AF8</f>
        <v>1.981624369937496E-3</v>
      </c>
      <c r="CM8" s="34">
        <f>$B$17*CM6+$C$17*AF8^2</f>
        <v>1.4532898530660975E-3</v>
      </c>
      <c r="CN8" s="34">
        <f>$B$16*CN6+$C$16*AG8</f>
        <v>1.9311645218579029E-4</v>
      </c>
      <c r="CO8" s="34">
        <f>$B$17*CO6+$C$17*AG8^2</f>
        <v>2.6046342126530212E-5</v>
      </c>
      <c r="CP8" s="34">
        <f>$B$16*CP6+$C$16*AH8</f>
        <v>1.993243848532547E-4</v>
      </c>
      <c r="CQ8" s="34">
        <f>$B$17*CQ6+$C$17*AH8^2</f>
        <v>1.5564693611922609E-4</v>
      </c>
      <c r="CR8" s="34">
        <f>$B$16*CR6+$C$16*AI8</f>
        <v>1.5964076634113613E-2</v>
      </c>
      <c r="CS8" s="34">
        <f>$B$17*CS6+$C$17*AI8^2</f>
        <v>1.0125669082574156E-2</v>
      </c>
      <c r="CT8" s="34">
        <f>$B$16*CT6+$C$16*AJ8</f>
        <v>0</v>
      </c>
      <c r="CU8" s="34">
        <f>$B$17*CU6+$C$17*AJ8^2</f>
        <v>1.3126006242000895E-9</v>
      </c>
      <c r="CV8" s="34">
        <f>$B$16*CV6+$C$16*AK8</f>
        <v>1.3731107674089428E-4</v>
      </c>
      <c r="CW8" s="34">
        <f>$B$17*CW6+$C$17*AK8^2</f>
        <v>3.5006697597669785E-5</v>
      </c>
      <c r="CX8" s="34">
        <f>$B$16*CX6+$C$16*AL8</f>
        <v>1.1513551230298521E-3</v>
      </c>
      <c r="CY8" s="34">
        <f>$B$17*CY6+$C$17*AL8^2</f>
        <v>2.2410001871058405E-4</v>
      </c>
      <c r="CZ8" s="34">
        <f>$B$16*CZ6+$C$16*AM8</f>
        <v>3.9357773858319482E-5</v>
      </c>
      <c r="DA8" s="34">
        <f>$B$17*DA6+$C$17*AM8^2</f>
        <v>1.039508286536611E-4</v>
      </c>
      <c r="DB8" s="34">
        <f>$B$16*DB6+$C$16*AN8</f>
        <v>3.632983234233258E-3</v>
      </c>
      <c r="DC8" s="34">
        <f>$B$17*DC6+$C$17*AN8^2</f>
        <v>1.0668858875476416E-3</v>
      </c>
      <c r="DD8" s="34">
        <f>$B$16*DD6+$C$16*AO8</f>
        <v>0</v>
      </c>
      <c r="DE8" s="34">
        <f>$B$17*DE6+$C$17*AO8^2</f>
        <v>1.1801529618766561E-9</v>
      </c>
      <c r="DF8" s="34">
        <f>$B$16*DF6+$C$16*AP8</f>
        <v>0</v>
      </c>
      <c r="DG8" s="34">
        <f>$B$17*DG6+$C$17*AP8^2</f>
        <v>1.4047671897908335E-9</v>
      </c>
      <c r="DH8" s="34">
        <f>$B$16*DH6+$C$16*AQ8</f>
        <v>0</v>
      </c>
      <c r="DI8" s="34">
        <f>$B$17*DI6+$C$17*AQ8^2</f>
        <v>1.8651068115290066E-9</v>
      </c>
      <c r="DJ8" s="34">
        <f>$B$16*DJ6+$C$16*AR8</f>
        <v>0</v>
      </c>
      <c r="DK8" s="34">
        <f>$B$17*DK6+$C$17*AR8^2</f>
        <v>1.2783521115614965E-9</v>
      </c>
      <c r="DL8" s="34">
        <f>$B$16*DL6+$C$16*AS8</f>
        <v>0</v>
      </c>
      <c r="DM8" s="34">
        <f>$B$17*DM6+$C$17*AS8^2</f>
        <v>1.3479332892168623E-9</v>
      </c>
      <c r="DN8" s="34">
        <f>$B$16*DN6+$C$16*AT8</f>
        <v>0</v>
      </c>
      <c r="DO8" s="34">
        <f>$B$17*DO6+$C$17*AT8^2</f>
        <v>2.0846672480103857E-9</v>
      </c>
      <c r="DP8" s="34">
        <f>$B$16*DP6+$C$16*AU8</f>
        <v>0</v>
      </c>
      <c r="DQ8" s="34">
        <f>$B$17*DQ6+$C$17*AU8^2</f>
        <v>1.5561988667606E-9</v>
      </c>
      <c r="DR8" s="34">
        <f>$B$16*DR6+$C$16*AV8</f>
        <v>8.9640200997980948E-3</v>
      </c>
      <c r="DS8" s="34">
        <f>$B$17*DS6+$C$17*AV8^2</f>
        <v>5.8820029969986398E-3</v>
      </c>
      <c r="DT8" s="34">
        <f>$B$16*DT6+$C$16*AW8</f>
        <v>1.0159290678200903E-2</v>
      </c>
      <c r="DU8" s="34">
        <f>$B$17*DU6+$C$17*AW8^2</f>
        <v>6.8998424696032597E-3</v>
      </c>
      <c r="DV8" s="34">
        <f>$B$16*DV6+$C$16*AX8</f>
        <v>1.3676359092576543E-2</v>
      </c>
      <c r="DW8" s="34">
        <f>$B$17*DW6+$C$17*AX8^2</f>
        <v>9.8330020286501695E-3</v>
      </c>
      <c r="DX8" s="34">
        <f>$B$16*DX6+$C$16*AY8</f>
        <v>1.0258314465496457E-2</v>
      </c>
      <c r="DY8" s="34">
        <f>$B$17*DY6+$C$17*AY8^2</f>
        <v>5.8914505430683857E-3</v>
      </c>
      <c r="DZ8" s="34">
        <f>$B$16*DZ6+$C$16*AZ8</f>
        <v>1.0540246048705963E-2</v>
      </c>
      <c r="EA8" s="34">
        <f>$B$17*EA6+$C$17*AZ8^2</f>
        <v>7.3299162280260283E-3</v>
      </c>
      <c r="EB8" s="34">
        <f>$B$16*EB6+$C$16*BA8</f>
        <v>6.3187159393201103E-3</v>
      </c>
      <c r="EC8" s="34">
        <f>$B$17*EC6+$C$17*BA8^2</f>
        <v>3.1769343708370878E-3</v>
      </c>
      <c r="ED8" s="34">
        <f>$B$16*ED6+$C$16*BB8</f>
        <v>6.3693750383041143E-3</v>
      </c>
      <c r="EE8" s="34">
        <f>$B$17*EE6+$C$17*BB8^2</f>
        <v>6.2353261976141952E-3</v>
      </c>
      <c r="EF8" s="34">
        <f>$B$16*EF6+$C$16*BC8</f>
        <v>1.0678450575570487E-3</v>
      </c>
      <c r="EG8" s="34">
        <f>$B$17*EG6+$C$17*BC8^2</f>
        <v>2.1844191778414414E-4</v>
      </c>
      <c r="EH8" s="34">
        <f>$B$16*EH6+$C$16*BD8</f>
        <v>1.1160979923976781E-3</v>
      </c>
      <c r="EI8" s="34">
        <f>$B$17*EI6+$C$17*BD8^2</f>
        <v>2.7800026619719903E-4</v>
      </c>
      <c r="EJ8" s="34">
        <f>$B$16*EJ6+$C$16*BE8</f>
        <v>4.6522114462020344E-3</v>
      </c>
      <c r="EK8" s="34">
        <f>$B$17*EK6+$C$17*BE8^2</f>
        <v>1.9436142395980632E-3</v>
      </c>
      <c r="EL8" s="34">
        <f>$B$16*EL6+$C$16*BF8</f>
        <v>6.602129774284693E-4</v>
      </c>
      <c r="EM8" s="34">
        <f>$B$17*EM6+$C$17*BF8^2</f>
        <v>2.0652440441775035E-4</v>
      </c>
      <c r="EN8" s="34">
        <f>$B$16*EN6+$C$16*BG8</f>
        <v>1.8639784340505634E-3</v>
      </c>
      <c r="EO8" s="34">
        <f>$B$17*EO6+$C$17*BG8^2</f>
        <v>4.3607424141816015E-4</v>
      </c>
      <c r="EP8" s="34">
        <f>$B$16*EP6+$C$16*BH8</f>
        <v>2.1376570032244488E-3</v>
      </c>
      <c r="EQ8" s="34">
        <f>$B$17*EQ6+$C$17*BH8^2</f>
        <v>8.456791436032235E-4</v>
      </c>
      <c r="ER8" s="34">
        <f>$B$16*ER6+$C$16*BI8</f>
        <v>5.4713576668497378E-4</v>
      </c>
      <c r="ES8" s="34">
        <f>$B$17*ES6+$C$17*BI8^2</f>
        <v>2.8357992920592439E-4</v>
      </c>
      <c r="ET8" s="34">
        <f>$B$16*ET6+$C$16*BJ8</f>
        <v>9.7516437593772468E-4</v>
      </c>
      <c r="EU8" s="34">
        <f>$B$17*EU6+$C$17*BJ8^2</f>
        <v>3.2578418259629672E-4</v>
      </c>
      <c r="EV8" s="34">
        <f>$B$16*EV6+$C$16*BK8</f>
        <v>1.0711897187493228E-3</v>
      </c>
      <c r="EW8" s="34">
        <f>$B$17*EW6+$C$17*BK8^2</f>
        <v>4.3738081433657275E-4</v>
      </c>
      <c r="EX8" s="34">
        <f>$B$16*EX6+$C$16*BL8</f>
        <v>3.7877078390858815E-3</v>
      </c>
      <c r="EY8" s="34">
        <f>$B$17*EY6+$C$17*BL8^2</f>
        <v>2.5713066058972852E-3</v>
      </c>
      <c r="EZ8" s="34">
        <f>$B$16*EZ6+$C$16*BM8</f>
        <v>6.6066141100323882E-4</v>
      </c>
      <c r="FA8" s="34">
        <f>$B$17*FA6+$C$17*BM8^2</f>
        <v>3.6212426483408453E-4</v>
      </c>
      <c r="FB8" s="34">
        <f>$B$16*FB6+$C$16*BN8</f>
        <v>1.6212449071905375E-3</v>
      </c>
      <c r="FC8" s="34">
        <f>$B$17*FC6+$C$17*BN8^2</f>
        <v>5.9880407245808454E-4</v>
      </c>
      <c r="FD8" s="34">
        <f>$B$16*FD6+$C$16*BO8</f>
        <v>1.8829111010726981E-3</v>
      </c>
      <c r="FE8" s="34">
        <f>$B$17*FE6+$C$17*BO8^2</f>
        <v>1.2821030249917035E-3</v>
      </c>
      <c r="FF8" s="34">
        <f>$B$16*FF6+$C$16*BP8</f>
        <v>6.9263506608420564E-4</v>
      </c>
      <c r="FG8" s="34">
        <f>$B$17*FG6+$C$17*BP8^2</f>
        <v>4.9696147796352258E-4</v>
      </c>
      <c r="FH8" s="34">
        <f>$B$16*FH6+$C$16*BQ8</f>
        <v>-1.0733905198908318E-3</v>
      </c>
      <c r="FI8" s="34">
        <f>$B$17*FI6+$C$17*BQ8^2</f>
        <v>1.6161552286107203E-4</v>
      </c>
      <c r="FJ8" s="34">
        <f>$B$16*FJ6+$C$16*BR8</f>
        <v>-1.1398711043158994E-3</v>
      </c>
      <c r="FK8" s="34">
        <f>$B$17*FK6+$C$17*BR8^2</f>
        <v>2.1043723258474924E-4</v>
      </c>
      <c r="FL8" s="34">
        <f>$B$16*FL6+$C$16*BS8</f>
        <v>-4.1921705907147543E-3</v>
      </c>
      <c r="FM8" s="34">
        <f>$B$17*FM6+$C$17*BS8^2</f>
        <v>1.4092462985828146E-3</v>
      </c>
      <c r="FN8" s="34">
        <f>$B$16*FN6+$C$16*BT8</f>
        <v>-7.3781411512285162E-4</v>
      </c>
      <c r="FO8" s="34">
        <f>$B$17*FO6+$C$17*BT8^2</f>
        <v>1.6497218453962112E-4</v>
      </c>
      <c r="FP8" s="34">
        <f>$B$16*FP6+$C$16*BU8</f>
        <v>-1.7702863669256104E-3</v>
      </c>
      <c r="FQ8" s="34">
        <f>$B$17*FQ6+$C$17*BU8^2</f>
        <v>3.2004683536998737E-4</v>
      </c>
      <c r="FR8" s="34">
        <f>$B$16*FR6+$C$16*BV8</f>
        <v>-1.9002169295510543E-3</v>
      </c>
      <c r="FS8" s="34">
        <f>$B$17*FS6+$C$17*BV8^2</f>
        <v>6.0465485210994948E-4</v>
      </c>
      <c r="FT8" s="34">
        <f>$B$16*FT6+$C$16*BW8</f>
        <v>-6.2795709293272462E-4</v>
      </c>
      <c r="FU8" s="34">
        <f>$B$17*FU6+$C$17*BW8^2</f>
        <v>2.3120735135942445E-4</v>
      </c>
    </row>
    <row r="9" spans="1:177" x14ac:dyDescent="0.2">
      <c r="A9" s="22" t="s">
        <v>124</v>
      </c>
      <c r="B9" s="12">
        <v>0.6645386105657336</v>
      </c>
      <c r="D9" s="11">
        <v>3.3223470316108131E-2</v>
      </c>
      <c r="E9" s="11">
        <v>-2.8093214199424101E-2</v>
      </c>
      <c r="F9" s="11">
        <v>1.8965427177888765</v>
      </c>
      <c r="G9" s="11">
        <v>1.5827336311664413</v>
      </c>
      <c r="H9" s="11">
        <v>-1.1217320946818943</v>
      </c>
      <c r="J9" s="85"/>
      <c r="K9" s="22" t="s">
        <v>118</v>
      </c>
      <c r="L9" s="11">
        <f>MAX(0,J12)</f>
        <v>1.1848908856867051</v>
      </c>
      <c r="M9" s="11">
        <v>1.1424417201900405</v>
      </c>
      <c r="N9" s="11">
        <v>-1.1663614421728654</v>
      </c>
      <c r="O9" s="11">
        <v>-1.7973100918270868</v>
      </c>
      <c r="Q9" s="85"/>
      <c r="R9" s="22" t="s">
        <v>157</v>
      </c>
      <c r="S9" s="11">
        <f>1/(1+EXP(-Q12))</f>
        <v>0.99569125115699841</v>
      </c>
      <c r="T9" s="32" t="s">
        <v>68</v>
      </c>
      <c r="U9" s="3">
        <v>1</v>
      </c>
      <c r="V9" s="32" t="s">
        <v>52</v>
      </c>
      <c r="W9" s="13">
        <f>((S9-U9)^2)</f>
        <v>1.8565316592067509E-5</v>
      </c>
      <c r="BZ9" s="34">
        <f>$B$16*BZ8+$C$16*Z9</f>
        <v>0</v>
      </c>
      <c r="CA9" s="34">
        <f>$B$17*CA8+$C$17*Z9^2</f>
        <v>2.7320916180231223E-9</v>
      </c>
      <c r="CB9" s="34">
        <f>$B$16*CB8+$C$16*AA9</f>
        <v>-2.4315085623459903E-3</v>
      </c>
      <c r="CC9" s="34">
        <f>$B$17*CC8+$C$17*AA9^2</f>
        <v>1.3655125213985135E-3</v>
      </c>
      <c r="CD9" s="34">
        <f>$B$16*CD8+$C$16*AB9</f>
        <v>1.2026875053883511E-4</v>
      </c>
      <c r="CE9" s="34">
        <f>$B$17*CE8+$C$17*AB9^2</f>
        <v>2.4503714850554795E-4</v>
      </c>
      <c r="CF9" s="34">
        <f>$B$16*CF8+$C$16*AC9</f>
        <v>5.8481112283208735E-4</v>
      </c>
      <c r="CG9" s="34">
        <f>$B$17*CG8+$C$17*AC9^2</f>
        <v>1.2915871014771495E-4</v>
      </c>
      <c r="CH9" s="34">
        <f>$B$16*CH8+$C$16*AD9</f>
        <v>-1.8099822031634582E-2</v>
      </c>
      <c r="CI9" s="34">
        <f>$B$17*CI8+$C$17*AD9^2</f>
        <v>1.1814781140644982E-2</v>
      </c>
      <c r="CJ9" s="34">
        <f>$B$16*CJ8+$C$16*AE9</f>
        <v>0</v>
      </c>
      <c r="CK9" s="34">
        <f>$B$17*CK8+$C$17*AE9^2</f>
        <v>1.8712110301250201E-9</v>
      </c>
      <c r="CL9" s="34">
        <f>$B$16*CL8+$C$16*AF9</f>
        <v>1.7834619329437464E-3</v>
      </c>
      <c r="CM9" s="34">
        <f>$B$17*CM8+$C$17*AF9^2</f>
        <v>1.4518365632130315E-3</v>
      </c>
      <c r="CN9" s="34">
        <f>$B$16*CN8+$C$16*AG9</f>
        <v>1.7380480696721127E-4</v>
      </c>
      <c r="CO9" s="34">
        <f>$B$17*CO8+$C$17*AG9^2</f>
        <v>2.6020295784403682E-5</v>
      </c>
      <c r="CP9" s="34">
        <f>$B$16*CP8+$C$16*AH9</f>
        <v>1.7939194636792924E-4</v>
      </c>
      <c r="CQ9" s="34">
        <f>$B$17*CQ8+$C$17*AH9^2</f>
        <v>1.5549128918310686E-4</v>
      </c>
      <c r="CR9" s="34">
        <f>$B$16*CR8+$C$16*AI9</f>
        <v>1.4367668970702251E-2</v>
      </c>
      <c r="CS9" s="34">
        <f>$B$17*CS8+$C$17*AI9^2</f>
        <v>1.0115543413491582E-2</v>
      </c>
      <c r="CT9" s="34">
        <f>$B$16*CT8+$C$16*AJ9</f>
        <v>0</v>
      </c>
      <c r="CU9" s="34">
        <f>$B$17*CU8+$C$17*AJ9^2</f>
        <v>1.3112880235758894E-9</v>
      </c>
      <c r="CV9" s="34">
        <f>$B$16*CV8+$C$16*AK9</f>
        <v>1.2357996906680485E-4</v>
      </c>
      <c r="CW9" s="34">
        <f>$B$17*CW8+$C$17*AK9^2</f>
        <v>3.4971690900072113E-5</v>
      </c>
      <c r="CX9" s="34">
        <f>$B$16*CX8+$C$16*AL9</f>
        <v>1.036219610726867E-3</v>
      </c>
      <c r="CY9" s="34">
        <f>$B$17*CY8+$C$17*AL9^2</f>
        <v>2.2387591869187348E-4</v>
      </c>
      <c r="CZ9" s="34">
        <f>$B$16*CZ8+$C$16*AM9</f>
        <v>3.5421996472487538E-5</v>
      </c>
      <c r="DA9" s="34">
        <f>$B$17*DA8+$C$17*AM9^2</f>
        <v>1.0384687782500745E-4</v>
      </c>
      <c r="DB9" s="34">
        <f>$B$16*DB8+$C$16*AN9</f>
        <v>3.2696849108099324E-3</v>
      </c>
      <c r="DC9" s="34">
        <f>$B$17*DC8+$C$17*AN9^2</f>
        <v>1.0658190016600939E-3</v>
      </c>
      <c r="DD9" s="34">
        <f>$B$16*DD8+$C$16*AO9</f>
        <v>0</v>
      </c>
      <c r="DE9" s="34">
        <f>$B$17*DE8+$C$17*AO9^2</f>
        <v>1.1789728089147796E-9</v>
      </c>
      <c r="DF9" s="34">
        <f>$B$16*DF8+$C$16*AP9</f>
        <v>0</v>
      </c>
      <c r="DG9" s="34">
        <f>$B$17*DG8+$C$17*AP9^2</f>
        <v>1.4033624226010428E-9</v>
      </c>
      <c r="DH9" s="34">
        <f>$B$16*DH8+$C$16*AQ9</f>
        <v>0</v>
      </c>
      <c r="DI9" s="34">
        <f>$B$17*DI8+$C$17*AQ9^2</f>
        <v>1.8632417047174776E-9</v>
      </c>
      <c r="DJ9" s="34">
        <f>$B$16*DJ8+$C$16*AR9</f>
        <v>0</v>
      </c>
      <c r="DK9" s="34">
        <f>$B$17*DK8+$C$17*AR9^2</f>
        <v>1.277073759449935E-9</v>
      </c>
      <c r="DL9" s="34">
        <f>$B$16*DL8+$C$16*AS9</f>
        <v>0</v>
      </c>
      <c r="DM9" s="34">
        <f>$B$17*DM8+$C$17*AS9^2</f>
        <v>1.3465853559276455E-9</v>
      </c>
      <c r="DN9" s="34">
        <f>$B$16*DN8+$C$16*AT9</f>
        <v>0</v>
      </c>
      <c r="DO9" s="34">
        <f>$B$17*DO8+$C$17*AT9^2</f>
        <v>2.0825825807623755E-9</v>
      </c>
      <c r="DP9" s="34">
        <f>$B$16*DP8+$C$16*AU9</f>
        <v>0</v>
      </c>
      <c r="DQ9" s="34">
        <f>$B$17*DQ8+$C$17*AU9^2</f>
        <v>1.5546426678938394E-9</v>
      </c>
      <c r="DR9" s="34">
        <f>$B$16*DR8+$C$16*AV9</f>
        <v>8.0676180898182851E-3</v>
      </c>
      <c r="DS9" s="34">
        <f>$B$17*DS8+$C$17*AV9^2</f>
        <v>5.8761209940016408E-3</v>
      </c>
      <c r="DT9" s="34">
        <f>$B$16*DT8+$C$16*AW9</f>
        <v>9.1433616103808128E-3</v>
      </c>
      <c r="DU9" s="34">
        <f>$B$17*DU8+$C$17*AW9^2</f>
        <v>6.8929426271336566E-3</v>
      </c>
      <c r="DV9" s="34">
        <f>$B$16*DV8+$C$16*AX9</f>
        <v>1.2308723183318888E-2</v>
      </c>
      <c r="DW9" s="34">
        <f>$B$17*DW8+$C$17*AX9^2</f>
        <v>9.8231690266215189E-3</v>
      </c>
      <c r="DX9" s="34">
        <f>$B$16*DX8+$C$16*AY9</f>
        <v>9.2324830189468108E-3</v>
      </c>
      <c r="DY9" s="34">
        <f>$B$17*DY8+$C$17*AY9^2</f>
        <v>5.8855590925253175E-3</v>
      </c>
      <c r="DZ9" s="34">
        <f>$B$16*DZ8+$C$16*AZ9</f>
        <v>9.4862214438353673E-3</v>
      </c>
      <c r="EA9" s="34">
        <f>$B$17*EA8+$C$17*AZ9^2</f>
        <v>7.3225863117980022E-3</v>
      </c>
      <c r="EB9" s="34">
        <f>$B$16*EB8+$C$16*BA9</f>
        <v>5.6868443453880991E-3</v>
      </c>
      <c r="EC9" s="34">
        <f>$B$17*EC8+$C$17*BA9^2</f>
        <v>3.1737574364662509E-3</v>
      </c>
      <c r="ED9" s="34">
        <f>$B$16*ED8+$C$16*BB9</f>
        <v>5.7324375344737031E-3</v>
      </c>
      <c r="EE9" s="34">
        <f>$B$17*EE8+$C$17*BB9^2</f>
        <v>6.2290908714165809E-3</v>
      </c>
      <c r="EF9" s="34">
        <f>$B$16*EF8+$C$16*BC9</f>
        <v>9.6106055180134389E-4</v>
      </c>
      <c r="EG9" s="34">
        <f>$B$17*EG8+$C$17*BC9^2</f>
        <v>2.1822347586635999E-4</v>
      </c>
      <c r="EH9" s="34">
        <f>$B$16*EH8+$C$16*BD9</f>
        <v>1.0044881931579102E-3</v>
      </c>
      <c r="EI9" s="34">
        <f>$B$17*EI8+$C$17*BD9^2</f>
        <v>2.7772226593100182E-4</v>
      </c>
      <c r="EJ9" s="34">
        <f>$B$16*EJ8+$C$16*BE9</f>
        <v>4.1869903015818314E-3</v>
      </c>
      <c r="EK9" s="34">
        <f>$B$17*EK8+$C$17*BE9^2</f>
        <v>1.941670625358465E-3</v>
      </c>
      <c r="EL9" s="34">
        <f>$B$16*EL8+$C$16*BF9</f>
        <v>5.9419167968562234E-4</v>
      </c>
      <c r="EM9" s="34">
        <f>$B$17*EM8+$C$17*BF9^2</f>
        <v>2.063178800133326E-4</v>
      </c>
      <c r="EN9" s="34">
        <f>$B$16*EN8+$C$16*BG9</f>
        <v>1.677580590645507E-3</v>
      </c>
      <c r="EO9" s="34">
        <f>$B$17*EO8+$C$17*BG9^2</f>
        <v>4.3563816717674198E-4</v>
      </c>
      <c r="EP9" s="34">
        <f>$B$16*EP8+$C$16*BH9</f>
        <v>1.9238913029020039E-3</v>
      </c>
      <c r="EQ9" s="34">
        <f>$B$17*EQ8+$C$17*BH9^2</f>
        <v>8.4483346445962031E-4</v>
      </c>
      <c r="ER9" s="34">
        <f>$B$16*ER8+$C$16*BI9</f>
        <v>4.9242219001647647E-4</v>
      </c>
      <c r="ES9" s="34">
        <f>$B$17*ES8+$C$17*BI9^2</f>
        <v>2.8329634927671849E-4</v>
      </c>
      <c r="ET9" s="34">
        <f>$B$16*ET8+$C$16*BJ9</f>
        <v>8.7764793834395219E-4</v>
      </c>
      <c r="EU9" s="34">
        <f>$B$17*EU8+$C$17*BJ9^2</f>
        <v>3.254583984137004E-4</v>
      </c>
      <c r="EV9" s="34">
        <f>$B$16*EV8+$C$16*BK9</f>
        <v>9.640707468743906E-4</v>
      </c>
      <c r="EW9" s="34">
        <f>$B$17*EW8+$C$17*BK9^2</f>
        <v>4.369434335222362E-4</v>
      </c>
      <c r="EX9" s="34">
        <f>$B$16*EX8+$C$16*BL9</f>
        <v>3.4089370551772932E-3</v>
      </c>
      <c r="EY9" s="34">
        <f>$B$17*EY8+$C$17*BL9^2</f>
        <v>2.5687352992913881E-3</v>
      </c>
      <c r="EZ9" s="34">
        <f>$B$16*EZ8+$C$16*BM9</f>
        <v>5.9459526990291497E-4</v>
      </c>
      <c r="FA9" s="34">
        <f>$B$17*FA8+$C$17*BM9^2</f>
        <v>3.6176214056925042E-4</v>
      </c>
      <c r="FB9" s="34">
        <f>$B$16*FB8+$C$16*BN9</f>
        <v>1.4591204164714838E-3</v>
      </c>
      <c r="FC9" s="34">
        <f>$B$17*FC8+$C$17*BN9^2</f>
        <v>5.9820526838562642E-4</v>
      </c>
      <c r="FD9" s="34">
        <f>$B$16*FD8+$C$16*BO9</f>
        <v>1.6946199909654283E-3</v>
      </c>
      <c r="FE9" s="34">
        <f>$B$17*FE8+$C$17*BO9^2</f>
        <v>1.2808209219667117E-3</v>
      </c>
      <c r="FF9" s="34">
        <f>$B$16*FF8+$C$16*BP9</f>
        <v>6.233715594757851E-4</v>
      </c>
      <c r="FG9" s="34">
        <f>$B$17*FG8+$C$17*BP9^2</f>
        <v>4.9646451648555903E-4</v>
      </c>
      <c r="FH9" s="34">
        <f>$B$16*FH8+$C$16*BQ9</f>
        <v>-9.6605146790174859E-4</v>
      </c>
      <c r="FI9" s="34">
        <f>$B$17*FI8+$C$17*BQ9^2</f>
        <v>1.6145390733821095E-4</v>
      </c>
      <c r="FJ9" s="34">
        <f>$B$16*FJ8+$C$16*BR9</f>
        <v>-1.0258839938843095E-3</v>
      </c>
      <c r="FK9" s="34">
        <f>$B$17*FK8+$C$17*BR9^2</f>
        <v>2.1022679535216449E-4</v>
      </c>
      <c r="FL9" s="34">
        <f>$B$16*FL8+$C$16*BS9</f>
        <v>-3.7729535316432788E-3</v>
      </c>
      <c r="FM9" s="34">
        <f>$B$17*FM8+$C$17*BS9^2</f>
        <v>1.4078370522842317E-3</v>
      </c>
      <c r="FN9" s="34">
        <f>$B$16*FN8+$C$16*BT9</f>
        <v>-6.6403270361056646E-4</v>
      </c>
      <c r="FO9" s="34">
        <f>$B$17*FO8+$C$17*BT9^2</f>
        <v>1.6480721235508151E-4</v>
      </c>
      <c r="FP9" s="34">
        <f>$B$16*FP8+$C$16*BU9</f>
        <v>-1.5932577302330494E-3</v>
      </c>
      <c r="FQ9" s="34">
        <f>$B$17*FQ8+$C$17*BU9^2</f>
        <v>3.1972678853461737E-4</v>
      </c>
      <c r="FR9" s="34">
        <f>$B$16*FR8+$C$16*BV9</f>
        <v>-1.7101952365959489E-3</v>
      </c>
      <c r="FS9" s="34">
        <f>$B$17*FS8+$C$17*BV9^2</f>
        <v>6.0405019725783958E-4</v>
      </c>
      <c r="FT9" s="34">
        <f>$B$16*FT8+$C$16*BW9</f>
        <v>-5.6516138363945213E-4</v>
      </c>
      <c r="FU9" s="34">
        <f>$B$17*FU8+$C$17*BW9^2</f>
        <v>2.3097614400806503E-4</v>
      </c>
    </row>
    <row r="10" spans="1:177" x14ac:dyDescent="0.2">
      <c r="A10" s="22" t="s">
        <v>125</v>
      </c>
      <c r="B10" s="12">
        <v>0.23781388478581966</v>
      </c>
      <c r="D10" s="11">
        <v>0.12720247886036543</v>
      </c>
      <c r="E10" s="11">
        <v>1.5064123724524259</v>
      </c>
      <c r="F10" s="11">
        <v>0.93181885456585067</v>
      </c>
      <c r="G10" s="11">
        <v>1.5674149013867136</v>
      </c>
      <c r="H10" s="11">
        <v>-1.7852898547627676</v>
      </c>
      <c r="J10" s="85"/>
      <c r="K10" s="22" t="s">
        <v>119</v>
      </c>
      <c r="L10" s="10">
        <f>MAX(0,J16)</f>
        <v>1.0861749084292938</v>
      </c>
      <c r="Q10" s="85"/>
      <c r="W10" s="13"/>
      <c r="BZ10" s="34">
        <f t="shared" ref="BZ10:BZ28" si="74">$B$16*BZ9+$C$16*Z10</f>
        <v>0</v>
      </c>
      <c r="CA10" s="34">
        <f t="shared" ref="CA10:CA28" si="75">$B$17*CA9+$C$17*Z10^2</f>
        <v>2.7293595264050991E-9</v>
      </c>
      <c r="CB10" s="34">
        <f t="shared" ref="CB10:CB28" si="76">$B$16*CB9+$C$16*AA10</f>
        <v>-2.1883577061113913E-3</v>
      </c>
      <c r="CC10" s="34">
        <f t="shared" ref="CC10:CC28" si="77">$B$17*CC9+$C$17*AA10^2</f>
        <v>1.364147008877115E-3</v>
      </c>
      <c r="CD10" s="34">
        <f t="shared" ref="CD10:CD28" si="78">$B$16*CD9+$C$16*AB10</f>
        <v>1.0824187548495161E-4</v>
      </c>
      <c r="CE10" s="34">
        <f>$B$17*CE9+$C$17*AB10^2</f>
        <v>2.4479211135704243E-4</v>
      </c>
      <c r="CF10" s="34">
        <f t="shared" ref="CF10:CF28" si="79">$B$16*CF9+$C$16*AC10</f>
        <v>5.2633001054887859E-4</v>
      </c>
      <c r="CG10" s="34">
        <f t="shared" ref="CG10:CG28" si="80">$B$17*CG9+$C$17*AC10^2</f>
        <v>1.2902955143756723E-4</v>
      </c>
      <c r="CH10" s="34">
        <f t="shared" ref="CH10:CH28" si="81">$B$16*CH9+$C$16*AD10</f>
        <v>-1.6289839828471125E-2</v>
      </c>
      <c r="CI10" s="34">
        <f t="shared" ref="CI10:CI27" si="82">$B$17*CI9+$C$17*AD10^2</f>
        <v>1.1802966359504336E-2</v>
      </c>
      <c r="CJ10" s="34">
        <f t="shared" ref="CJ10:CJ28" si="83">$B$16*CJ9+$C$16*AE10</f>
        <v>0</v>
      </c>
      <c r="CK10" s="34">
        <f t="shared" ref="CK10:CK28" si="84">$B$17*CK9+$C$17*AE10^2</f>
        <v>1.8693398190948949E-9</v>
      </c>
      <c r="CL10" s="34">
        <f t="shared" ref="CL10:CL28" si="85">$B$16*CL9+$C$16*AF10</f>
        <v>1.6051157396493718E-3</v>
      </c>
      <c r="CM10" s="34">
        <f t="shared" ref="CM10:CM28" si="86">$B$17*CM9+$C$17*AF10^2</f>
        <v>1.4503847266498185E-3</v>
      </c>
      <c r="CN10" s="34">
        <f t="shared" ref="CN10:CN28" si="87">$B$16*CN9+$C$16*AG10</f>
        <v>1.5642432627049015E-4</v>
      </c>
      <c r="CO10" s="34">
        <f t="shared" ref="CO10:CO28" si="88">$B$17*CO9+$C$17*AG10^2</f>
        <v>2.5994275488619278E-5</v>
      </c>
      <c r="CP10" s="34">
        <f t="shared" ref="CP10:CP28" si="89">$B$16*CP9+$C$16*AH10</f>
        <v>1.6145275173113632E-4</v>
      </c>
      <c r="CQ10" s="34">
        <f t="shared" ref="CQ10:CQ28" si="90">$B$17*CQ9+$C$17*AH10^2</f>
        <v>1.5533579789392375E-4</v>
      </c>
      <c r="CR10" s="34">
        <f t="shared" ref="CR10:CR28" si="91">$B$16*CR9+$C$16*AI10</f>
        <v>1.2930902073632027E-2</v>
      </c>
      <c r="CS10" s="34">
        <f t="shared" ref="CS10:CS28" si="92">$B$17*CS9+$C$17*AI10^2</f>
        <v>1.0105427870078091E-2</v>
      </c>
      <c r="CT10" s="34">
        <f t="shared" ref="CT10:CT28" si="93">$B$16*CT9+$C$16*AJ10</f>
        <v>0</v>
      </c>
      <c r="CU10" s="34">
        <f t="shared" ref="CU10:CU28" si="94">$B$17*CU9+$C$17*AJ10^2</f>
        <v>1.3099767355523136E-9</v>
      </c>
      <c r="CV10" s="34">
        <f t="shared" ref="CV10:CV28" si="95">$B$16*CV9+$C$16*AK10</f>
        <v>1.1122197216012436E-4</v>
      </c>
      <c r="CW10" s="34">
        <f t="shared" ref="CW10:CW28" si="96">$B$17*CW9+$C$17*AK10^2</f>
        <v>3.4936719209172041E-5</v>
      </c>
      <c r="CX10" s="34">
        <f t="shared" ref="CX10:CX28" si="97">$B$16*CX9+$C$16*AL10</f>
        <v>9.3259764965418035E-4</v>
      </c>
      <c r="CY10" s="34">
        <f t="shared" ref="CY10:CY28" si="98">$B$17*CY9+$C$17*AL10^2</f>
        <v>2.2365204277318161E-4</v>
      </c>
      <c r="CZ10" s="34">
        <f t="shared" ref="CZ10:CZ28" si="99">$B$16*CZ9+$C$16*AM10</f>
        <v>3.1879796825238784E-5</v>
      </c>
      <c r="DA10" s="34">
        <f t="shared" ref="DA10:DA28" si="100">$B$17*DA9+$C$17*AM10^2</f>
        <v>1.0374303094718244E-4</v>
      </c>
      <c r="DB10" s="34">
        <f t="shared" ref="DB10:DB28" si="101">$B$16*DB9+$C$16*AN10</f>
        <v>2.9427164197289393E-3</v>
      </c>
      <c r="DC10" s="34">
        <f t="shared" ref="DC10:DC28" si="102">$B$17*DC9+$C$17*AN10^2</f>
        <v>1.0647531826584338E-3</v>
      </c>
      <c r="DD10" s="34">
        <f t="shared" ref="DD10:DD28" si="103">$B$16*DD9+$C$16*AO10</f>
        <v>0</v>
      </c>
      <c r="DE10" s="34">
        <f t="shared" ref="DE10:DE28" si="104">$B$17*DE9+$C$17*AO10^2</f>
        <v>1.1777938361058647E-9</v>
      </c>
      <c r="DF10" s="34">
        <f t="shared" ref="DF10:DF28" si="105">$B$16*DF9+$C$16*AP10</f>
        <v>0</v>
      </c>
      <c r="DG10" s="34">
        <f t="shared" ref="DG10:DG28" si="106">$B$17*DG9+$C$17*AP10^2</f>
        <v>1.4019590601784418E-9</v>
      </c>
      <c r="DH10" s="34">
        <f t="shared" ref="DH10:DH28" si="107">$B$16*DH9+$C$16*AQ10</f>
        <v>0</v>
      </c>
      <c r="DI10" s="34">
        <f t="shared" ref="DI10:DI28" si="108">$B$17*DI9+$C$17*AQ10^2</f>
        <v>1.8613784630127601E-9</v>
      </c>
      <c r="DJ10" s="34">
        <f t="shared" ref="DJ10:DJ28" si="109">$B$16*DJ9+$C$16*AR10</f>
        <v>0</v>
      </c>
      <c r="DK10" s="34">
        <f t="shared" ref="DK10:DK28" si="110">$B$17*DK9+$C$17*AR10^2</f>
        <v>1.2757966856904852E-9</v>
      </c>
      <c r="DL10" s="34">
        <f t="shared" ref="DL10:DL28" si="111">$B$16*DL9+$C$16*AS10</f>
        <v>0</v>
      </c>
      <c r="DM10" s="34">
        <f t="shared" ref="DM10:DM28" si="112">$B$17*DM9+$C$17*AS10^2</f>
        <v>1.3452387705717178E-9</v>
      </c>
      <c r="DN10" s="34">
        <f t="shared" ref="DN10:DN28" si="113">$B$16*DN9+$C$16*AT10</f>
        <v>0</v>
      </c>
      <c r="DO10" s="34">
        <f t="shared" ref="DO10:DO28" si="114">$B$17*DO9+$C$17*AT10^2</f>
        <v>2.080499998181613E-9</v>
      </c>
      <c r="DP10" s="34">
        <f t="shared" ref="DP10:DP28" si="115">$B$16*DP9+$C$16*AU10</f>
        <v>0</v>
      </c>
      <c r="DQ10" s="34">
        <f t="shared" ref="DQ10:DQ28" si="116">$B$17*DQ9+$C$17*AU10^2</f>
        <v>1.5530880252259455E-9</v>
      </c>
      <c r="DR10" s="34">
        <f t="shared" ref="DR10:DR28" si="117">$B$16*DR9+$C$16*AV10</f>
        <v>7.2608562808364569E-3</v>
      </c>
      <c r="DS10" s="34">
        <f t="shared" ref="DS10:DS28" si="118">$B$17*DS9+$C$17*AV10^2</f>
        <v>5.8702448730076394E-3</v>
      </c>
      <c r="DT10" s="34">
        <f t="shared" ref="DT10:DT28" si="119">$B$16*DT9+$C$16*AW10</f>
        <v>8.2290254493427323E-3</v>
      </c>
      <c r="DU10" s="34">
        <f t="shared" ref="DU10:DU28" si="120">$B$17*DU9+$C$17*AW10^2</f>
        <v>6.8860496845065226E-3</v>
      </c>
      <c r="DV10" s="34">
        <f t="shared" ref="DV10:DV28" si="121">$B$16*DV9+$C$16*AX10</f>
        <v>1.1077850864987001E-2</v>
      </c>
      <c r="DW10" s="34">
        <f t="shared" ref="DW10:DW28" si="122">$B$17*DW9+$C$17*AX10^2</f>
        <v>9.8133458575948972E-3</v>
      </c>
      <c r="DX10" s="34">
        <f t="shared" ref="DX10:DX28" si="123">$B$16*DX9+$C$16*AY10</f>
        <v>8.3092347170521299E-3</v>
      </c>
      <c r="DY10" s="34">
        <f t="shared" ref="DY10:DY28" si="124">$B$17*DY9+$C$17*AY10^2</f>
        <v>5.8796735334327921E-3</v>
      </c>
      <c r="DZ10" s="34">
        <f t="shared" ref="DZ10:DZ28" si="125">$B$16*DZ9+$C$16*AZ10</f>
        <v>8.5375992994518313E-3</v>
      </c>
      <c r="EA10" s="34">
        <f t="shared" ref="EA10:EA28" si="126">$B$17*EA9+$C$17*AZ10^2</f>
        <v>7.3152637254862039E-3</v>
      </c>
      <c r="EB10" s="34">
        <f t="shared" ref="EB10:EB28" si="127">$B$16*EB9+$C$16*BA10</f>
        <v>5.118159910849289E-3</v>
      </c>
      <c r="EC10" s="34">
        <f t="shared" ref="EC10:EC28" si="128">$B$17*EC9+$C$17*BA10^2</f>
        <v>3.1705836790297845E-3</v>
      </c>
      <c r="ED10" s="34">
        <f t="shared" ref="ED10:ED28" si="129">$B$16*ED9+$C$16*BB10</f>
        <v>5.1591937810263333E-3</v>
      </c>
      <c r="EE10" s="34">
        <f t="shared" ref="EE10:EE28" si="130">$B$17*EE9+$C$17*BB10^2</f>
        <v>6.2228617805451646E-3</v>
      </c>
      <c r="EF10" s="34">
        <f t="shared" ref="EF10:EF28" si="131">$B$16*EF9+$C$16*BC10</f>
        <v>8.6495449662120957E-4</v>
      </c>
      <c r="EG10" s="34">
        <f t="shared" ref="EG10:EG28" si="132">$B$17*EG9+$C$17*BC10^2</f>
        <v>2.1800525239049363E-4</v>
      </c>
      <c r="EH10" s="34">
        <f t="shared" ref="EH10:EH28" si="133">$B$16*EH9+$C$16*BD10</f>
        <v>9.0403937384211919E-4</v>
      </c>
      <c r="EI10" s="34">
        <f t="shared" ref="EI10:EI28" si="134">$B$17*EI9+$C$17*BD10^2</f>
        <v>2.7744454366507082E-4</v>
      </c>
      <c r="EJ10" s="34">
        <f t="shared" ref="EJ10:EJ28" si="135">$B$16*EJ9+$C$16*BE10</f>
        <v>3.7682912714236483E-3</v>
      </c>
      <c r="EK10" s="34">
        <f t="shared" ref="EK10:EK28" si="136">$B$17*EK9+$C$17*BE10^2</f>
        <v>1.9397289547331065E-3</v>
      </c>
      <c r="EL10" s="34">
        <f t="shared" ref="EL10:EL28" si="137">$B$16*EL9+$C$16*BF10</f>
        <v>5.3477251171706009E-4</v>
      </c>
      <c r="EM10" s="34">
        <f t="shared" ref="EM10:EM28" si="138">$B$17*EM9+$C$17*BF10^2</f>
        <v>2.0611156213331926E-4</v>
      </c>
      <c r="EN10" s="34">
        <f t="shared" ref="EN10:EN28" si="139">$B$16*EN9+$C$16*BG10</f>
        <v>1.5098225315809564E-3</v>
      </c>
      <c r="EO10" s="34">
        <f t="shared" ref="EO10:EO28" si="140">$B$17*EO9+$C$17*BG10^2</f>
        <v>4.3520252900956525E-4</v>
      </c>
      <c r="EP10" s="34">
        <f t="shared" ref="EP10:EP28" si="141">$B$16*EP9+$C$16*BH10</f>
        <v>1.7315021726118035E-3</v>
      </c>
      <c r="EQ10" s="34">
        <f t="shared" ref="EQ10:EQ28" si="142">$B$17*EQ9+$C$17*BH10^2</f>
        <v>8.4398863099516069E-4</v>
      </c>
      <c r="ER10" s="34">
        <f t="shared" ref="ER10:ER28" si="143">$B$16*ER9+$C$16*BI10</f>
        <v>4.4317997101482885E-4</v>
      </c>
      <c r="ES10" s="34">
        <f t="shared" ref="ES10:ES28" si="144">$B$17*ES9+$C$17*BI10^2</f>
        <v>2.8301305292744176E-4</v>
      </c>
      <c r="ET10" s="34">
        <f t="shared" ref="ET10:ET28" si="145">$B$16*ET9+$C$16*BJ10</f>
        <v>7.89883144509557E-4</v>
      </c>
      <c r="EU10" s="34">
        <f t="shared" ref="EU10:EU28" si="146">$B$17*EU9+$C$17*BJ10^2</f>
        <v>3.251329400152867E-4</v>
      </c>
      <c r="EV10" s="34">
        <f t="shared" ref="EV10:EV28" si="147">$B$16*EV9+$C$16*BK10</f>
        <v>8.6766367218695157E-4</v>
      </c>
      <c r="EW10" s="34">
        <f t="shared" ref="EW10:EW28" si="148">$B$17*EW9+$C$17*BK10^2</f>
        <v>4.3650649008871394E-4</v>
      </c>
      <c r="EX10" s="34">
        <f t="shared" ref="EX10:EX28" si="149">$B$16*EX9+$C$16*BL10</f>
        <v>3.0680433496595638E-3</v>
      </c>
      <c r="EY10" s="34">
        <f t="shared" ref="EY10:EY28" si="150">$B$17*EY9+$C$17*BL10^2</f>
        <v>2.5661665639920969E-3</v>
      </c>
      <c r="EZ10" s="34">
        <f t="shared" ref="EZ10:EZ28" si="151">$B$16*EZ9+$C$16*BM10</f>
        <v>5.3513574291262351E-4</v>
      </c>
      <c r="FA10" s="34">
        <f t="shared" ref="FA10:FA28" si="152">$B$17*FA9+$C$17*BM10^2</f>
        <v>3.6140037842868119E-4</v>
      </c>
      <c r="FB10" s="34">
        <f t="shared" ref="FB10:FB28" si="153">$B$16*FB9+$C$16*BN10</f>
        <v>1.3132083748243354E-3</v>
      </c>
      <c r="FC10" s="34">
        <f t="shared" ref="FC10:FC28" si="154">$B$17*FC9+$C$17*BN10^2</f>
        <v>5.9760706311724082E-4</v>
      </c>
      <c r="FD10" s="34">
        <f t="shared" ref="FD10:FD28" si="155">$B$16*FD9+$C$16*BO10</f>
        <v>1.5251579918688855E-3</v>
      </c>
      <c r="FE10" s="34">
        <f t="shared" ref="FE10:FE28" si="156">$B$17*FE9+$C$17*BO10^2</f>
        <v>1.2795401010447451E-3</v>
      </c>
      <c r="FF10" s="34">
        <f t="shared" ref="FF10:FF28" si="157">$B$16*FF9+$C$16*BP10</f>
        <v>5.6103440352820659E-4</v>
      </c>
      <c r="FG10" s="34">
        <f t="shared" ref="FG10:FG28" si="158">$B$17*FG9+$C$17*BP10^2</f>
        <v>4.9596805196907342E-4</v>
      </c>
      <c r="FH10" s="34">
        <f t="shared" ref="FH10:FH28" si="159">$B$16*FH9+$C$16*BQ10</f>
        <v>-8.694463211115737E-4</v>
      </c>
      <c r="FI10" s="34">
        <f t="shared" ref="FI10:FI28" si="160">$B$17*FI9+$C$17*BQ10^2</f>
        <v>1.6129245343087274E-4</v>
      </c>
      <c r="FJ10" s="34">
        <f t="shared" ref="FJ10:FJ28" si="161">$B$16*FJ9+$C$16*BR10</f>
        <v>-9.2329559449587861E-4</v>
      </c>
      <c r="FK10" s="34">
        <f t="shared" ref="FK10:FK28" si="162">$B$17*FK9+$C$17*BR10^2</f>
        <v>2.1001656855681232E-4</v>
      </c>
      <c r="FL10" s="34">
        <f t="shared" ref="FL10:FL28" si="163">$B$16*FL9+$C$16*BS10</f>
        <v>-3.395658178478951E-3</v>
      </c>
      <c r="FM10" s="34">
        <f t="shared" ref="FM10:FM28" si="164">$B$17*FM9+$C$17*BS10^2</f>
        <v>1.4064292152319476E-3</v>
      </c>
      <c r="FN10" s="34">
        <f t="shared" ref="FN10:FN28" si="165">$B$16*FN9+$C$16*BT10</f>
        <v>-5.9762943324950986E-4</v>
      </c>
      <c r="FO10" s="34">
        <f t="shared" ref="FO10:FO28" si="166">$B$17*FO9+$C$17*BT10^2</f>
        <v>1.6464240514272644E-4</v>
      </c>
      <c r="FP10" s="34">
        <f t="shared" ref="FP10:FP28" si="167">$B$16*FP9+$C$16*BU10</f>
        <v>-1.4339319572097445E-3</v>
      </c>
      <c r="FQ10" s="34">
        <f t="shared" ref="FQ10:FQ28" si="168">$B$17*FQ9+$C$17*BU10^2</f>
        <v>3.1940706174608276E-4</v>
      </c>
      <c r="FR10" s="34">
        <f t="shared" ref="FR10:FR28" si="169">$B$16*FR9+$C$16*BV10</f>
        <v>-1.5391757129363541E-3</v>
      </c>
      <c r="FS10" s="34">
        <f t="shared" ref="FS10:FS28" si="170">$B$17*FS9+$C$17*BV10^2</f>
        <v>6.034461470605817E-4</v>
      </c>
      <c r="FT10" s="34">
        <f t="shared" ref="FT10:FT28" si="171">$B$16*FT9+$C$16*BW10</f>
        <v>-5.0864524527550689E-4</v>
      </c>
      <c r="FU10" s="34">
        <f t="shared" ref="FU10:FU28" si="172">$B$17*FU9+$C$17*BW10^2</f>
        <v>2.3074516786405697E-4</v>
      </c>
    </row>
    <row r="11" spans="1:177" x14ac:dyDescent="0.2">
      <c r="A11" s="4"/>
      <c r="B11" s="12"/>
      <c r="D11"/>
      <c r="J11" s="85"/>
      <c r="K11" s="22" t="s">
        <v>120</v>
      </c>
      <c r="L11" s="52">
        <f>MAX(0,J20)</f>
        <v>0</v>
      </c>
      <c r="Q11" s="85"/>
      <c r="W11" s="13">
        <f>W8+W7+W9</f>
        <v>7.7383047977973914E-4</v>
      </c>
      <c r="BZ11" s="34">
        <f t="shared" si="74"/>
        <v>0</v>
      </c>
      <c r="CA11" s="34">
        <f t="shared" si="75"/>
        <v>2.7266301668786938E-9</v>
      </c>
      <c r="CB11" s="34">
        <f t="shared" si="76"/>
        <v>-1.969521935500252E-3</v>
      </c>
      <c r="CC11" s="34">
        <f t="shared" si="77"/>
        <v>1.3627828618682379E-3</v>
      </c>
      <c r="CD11" s="34">
        <f t="shared" si="78"/>
        <v>9.741768793645645E-5</v>
      </c>
      <c r="CE11" s="34">
        <f t="shared" ref="CE11:CE28" si="173">$B$17*CE10+$C$17*AB11^2</f>
        <v>2.445473192456854E-4</v>
      </c>
      <c r="CF11" s="34">
        <f t="shared" si="79"/>
        <v>4.7369700949399075E-4</v>
      </c>
      <c r="CG11" s="34">
        <f t="shared" si="80"/>
        <v>1.2890052188612965E-4</v>
      </c>
      <c r="CH11" s="34">
        <f t="shared" si="81"/>
        <v>-1.4660855845624014E-2</v>
      </c>
      <c r="CI11" s="34">
        <f t="shared" si="82"/>
        <v>1.1791163393144831E-2</v>
      </c>
      <c r="CJ11" s="34">
        <f t="shared" si="83"/>
        <v>0</v>
      </c>
      <c r="CK11" s="34">
        <f t="shared" si="84"/>
        <v>1.8674704792758001E-9</v>
      </c>
      <c r="CL11" s="34">
        <f t="shared" si="85"/>
        <v>1.4446041656844346E-3</v>
      </c>
      <c r="CM11" s="34">
        <f t="shared" si="86"/>
        <v>1.4489343419231686E-3</v>
      </c>
      <c r="CN11" s="34">
        <f t="shared" si="87"/>
        <v>1.4078189364344113E-4</v>
      </c>
      <c r="CO11" s="34">
        <f t="shared" si="88"/>
        <v>2.5968281213130659E-5</v>
      </c>
      <c r="CP11" s="34">
        <f t="shared" si="89"/>
        <v>1.4530747655802268E-4</v>
      </c>
      <c r="CQ11" s="34">
        <f t="shared" si="90"/>
        <v>1.5518046209602983E-4</v>
      </c>
      <c r="CR11" s="34">
        <f t="shared" si="91"/>
        <v>1.1637811866268824E-2</v>
      </c>
      <c r="CS11" s="34">
        <f t="shared" si="92"/>
        <v>1.0095322442208014E-2</v>
      </c>
      <c r="CT11" s="34">
        <f t="shared" si="93"/>
        <v>0</v>
      </c>
      <c r="CU11" s="34">
        <f t="shared" si="94"/>
        <v>1.3086667588167612E-9</v>
      </c>
      <c r="CV11" s="34">
        <f t="shared" si="95"/>
        <v>1.0009977494411192E-4</v>
      </c>
      <c r="CW11" s="34">
        <f t="shared" si="96"/>
        <v>3.490178248996287E-5</v>
      </c>
      <c r="CX11" s="34">
        <f t="shared" si="97"/>
        <v>8.3933788468876236E-4</v>
      </c>
      <c r="CY11" s="34">
        <f t="shared" si="98"/>
        <v>2.2342839073040844E-4</v>
      </c>
      <c r="CZ11" s="34">
        <f t="shared" si="99"/>
        <v>2.8691817142714906E-5</v>
      </c>
      <c r="DA11" s="34">
        <f t="shared" si="100"/>
        <v>1.0363928791623526E-4</v>
      </c>
      <c r="DB11" s="34">
        <f t="shared" si="101"/>
        <v>2.6484447777560456E-3</v>
      </c>
      <c r="DC11" s="34">
        <f t="shared" si="102"/>
        <v>1.0636884294757754E-3</v>
      </c>
      <c r="DD11" s="34">
        <f t="shared" si="103"/>
        <v>0</v>
      </c>
      <c r="DE11" s="34">
        <f t="shared" si="104"/>
        <v>1.1766160422697589E-9</v>
      </c>
      <c r="DF11" s="34">
        <f t="shared" si="105"/>
        <v>0</v>
      </c>
      <c r="DG11" s="34">
        <f t="shared" si="106"/>
        <v>1.4005571011182633E-9</v>
      </c>
      <c r="DH11" s="34">
        <f t="shared" si="107"/>
        <v>0</v>
      </c>
      <c r="DI11" s="34">
        <f t="shared" si="108"/>
        <v>1.8595170845497473E-9</v>
      </c>
      <c r="DJ11" s="34">
        <f t="shared" si="109"/>
        <v>0</v>
      </c>
      <c r="DK11" s="34">
        <f t="shared" si="110"/>
        <v>1.2745208890047947E-9</v>
      </c>
      <c r="DL11" s="34">
        <f t="shared" si="111"/>
        <v>0</v>
      </c>
      <c r="DM11" s="34">
        <f t="shared" si="112"/>
        <v>1.3438935318011461E-9</v>
      </c>
      <c r="DN11" s="34">
        <f t="shared" si="113"/>
        <v>0</v>
      </c>
      <c r="DO11" s="34">
        <f t="shared" si="114"/>
        <v>2.0784194981834313E-9</v>
      </c>
      <c r="DP11" s="34">
        <f t="shared" si="115"/>
        <v>0</v>
      </c>
      <c r="DQ11" s="34">
        <f t="shared" si="116"/>
        <v>1.5515349372007195E-9</v>
      </c>
      <c r="DR11" s="34">
        <f t="shared" si="117"/>
        <v>6.5347706527528115E-3</v>
      </c>
      <c r="DS11" s="34">
        <f t="shared" si="118"/>
        <v>5.8643746281346314E-3</v>
      </c>
      <c r="DT11" s="34">
        <f t="shared" si="119"/>
        <v>7.4061229044084589E-3</v>
      </c>
      <c r="DU11" s="34">
        <f t="shared" si="120"/>
        <v>6.8791636348220159E-3</v>
      </c>
      <c r="DV11" s="34">
        <f t="shared" si="121"/>
        <v>9.9700657784883E-3</v>
      </c>
      <c r="DW11" s="34">
        <f t="shared" si="122"/>
        <v>9.8035325117373021E-3</v>
      </c>
      <c r="DX11" s="34">
        <f t="shared" si="123"/>
        <v>7.4783112453469169E-3</v>
      </c>
      <c r="DY11" s="34">
        <f t="shared" si="124"/>
        <v>5.8737938598993596E-3</v>
      </c>
      <c r="DZ11" s="34">
        <f t="shared" si="125"/>
        <v>7.683839369506648E-3</v>
      </c>
      <c r="EA11" s="34">
        <f t="shared" si="126"/>
        <v>7.3079484617607181E-3</v>
      </c>
      <c r="EB11" s="34">
        <f t="shared" si="127"/>
        <v>4.6063439197643599E-3</v>
      </c>
      <c r="EC11" s="34">
        <f t="shared" si="128"/>
        <v>3.1674130953507546E-3</v>
      </c>
      <c r="ED11" s="34">
        <f t="shared" si="129"/>
        <v>4.6432744029236998E-3</v>
      </c>
      <c r="EE11" s="34">
        <f t="shared" si="130"/>
        <v>6.2166389187646191E-3</v>
      </c>
      <c r="EF11" s="34">
        <f t="shared" si="131"/>
        <v>7.7845904695908864E-4</v>
      </c>
      <c r="EG11" s="34">
        <f t="shared" si="132"/>
        <v>2.1778724713810313E-4</v>
      </c>
      <c r="EH11" s="34">
        <f t="shared" si="133"/>
        <v>8.136354364579073E-4</v>
      </c>
      <c r="EI11" s="34">
        <f t="shared" si="134"/>
        <v>2.7716709912140573E-4</v>
      </c>
      <c r="EJ11" s="34">
        <f t="shared" si="135"/>
        <v>3.3914621442812836E-3</v>
      </c>
      <c r="EK11" s="34">
        <f t="shared" si="136"/>
        <v>1.9377892257783735E-3</v>
      </c>
      <c r="EL11" s="34">
        <f t="shared" si="137"/>
        <v>4.8129526054535408E-4</v>
      </c>
      <c r="EM11" s="34">
        <f t="shared" si="138"/>
        <v>2.0590545057118593E-4</v>
      </c>
      <c r="EN11" s="34">
        <f t="shared" si="139"/>
        <v>1.3588402784228608E-3</v>
      </c>
      <c r="EO11" s="34">
        <f t="shared" si="140"/>
        <v>4.3476732648055566E-4</v>
      </c>
      <c r="EP11" s="34">
        <f t="shared" si="141"/>
        <v>1.5583519553506232E-3</v>
      </c>
      <c r="EQ11" s="34">
        <f t="shared" si="142"/>
        <v>8.4314464236416554E-4</v>
      </c>
      <c r="ER11" s="34">
        <f t="shared" si="143"/>
        <v>3.9886197391334599E-4</v>
      </c>
      <c r="ES11" s="34">
        <f t="shared" si="144"/>
        <v>2.8273003987451431E-4</v>
      </c>
      <c r="ET11" s="34">
        <f t="shared" si="145"/>
        <v>7.1089483005860128E-4</v>
      </c>
      <c r="EU11" s="34">
        <f t="shared" si="146"/>
        <v>3.248078070752714E-4</v>
      </c>
      <c r="EV11" s="34">
        <f t="shared" si="147"/>
        <v>7.8089730496825639E-4</v>
      </c>
      <c r="EW11" s="34">
        <f t="shared" si="148"/>
        <v>4.3606998359862521E-4</v>
      </c>
      <c r="EX11" s="34">
        <f t="shared" si="149"/>
        <v>2.7612390146936074E-3</v>
      </c>
      <c r="EY11" s="34">
        <f t="shared" si="150"/>
        <v>2.5636003974281048E-3</v>
      </c>
      <c r="EZ11" s="34">
        <f t="shared" si="151"/>
        <v>4.816221686213612E-4</v>
      </c>
      <c r="FA11" s="34">
        <f t="shared" si="152"/>
        <v>3.6103897805025249E-4</v>
      </c>
      <c r="FB11" s="34">
        <f t="shared" si="153"/>
        <v>1.1818875373419018E-3</v>
      </c>
      <c r="FC11" s="34">
        <f t="shared" si="154"/>
        <v>5.9700945605412363E-4</v>
      </c>
      <c r="FD11" s="34">
        <f t="shared" si="155"/>
        <v>1.372642192681997E-3</v>
      </c>
      <c r="FE11" s="34">
        <f t="shared" si="156"/>
        <v>1.2782605609437004E-3</v>
      </c>
      <c r="FF11" s="34">
        <f t="shared" si="157"/>
        <v>5.0493096317538592E-4</v>
      </c>
      <c r="FG11" s="34">
        <f t="shared" si="158"/>
        <v>4.9547208391710433E-4</v>
      </c>
      <c r="FH11" s="34">
        <f t="shared" si="159"/>
        <v>-7.825016890004163E-4</v>
      </c>
      <c r="FI11" s="34">
        <f t="shared" si="160"/>
        <v>1.6113116097744187E-4</v>
      </c>
      <c r="FJ11" s="34">
        <f t="shared" si="161"/>
        <v>-8.3096603504629078E-4</v>
      </c>
      <c r="FK11" s="34">
        <f t="shared" si="162"/>
        <v>2.0980655198825552E-4</v>
      </c>
      <c r="FL11" s="34">
        <f t="shared" si="163"/>
        <v>-3.0560923606310561E-3</v>
      </c>
      <c r="FM11" s="34">
        <f t="shared" si="164"/>
        <v>1.4050227860167156E-3</v>
      </c>
      <c r="FN11" s="34">
        <f t="shared" si="165"/>
        <v>-5.3786648992455884E-4</v>
      </c>
      <c r="FO11" s="34">
        <f t="shared" si="166"/>
        <v>1.6447776273758371E-4</v>
      </c>
      <c r="FP11" s="34">
        <f t="shared" si="167"/>
        <v>-1.29053876148877E-3</v>
      </c>
      <c r="FQ11" s="34">
        <f t="shared" si="168"/>
        <v>3.1908765468433665E-4</v>
      </c>
      <c r="FR11" s="34">
        <f t="shared" si="169"/>
        <v>-1.3852581416427187E-3</v>
      </c>
      <c r="FS11" s="34">
        <f t="shared" si="170"/>
        <v>6.0284270091352115E-4</v>
      </c>
      <c r="FT11" s="34">
        <f t="shared" si="171"/>
        <v>-4.5778072074795619E-4</v>
      </c>
      <c r="FU11" s="34">
        <f t="shared" si="172"/>
        <v>2.305144226961929E-4</v>
      </c>
    </row>
    <row r="12" spans="1:177" x14ac:dyDescent="0.2">
      <c r="A12" s="4"/>
      <c r="B12" s="12"/>
      <c r="D12"/>
      <c r="I12" s="22" t="s">
        <v>67</v>
      </c>
      <c r="J12" s="83">
        <f>SUMPRODUCT(B4:B10,F4:F10)</f>
        <v>1.1848908856867051</v>
      </c>
      <c r="P12" s="22" t="s">
        <v>68</v>
      </c>
      <c r="Q12" s="86">
        <f>SUMPRODUCT(L7:L11,O5:O9)</f>
        <v>5.4427896504040412</v>
      </c>
      <c r="W12" s="14">
        <f>W11*100</f>
        <v>7.7383047977973921E-2</v>
      </c>
      <c r="BZ12" s="34">
        <f t="shared" si="74"/>
        <v>0</v>
      </c>
      <c r="CA12" s="34">
        <f t="shared" si="75"/>
        <v>2.7239035367118149E-9</v>
      </c>
      <c r="CB12" s="34">
        <f t="shared" si="76"/>
        <v>-1.7725697419502268E-3</v>
      </c>
      <c r="CC12" s="34">
        <f t="shared" si="77"/>
        <v>1.3614200790063697E-3</v>
      </c>
      <c r="CD12" s="34">
        <f t="shared" si="78"/>
        <v>8.7675919142810802E-5</v>
      </c>
      <c r="CE12" s="34">
        <f t="shared" si="173"/>
        <v>2.4430277192643971E-4</v>
      </c>
      <c r="CF12" s="34">
        <f t="shared" si="79"/>
        <v>4.2632730854459168E-4</v>
      </c>
      <c r="CG12" s="34">
        <f t="shared" si="80"/>
        <v>1.2877162136424352E-4</v>
      </c>
      <c r="CH12" s="34">
        <f t="shared" si="81"/>
        <v>-1.3194770261061613E-2</v>
      </c>
      <c r="CI12" s="34">
        <f t="shared" si="82"/>
        <v>1.1779372229751686E-2</v>
      </c>
      <c r="CJ12" s="34">
        <f t="shared" si="83"/>
        <v>0</v>
      </c>
      <c r="CK12" s="34">
        <f t="shared" si="84"/>
        <v>1.8656030087965244E-9</v>
      </c>
      <c r="CL12" s="34">
        <f t="shared" si="85"/>
        <v>1.3001437491159912E-3</v>
      </c>
      <c r="CM12" s="34">
        <f t="shared" si="86"/>
        <v>1.4474854075812455E-3</v>
      </c>
      <c r="CN12" s="34">
        <f t="shared" si="87"/>
        <v>1.2670370427909702E-4</v>
      </c>
      <c r="CO12" s="34">
        <f t="shared" si="88"/>
        <v>2.5942312931917527E-5</v>
      </c>
      <c r="CP12" s="34">
        <f t="shared" si="89"/>
        <v>1.3077672890222041E-4</v>
      </c>
      <c r="CQ12" s="34">
        <f t="shared" si="90"/>
        <v>1.550252816339338E-4</v>
      </c>
      <c r="CR12" s="34">
        <f t="shared" si="91"/>
        <v>1.0474030679641942E-2</v>
      </c>
      <c r="CS12" s="34">
        <f t="shared" si="92"/>
        <v>1.0085227119765805E-2</v>
      </c>
      <c r="CT12" s="34">
        <f t="shared" si="93"/>
        <v>0</v>
      </c>
      <c r="CU12" s="34">
        <f t="shared" si="94"/>
        <v>1.3073580920579444E-9</v>
      </c>
      <c r="CV12" s="34">
        <f t="shared" si="95"/>
        <v>9.008979744970074E-5</v>
      </c>
      <c r="CW12" s="34">
        <f t="shared" si="96"/>
        <v>3.4866880707472907E-5</v>
      </c>
      <c r="CX12" s="34">
        <f t="shared" si="97"/>
        <v>7.5540409621988611E-4</v>
      </c>
      <c r="CY12" s="34">
        <f t="shared" si="98"/>
        <v>2.2320496233967804E-4</v>
      </c>
      <c r="CZ12" s="34">
        <f t="shared" si="99"/>
        <v>2.5822635428443415E-5</v>
      </c>
      <c r="DA12" s="34">
        <f t="shared" si="100"/>
        <v>1.0353564862831903E-4</v>
      </c>
      <c r="DB12" s="34">
        <f t="shared" si="101"/>
        <v>2.3836002999804411E-3</v>
      </c>
      <c r="DC12" s="34">
        <f t="shared" si="102"/>
        <v>1.0626247410462997E-3</v>
      </c>
      <c r="DD12" s="34">
        <f t="shared" si="103"/>
        <v>0</v>
      </c>
      <c r="DE12" s="34">
        <f t="shared" si="104"/>
        <v>1.1754394262274891E-9</v>
      </c>
      <c r="DF12" s="34">
        <f t="shared" si="105"/>
        <v>0</v>
      </c>
      <c r="DG12" s="34">
        <f t="shared" si="106"/>
        <v>1.399156544017145E-9</v>
      </c>
      <c r="DH12" s="34">
        <f t="shared" si="107"/>
        <v>0</v>
      </c>
      <c r="DI12" s="34">
        <f t="shared" si="108"/>
        <v>1.8576575674651976E-9</v>
      </c>
      <c r="DJ12" s="34">
        <f t="shared" si="109"/>
        <v>0</v>
      </c>
      <c r="DK12" s="34">
        <f t="shared" si="110"/>
        <v>1.27324636811579E-9</v>
      </c>
      <c r="DL12" s="34">
        <f t="shared" si="111"/>
        <v>0</v>
      </c>
      <c r="DM12" s="34">
        <f t="shared" si="112"/>
        <v>1.3425496382693449E-9</v>
      </c>
      <c r="DN12" s="34">
        <f t="shared" si="113"/>
        <v>0</v>
      </c>
      <c r="DO12" s="34">
        <f t="shared" si="114"/>
        <v>2.0763410786852478E-9</v>
      </c>
      <c r="DP12" s="34">
        <f t="shared" si="115"/>
        <v>0</v>
      </c>
      <c r="DQ12" s="34">
        <f t="shared" si="116"/>
        <v>1.5499834022635189E-9</v>
      </c>
      <c r="DR12" s="34">
        <f t="shared" si="117"/>
        <v>5.8812935874775303E-3</v>
      </c>
      <c r="DS12" s="34">
        <f t="shared" si="118"/>
        <v>5.858510253506497E-3</v>
      </c>
      <c r="DT12" s="34">
        <f t="shared" si="119"/>
        <v>6.6655106139676132E-3</v>
      </c>
      <c r="DU12" s="34">
        <f t="shared" si="120"/>
        <v>6.8722844711871936E-3</v>
      </c>
      <c r="DV12" s="34">
        <f t="shared" si="121"/>
        <v>8.9730592006394706E-3</v>
      </c>
      <c r="DW12" s="34">
        <f t="shared" si="122"/>
        <v>9.793728979225565E-3</v>
      </c>
      <c r="DX12" s="34">
        <f t="shared" si="123"/>
        <v>6.7304801208122253E-3</v>
      </c>
      <c r="DY12" s="34">
        <f t="shared" si="124"/>
        <v>5.8679200660394599E-3</v>
      </c>
      <c r="DZ12" s="34">
        <f t="shared" si="125"/>
        <v>6.9154554325559833E-3</v>
      </c>
      <c r="EA12" s="34">
        <f t="shared" si="126"/>
        <v>7.3006405132989578E-3</v>
      </c>
      <c r="EB12" s="34">
        <f t="shared" si="127"/>
        <v>4.1457095277879236E-3</v>
      </c>
      <c r="EC12" s="34">
        <f t="shared" si="128"/>
        <v>3.1642456822554041E-3</v>
      </c>
      <c r="ED12" s="34">
        <f t="shared" si="129"/>
        <v>4.1789469626313299E-3</v>
      </c>
      <c r="EE12" s="34">
        <f t="shared" si="130"/>
        <v>6.2104222798458541E-3</v>
      </c>
      <c r="EF12" s="34">
        <f t="shared" si="131"/>
        <v>7.0061314226317975E-4</v>
      </c>
      <c r="EG12" s="34">
        <f t="shared" si="132"/>
        <v>2.1756945989096502E-4</v>
      </c>
      <c r="EH12" s="34">
        <f t="shared" si="133"/>
        <v>7.3227189281211661E-4</v>
      </c>
      <c r="EI12" s="34">
        <f t="shared" si="134"/>
        <v>2.7688993202228433E-4</v>
      </c>
      <c r="EJ12" s="34">
        <f t="shared" si="135"/>
        <v>3.0523159298531553E-3</v>
      </c>
      <c r="EK12" s="34">
        <f t="shared" si="136"/>
        <v>1.9358514365525952E-3</v>
      </c>
      <c r="EL12" s="34">
        <f t="shared" si="137"/>
        <v>4.331657344908187E-4</v>
      </c>
      <c r="EM12" s="34">
        <f t="shared" si="138"/>
        <v>2.0569954512061474E-4</v>
      </c>
      <c r="EN12" s="34">
        <f t="shared" si="139"/>
        <v>1.2229562505805748E-3</v>
      </c>
      <c r="EO12" s="34">
        <f t="shared" si="140"/>
        <v>4.3433255915407509E-4</v>
      </c>
      <c r="EP12" s="34">
        <f t="shared" si="141"/>
        <v>1.4025167598155609E-3</v>
      </c>
      <c r="EQ12" s="34">
        <f t="shared" si="142"/>
        <v>8.4230149772180133E-4</v>
      </c>
      <c r="ER12" s="34">
        <f t="shared" si="143"/>
        <v>3.5897577652201139E-4</v>
      </c>
      <c r="ES12" s="34">
        <f t="shared" si="144"/>
        <v>2.8244730983463978E-4</v>
      </c>
      <c r="ET12" s="34">
        <f t="shared" si="145"/>
        <v>6.3980534705274116E-4</v>
      </c>
      <c r="EU12" s="34">
        <f t="shared" si="146"/>
        <v>3.2448299926819614E-4</v>
      </c>
      <c r="EV12" s="34">
        <f t="shared" si="147"/>
        <v>7.0280757447143077E-4</v>
      </c>
      <c r="EW12" s="34">
        <f t="shared" si="148"/>
        <v>4.3563391361502656E-4</v>
      </c>
      <c r="EX12" s="34">
        <f t="shared" si="149"/>
        <v>2.4851151132242468E-3</v>
      </c>
      <c r="EY12" s="34">
        <f t="shared" si="150"/>
        <v>2.5610367970306767E-3</v>
      </c>
      <c r="EZ12" s="34">
        <f t="shared" si="151"/>
        <v>4.3345995175922506E-4</v>
      </c>
      <c r="FA12" s="34">
        <f t="shared" si="152"/>
        <v>3.6067793907220222E-4</v>
      </c>
      <c r="FB12" s="34">
        <f t="shared" si="153"/>
        <v>1.0636987836077118E-3</v>
      </c>
      <c r="FC12" s="34">
        <f t="shared" si="154"/>
        <v>5.9641244659806956E-4</v>
      </c>
      <c r="FD12" s="34">
        <f t="shared" si="155"/>
        <v>1.2353779734137972E-3</v>
      </c>
      <c r="FE12" s="34">
        <f t="shared" si="156"/>
        <v>1.2769823003827567E-3</v>
      </c>
      <c r="FF12" s="34">
        <f t="shared" si="157"/>
        <v>4.5443786685784736E-4</v>
      </c>
      <c r="FG12" s="34">
        <f t="shared" si="158"/>
        <v>4.9497661183318725E-4</v>
      </c>
      <c r="FH12" s="34">
        <f t="shared" si="159"/>
        <v>-7.0425152010037469E-4</v>
      </c>
      <c r="FI12" s="34">
        <f t="shared" si="160"/>
        <v>1.6097002981646443E-4</v>
      </c>
      <c r="FJ12" s="34">
        <f t="shared" si="161"/>
        <v>-7.4786943154166174E-4</v>
      </c>
      <c r="FK12" s="34">
        <f t="shared" si="162"/>
        <v>2.0959674543626726E-4</v>
      </c>
      <c r="FL12" s="34">
        <f t="shared" si="163"/>
        <v>-2.7504831245679508E-3</v>
      </c>
      <c r="FM12" s="34">
        <f t="shared" si="164"/>
        <v>1.4036177632306989E-3</v>
      </c>
      <c r="FN12" s="34">
        <f t="shared" si="165"/>
        <v>-4.8407984093210298E-4</v>
      </c>
      <c r="FO12" s="34">
        <f t="shared" si="166"/>
        <v>1.6431328497484613E-4</v>
      </c>
      <c r="FP12" s="34">
        <f t="shared" si="167"/>
        <v>-1.1614848853398929E-3</v>
      </c>
      <c r="FQ12" s="34">
        <f t="shared" si="168"/>
        <v>3.1876856702965233E-4</v>
      </c>
      <c r="FR12" s="34">
        <f t="shared" si="169"/>
        <v>-1.2467323274784469E-3</v>
      </c>
      <c r="FS12" s="34">
        <f t="shared" si="170"/>
        <v>6.0223985821260761E-4</v>
      </c>
      <c r="FT12" s="34">
        <f t="shared" si="171"/>
        <v>-4.1200264867316056E-4</v>
      </c>
      <c r="FU12" s="34">
        <f t="shared" si="172"/>
        <v>2.3028390827349671E-4</v>
      </c>
    </row>
    <row r="13" spans="1:177" x14ac:dyDescent="0.2">
      <c r="A13" s="4"/>
      <c r="B13" s="12"/>
      <c r="D13"/>
      <c r="J13" s="85"/>
      <c r="BZ13" s="34">
        <f t="shared" si="74"/>
        <v>0</v>
      </c>
      <c r="CA13" s="34">
        <f t="shared" si="75"/>
        <v>2.7211796331751031E-9</v>
      </c>
      <c r="CB13" s="34">
        <f t="shared" si="76"/>
        <v>-1.5953127677552042E-3</v>
      </c>
      <c r="CC13" s="34">
        <f t="shared" si="77"/>
        <v>1.3600586589273633E-3</v>
      </c>
      <c r="CD13" s="34">
        <f t="shared" si="78"/>
        <v>7.8908327228529725E-5</v>
      </c>
      <c r="CE13" s="34">
        <f t="shared" si="173"/>
        <v>2.4405846915451327E-4</v>
      </c>
      <c r="CF13" s="34">
        <f t="shared" si="79"/>
        <v>3.8369457769013251E-4</v>
      </c>
      <c r="CG13" s="34">
        <f t="shared" si="80"/>
        <v>1.2864284974287927E-4</v>
      </c>
      <c r="CH13" s="34">
        <f t="shared" si="81"/>
        <v>-1.1875293234955451E-2</v>
      </c>
      <c r="CI13" s="34">
        <f t="shared" si="82"/>
        <v>1.1767592857521934E-2</v>
      </c>
      <c r="CJ13" s="34">
        <f t="shared" si="83"/>
        <v>0</v>
      </c>
      <c r="CK13" s="34">
        <f t="shared" si="84"/>
        <v>1.8637374057877278E-9</v>
      </c>
      <c r="CL13" s="34">
        <f t="shared" si="85"/>
        <v>1.1701293742043921E-3</v>
      </c>
      <c r="CM13" s="34">
        <f t="shared" si="86"/>
        <v>1.4460379221736643E-3</v>
      </c>
      <c r="CN13" s="34">
        <f t="shared" si="87"/>
        <v>1.1403333385118732E-4</v>
      </c>
      <c r="CO13" s="34">
        <f t="shared" si="88"/>
        <v>2.5916370618985609E-5</v>
      </c>
      <c r="CP13" s="34">
        <f t="shared" si="89"/>
        <v>1.1769905601199837E-4</v>
      </c>
      <c r="CQ13" s="34">
        <f t="shared" si="90"/>
        <v>1.5487025635229986E-4</v>
      </c>
      <c r="CR13" s="34">
        <f t="shared" si="91"/>
        <v>9.4266276116777483E-3</v>
      </c>
      <c r="CS13" s="34">
        <f t="shared" si="92"/>
        <v>1.007514189264604E-2</v>
      </c>
      <c r="CT13" s="34">
        <f t="shared" si="93"/>
        <v>0</v>
      </c>
      <c r="CU13" s="34">
        <f t="shared" si="94"/>
        <v>1.3060507339658864E-9</v>
      </c>
      <c r="CV13" s="34">
        <f t="shared" si="95"/>
        <v>8.1080817704730671E-5</v>
      </c>
      <c r="CW13" s="34">
        <f t="shared" si="96"/>
        <v>3.4832013826765431E-5</v>
      </c>
      <c r="CX13" s="34">
        <f t="shared" si="97"/>
        <v>6.7986368659789752E-4</v>
      </c>
      <c r="CY13" s="34">
        <f t="shared" si="98"/>
        <v>2.2298175737733836E-4</v>
      </c>
      <c r="CZ13" s="34">
        <f t="shared" si="99"/>
        <v>2.3240371885599075E-5</v>
      </c>
      <c r="DA13" s="34">
        <f t="shared" si="100"/>
        <v>1.0343211297969072E-4</v>
      </c>
      <c r="DB13" s="34">
        <f t="shared" si="101"/>
        <v>2.1452402699823972E-3</v>
      </c>
      <c r="DC13" s="34">
        <f t="shared" si="102"/>
        <v>1.0615621163052535E-3</v>
      </c>
      <c r="DD13" s="34">
        <f t="shared" si="103"/>
        <v>0</v>
      </c>
      <c r="DE13" s="34">
        <f t="shared" si="104"/>
        <v>1.1742639868012616E-9</v>
      </c>
      <c r="DF13" s="34">
        <f t="shared" si="105"/>
        <v>0</v>
      </c>
      <c r="DG13" s="34">
        <f t="shared" si="106"/>
        <v>1.3977573874731279E-9</v>
      </c>
      <c r="DH13" s="34">
        <f t="shared" si="107"/>
        <v>0</v>
      </c>
      <c r="DI13" s="34">
        <f t="shared" si="108"/>
        <v>1.8557999098977323E-9</v>
      </c>
      <c r="DJ13" s="34">
        <f t="shared" si="109"/>
        <v>0</v>
      </c>
      <c r="DK13" s="34">
        <f t="shared" si="110"/>
        <v>1.2719731217476742E-9</v>
      </c>
      <c r="DL13" s="34">
        <f t="shared" si="111"/>
        <v>0</v>
      </c>
      <c r="DM13" s="34">
        <f>$B$17*DM12+$C$17*AS13^2</f>
        <v>1.3412070886310757E-9</v>
      </c>
      <c r="DN13" s="34">
        <f t="shared" si="113"/>
        <v>0</v>
      </c>
      <c r="DO13" s="34">
        <f t="shared" si="114"/>
        <v>2.0742647376065627E-9</v>
      </c>
      <c r="DP13" s="34">
        <f t="shared" si="115"/>
        <v>0</v>
      </c>
      <c r="DQ13" s="34">
        <f t="shared" si="116"/>
        <v>1.5484334188612553E-9</v>
      </c>
      <c r="DR13" s="34">
        <f t="shared" si="117"/>
        <v>5.2931642287297777E-3</v>
      </c>
      <c r="DS13" s="34">
        <f t="shared" si="118"/>
        <v>5.8526517432529908E-3</v>
      </c>
      <c r="DT13" s="34">
        <f t="shared" si="119"/>
        <v>5.9989595525708518E-3</v>
      </c>
      <c r="DU13" s="34">
        <f t="shared" si="120"/>
        <v>6.8654121867160068E-3</v>
      </c>
      <c r="DV13" s="34">
        <f t="shared" si="121"/>
        <v>8.0757532805755244E-3</v>
      </c>
      <c r="DW13" s="34">
        <f t="shared" si="122"/>
        <v>9.7839352502463398E-3</v>
      </c>
      <c r="DX13" s="34">
        <f t="shared" si="123"/>
        <v>6.0574321087310031E-3</v>
      </c>
      <c r="DY13" s="34">
        <f t="shared" si="124"/>
        <v>5.8620521459734204E-3</v>
      </c>
      <c r="DZ13" s="34">
        <f t="shared" si="125"/>
        <v>6.2239098893003848E-3</v>
      </c>
      <c r="EA13" s="34">
        <f t="shared" si="126"/>
        <v>7.2933398727856591E-3</v>
      </c>
      <c r="EB13" s="34">
        <f t="shared" si="127"/>
        <v>3.7311385750091312E-3</v>
      </c>
      <c r="EC13" s="34">
        <f t="shared" si="128"/>
        <v>3.1610814365731488E-3</v>
      </c>
      <c r="ED13" s="34">
        <f t="shared" si="129"/>
        <v>3.761052266368197E-3</v>
      </c>
      <c r="EE13" s="34">
        <f t="shared" si="130"/>
        <v>6.2042118575660081E-3</v>
      </c>
      <c r="EF13" s="34">
        <f t="shared" si="131"/>
        <v>6.3055182803686176E-4</v>
      </c>
      <c r="EG13" s="34">
        <f t="shared" si="132"/>
        <v>2.1735189043107405E-4</v>
      </c>
      <c r="EH13" s="34">
        <f t="shared" si="133"/>
        <v>6.5904470353090499E-4</v>
      </c>
      <c r="EI13" s="34">
        <f t="shared" si="134"/>
        <v>2.7661304209026204E-4</v>
      </c>
      <c r="EJ13" s="34">
        <f t="shared" si="135"/>
        <v>2.7470843368678399E-3</v>
      </c>
      <c r="EK13" s="34">
        <f t="shared" si="136"/>
        <v>1.9339155851160427E-3</v>
      </c>
      <c r="EL13" s="34">
        <f t="shared" si="137"/>
        <v>3.8984916104173686E-4</v>
      </c>
      <c r="EM13" s="34">
        <f t="shared" si="138"/>
        <v>2.0549384557549412E-4</v>
      </c>
      <c r="EN13" s="34">
        <f t="shared" si="139"/>
        <v>1.1006606255225173E-3</v>
      </c>
      <c r="EO13" s="34">
        <f t="shared" si="140"/>
        <v>4.3389822659492099E-4</v>
      </c>
      <c r="EP13" s="34">
        <f t="shared" si="141"/>
        <v>1.2622650838340049E-3</v>
      </c>
      <c r="EQ13" s="34">
        <f t="shared" si="142"/>
        <v>8.4145919622407954E-4</v>
      </c>
      <c r="ER13" s="34">
        <f t="shared" si="143"/>
        <v>3.2307819886981024E-4</v>
      </c>
      <c r="ES13" s="34">
        <f t="shared" si="144"/>
        <v>2.8216486252480516E-4</v>
      </c>
      <c r="ET13" s="34">
        <f t="shared" si="145"/>
        <v>5.7582481234746703E-4</v>
      </c>
      <c r="EU13" s="34">
        <f t="shared" si="146"/>
        <v>3.2415851626892795E-4</v>
      </c>
      <c r="EV13" s="34">
        <f t="shared" si="147"/>
        <v>6.3252681702428775E-4</v>
      </c>
      <c r="EW13" s="34">
        <f t="shared" si="148"/>
        <v>4.3519827970141153E-4</v>
      </c>
      <c r="EX13" s="34">
        <f t="shared" si="149"/>
        <v>2.236603601901822E-3</v>
      </c>
      <c r="EY13" s="34">
        <f t="shared" si="150"/>
        <v>2.5584757602336462E-3</v>
      </c>
      <c r="EZ13" s="34">
        <f t="shared" si="151"/>
        <v>3.9011395658330257E-4</v>
      </c>
      <c r="FA13" s="34">
        <f t="shared" si="152"/>
        <v>3.6031726113313001E-4</v>
      </c>
      <c r="FB13" s="34">
        <f t="shared" si="153"/>
        <v>9.5732890524694058E-4</v>
      </c>
      <c r="FC13" s="34">
        <f t="shared" si="154"/>
        <v>5.9581603415147146E-4</v>
      </c>
      <c r="FD13" s="34">
        <f t="shared" si="155"/>
        <v>1.1118401760724175E-3</v>
      </c>
      <c r="FE13" s="34">
        <f t="shared" si="156"/>
        <v>1.275705318082374E-3</v>
      </c>
      <c r="FF13" s="34">
        <f t="shared" si="157"/>
        <v>4.0899408017206265E-4</v>
      </c>
      <c r="FG13" s="34">
        <f t="shared" si="158"/>
        <v>4.944816352213541E-4</v>
      </c>
      <c r="FH13" s="34">
        <f t="shared" si="159"/>
        <v>-6.3382636809033728E-4</v>
      </c>
      <c r="FI13" s="34">
        <f t="shared" si="160"/>
        <v>1.6080905978664797E-4</v>
      </c>
      <c r="FJ13" s="34">
        <f t="shared" si="161"/>
        <v>-6.7308248838749557E-4</v>
      </c>
      <c r="FK13" s="34">
        <f t="shared" si="162"/>
        <v>2.0938714869083098E-4</v>
      </c>
      <c r="FL13" s="34">
        <f t="shared" si="163"/>
        <v>-2.4754348121111555E-3</v>
      </c>
      <c r="FM13" s="34">
        <f t="shared" si="164"/>
        <v>1.4022141454674683E-3</v>
      </c>
      <c r="FN13" s="34">
        <f t="shared" si="165"/>
        <v>-4.3567185683889269E-4</v>
      </c>
      <c r="FO13" s="34">
        <f t="shared" si="166"/>
        <v>1.6414897168987128E-4</v>
      </c>
      <c r="FP13" s="34">
        <f t="shared" si="167"/>
        <v>-1.0453363968059037E-3</v>
      </c>
      <c r="FQ13" s="34">
        <f t="shared" si="168"/>
        <v>3.1844979846262268E-4</v>
      </c>
      <c r="FR13" s="34">
        <f t="shared" si="169"/>
        <v>-1.1220590947306022E-3</v>
      </c>
      <c r="FS13" s="34">
        <f t="shared" si="170"/>
        <v>6.0163761835439495E-4</v>
      </c>
      <c r="FT13" s="34">
        <f t="shared" si="171"/>
        <v>-3.7080238380584452E-4</v>
      </c>
      <c r="FU13" s="34">
        <f t="shared" si="172"/>
        <v>2.3005362436522321E-4</v>
      </c>
    </row>
    <row r="14" spans="1:177" x14ac:dyDescent="0.2">
      <c r="A14" s="89" t="s">
        <v>228</v>
      </c>
      <c r="B14" s="89"/>
      <c r="C14" s="89"/>
      <c r="D14"/>
      <c r="J14" s="85"/>
      <c r="BZ14" s="34">
        <f t="shared" si="74"/>
        <v>0</v>
      </c>
      <c r="CA14" s="34">
        <f t="shared" si="75"/>
        <v>2.7184584535419279E-9</v>
      </c>
      <c r="CB14" s="34">
        <f t="shared" si="76"/>
        <v>-1.4357814909796839E-3</v>
      </c>
      <c r="CC14" s="34">
        <f t="shared" si="77"/>
        <v>1.3586986002684361E-3</v>
      </c>
      <c r="CD14" s="34">
        <f t="shared" si="78"/>
        <v>7.1017494505676751E-5</v>
      </c>
      <c r="CE14" s="34">
        <f t="shared" si="173"/>
        <v>2.4381441068535876E-4</v>
      </c>
      <c r="CF14" s="34">
        <f t="shared" si="79"/>
        <v>3.4532511992111926E-4</v>
      </c>
      <c r="CG14" s="34">
        <f t="shared" si="80"/>
        <v>1.2851420689313639E-4</v>
      </c>
      <c r="CH14" s="34">
        <f t="shared" si="81"/>
        <v>-1.0687763911459907E-2</v>
      </c>
      <c r="CI14" s="34">
        <f t="shared" si="82"/>
        <v>1.1755825264664413E-2</v>
      </c>
      <c r="CJ14" s="34">
        <f t="shared" si="83"/>
        <v>0</v>
      </c>
      <c r="CK14" s="34">
        <f t="shared" si="84"/>
        <v>1.8618736683819401E-9</v>
      </c>
      <c r="CL14" s="34">
        <f t="shared" si="85"/>
        <v>1.053116436783953E-3</v>
      </c>
      <c r="CM14" s="34">
        <f t="shared" si="86"/>
        <v>1.4445918842514907E-3</v>
      </c>
      <c r="CN14" s="34">
        <f t="shared" si="87"/>
        <v>1.0263000046606859E-4</v>
      </c>
      <c r="CO14" s="34">
        <f t="shared" si="88"/>
        <v>2.5890454248366624E-5</v>
      </c>
      <c r="CP14" s="34">
        <f t="shared" si="89"/>
        <v>1.0592915041079853E-4</v>
      </c>
      <c r="CQ14" s="34">
        <f t="shared" si="90"/>
        <v>1.5471538609594757E-4</v>
      </c>
      <c r="CR14" s="34">
        <f t="shared" si="91"/>
        <v>8.4839648505099733E-3</v>
      </c>
      <c r="CS14" s="34">
        <f t="shared" si="92"/>
        <v>1.0065066750753394E-2</v>
      </c>
      <c r="CT14" s="34">
        <f t="shared" si="93"/>
        <v>0</v>
      </c>
      <c r="CU14" s="34">
        <f t="shared" si="94"/>
        <v>1.3047446832319205E-9</v>
      </c>
      <c r="CV14" s="34">
        <f t="shared" si="95"/>
        <v>7.2972735934257604E-5</v>
      </c>
      <c r="CW14" s="34">
        <f t="shared" si="96"/>
        <v>3.4797181812938666E-5</v>
      </c>
      <c r="CX14" s="34">
        <f t="shared" si="97"/>
        <v>6.1187731793810774E-4</v>
      </c>
      <c r="CY14" s="34">
        <f t="shared" si="98"/>
        <v>2.2275877561996101E-4</v>
      </c>
      <c r="CZ14" s="34">
        <f t="shared" si="99"/>
        <v>2.0916334697039168E-5</v>
      </c>
      <c r="DA14" s="34">
        <f t="shared" si="100"/>
        <v>1.0332868086671103E-4</v>
      </c>
      <c r="DB14" s="34">
        <f t="shared" si="101"/>
        <v>1.9307162429841576E-3</v>
      </c>
      <c r="DC14" s="34">
        <f t="shared" si="102"/>
        <v>1.0605005541889482E-3</v>
      </c>
      <c r="DD14" s="34">
        <f t="shared" si="103"/>
        <v>0</v>
      </c>
      <c r="DE14" s="34">
        <f t="shared" si="104"/>
        <v>1.1730897228144602E-9</v>
      </c>
      <c r="DF14" s="34">
        <f t="shared" si="105"/>
        <v>0</v>
      </c>
      <c r="DG14" s="34">
        <f t="shared" si="106"/>
        <v>1.3963596300856549E-9</v>
      </c>
      <c r="DH14" s="34">
        <f t="shared" si="107"/>
        <v>0</v>
      </c>
      <c r="DI14" s="34">
        <f t="shared" si="108"/>
        <v>1.8539441099878347E-9</v>
      </c>
      <c r="DJ14" s="34">
        <f t="shared" si="109"/>
        <v>0</v>
      </c>
      <c r="DK14" s="34">
        <f t="shared" si="110"/>
        <v>1.2707011486259266E-9</v>
      </c>
      <c r="DL14" s="34">
        <f t="shared" si="111"/>
        <v>0</v>
      </c>
      <c r="DM14" s="34">
        <f t="shared" si="112"/>
        <v>1.3398658815424446E-9</v>
      </c>
      <c r="DN14" s="34">
        <f t="shared" si="113"/>
        <v>0</v>
      </c>
      <c r="DO14" s="34">
        <f t="shared" si="114"/>
        <v>2.0721904728689563E-9</v>
      </c>
      <c r="DP14" s="34">
        <f t="shared" si="115"/>
        <v>0</v>
      </c>
      <c r="DQ14" s="34">
        <f t="shared" si="116"/>
        <v>1.5468849854423941E-9</v>
      </c>
      <c r="DR14" s="34">
        <f t="shared" si="117"/>
        <v>4.7638478058568004E-3</v>
      </c>
      <c r="DS14" s="34">
        <f t="shared" si="118"/>
        <v>5.8467990915097379E-3</v>
      </c>
      <c r="DT14" s="34">
        <f t="shared" si="119"/>
        <v>5.399063597313767E-3</v>
      </c>
      <c r="DU14" s="34">
        <f t="shared" si="120"/>
        <v>6.8585467745292906E-3</v>
      </c>
      <c r="DV14" s="34">
        <f t="shared" si="121"/>
        <v>7.2681779525179723E-3</v>
      </c>
      <c r="DW14" s="34">
        <f t="shared" si="122"/>
        <v>9.7741513149960935E-3</v>
      </c>
      <c r="DX14" s="34">
        <f t="shared" si="123"/>
        <v>5.4516888978579032E-3</v>
      </c>
      <c r="DY14" s="34">
        <f t="shared" si="124"/>
        <v>5.8561900938274474E-3</v>
      </c>
      <c r="DZ14" s="34">
        <f t="shared" si="125"/>
        <v>5.6015189003703466E-3</v>
      </c>
      <c r="EA14" s="34">
        <f t="shared" si="126"/>
        <v>7.2860465329128736E-3</v>
      </c>
      <c r="EB14" s="34">
        <f t="shared" si="127"/>
        <v>3.358024717508218E-3</v>
      </c>
      <c r="EC14" s="34">
        <f t="shared" si="128"/>
        <v>3.1579203551365758E-3</v>
      </c>
      <c r="ED14" s="34">
        <f t="shared" si="129"/>
        <v>3.3849470397313772E-3</v>
      </c>
      <c r="EE14" s="34">
        <f t="shared" si="130"/>
        <v>6.1980076457084417E-3</v>
      </c>
      <c r="EF14" s="34">
        <f t="shared" si="131"/>
        <v>5.6749664523317561E-4</v>
      </c>
      <c r="EG14" s="34">
        <f t="shared" si="132"/>
        <v>2.1713453854064297E-4</v>
      </c>
      <c r="EH14" s="34">
        <f t="shared" si="133"/>
        <v>5.9314023317781454E-4</v>
      </c>
      <c r="EI14" s="34">
        <f t="shared" si="134"/>
        <v>2.7633642904817179E-4</v>
      </c>
      <c r="EJ14" s="34">
        <f t="shared" si="135"/>
        <v>2.4723759031810562E-3</v>
      </c>
      <c r="EK14" s="34">
        <f t="shared" si="136"/>
        <v>1.9319816695309267E-3</v>
      </c>
      <c r="EL14" s="34">
        <f t="shared" si="137"/>
        <v>3.5086424493756317E-4</v>
      </c>
      <c r="EM14" s="34">
        <f t="shared" si="138"/>
        <v>2.0528835172991863E-4</v>
      </c>
      <c r="EN14" s="34">
        <f t="shared" si="139"/>
        <v>9.905945629702657E-4</v>
      </c>
      <c r="EO14" s="34">
        <f t="shared" si="140"/>
        <v>4.3346432836832607E-4</v>
      </c>
      <c r="EP14" s="34">
        <f t="shared" si="141"/>
        <v>1.1360385754506045E-3</v>
      </c>
      <c r="EQ14" s="34">
        <f t="shared" si="142"/>
        <v>8.4061773702785551E-4</v>
      </c>
      <c r="ER14" s="34">
        <f t="shared" si="143"/>
        <v>2.9077037898282921E-4</v>
      </c>
      <c r="ES14" s="34">
        <f t="shared" si="144"/>
        <v>2.8188269766228033E-4</v>
      </c>
      <c r="ET14" s="34">
        <f t="shared" si="145"/>
        <v>5.1824233111272039E-4</v>
      </c>
      <c r="EU14" s="34">
        <f t="shared" si="146"/>
        <v>3.2383435775265904E-4</v>
      </c>
      <c r="EV14" s="34">
        <f t="shared" si="147"/>
        <v>5.6927413532185901E-4</v>
      </c>
      <c r="EW14" s="34">
        <f t="shared" si="148"/>
        <v>4.347630814217101E-4</v>
      </c>
      <c r="EX14" s="34">
        <f t="shared" si="149"/>
        <v>2.01294324171164E-3</v>
      </c>
      <c r="EY14" s="34">
        <f t="shared" si="150"/>
        <v>2.5559172844734127E-3</v>
      </c>
      <c r="EZ14" s="34">
        <f t="shared" si="151"/>
        <v>3.5110256092497232E-4</v>
      </c>
      <c r="FA14" s="34">
        <f t="shared" si="152"/>
        <v>3.5995694387199687E-4</v>
      </c>
      <c r="FB14" s="34">
        <f t="shared" si="153"/>
        <v>8.6159601472224649E-4</v>
      </c>
      <c r="FC14" s="34">
        <f t="shared" si="154"/>
        <v>5.9522021811732003E-4</v>
      </c>
      <c r="FD14" s="34">
        <f t="shared" si="155"/>
        <v>1.0006561584651758E-3</v>
      </c>
      <c r="FE14" s="34">
        <f t="shared" si="156"/>
        <v>1.2744296127642917E-3</v>
      </c>
      <c r="FF14" s="34">
        <f t="shared" si="157"/>
        <v>3.6809467215485642E-4</v>
      </c>
      <c r="FG14" s="34">
        <f t="shared" si="158"/>
        <v>4.9398715358613273E-4</v>
      </c>
      <c r="FH14" s="34">
        <f t="shared" si="159"/>
        <v>-5.7044373128130354E-4</v>
      </c>
      <c r="FI14" s="34">
        <f t="shared" si="160"/>
        <v>1.6064825072686134E-4</v>
      </c>
      <c r="FJ14" s="34">
        <f t="shared" si="161"/>
        <v>-6.0577423954874608E-4</v>
      </c>
      <c r="FK14" s="34">
        <f t="shared" si="162"/>
        <v>2.0917776154214015E-4</v>
      </c>
      <c r="FL14" s="34">
        <f t="shared" si="163"/>
        <v>-2.2278913309000401E-3</v>
      </c>
      <c r="FM14" s="34">
        <f t="shared" si="164"/>
        <v>1.4008119313220009E-3</v>
      </c>
      <c r="FN14" s="34">
        <f t="shared" si="165"/>
        <v>-3.9210467115500343E-4</v>
      </c>
      <c r="FO14" s="34">
        <f t="shared" si="166"/>
        <v>1.6398482271818142E-4</v>
      </c>
      <c r="FP14" s="34">
        <f t="shared" si="167"/>
        <v>-9.4080275712531331E-4</v>
      </c>
      <c r="FQ14" s="34">
        <f t="shared" si="168"/>
        <v>3.1813134866416008E-4</v>
      </c>
      <c r="FR14" s="34">
        <f t="shared" si="169"/>
        <v>-1.009853185257542E-3</v>
      </c>
      <c r="FS14" s="34">
        <f t="shared" si="170"/>
        <v>6.0103598073604054E-4</v>
      </c>
      <c r="FT14" s="34">
        <f t="shared" si="171"/>
        <v>-3.3372214542526005E-4</v>
      </c>
      <c r="FU14" s="34">
        <f t="shared" si="172"/>
        <v>2.2982357074085799E-4</v>
      </c>
    </row>
    <row r="15" spans="1:177" x14ac:dyDescent="0.2">
      <c r="A15" s="36" t="s">
        <v>55</v>
      </c>
      <c r="B15" s="11">
        <v>0.01</v>
      </c>
      <c r="D15"/>
      <c r="J15" s="85"/>
      <c r="Y15" s="9"/>
      <c r="BZ15" s="34">
        <f t="shared" si="74"/>
        <v>0</v>
      </c>
      <c r="CA15" s="34">
        <f t="shared" si="75"/>
        <v>2.715739995088386E-9</v>
      </c>
      <c r="CB15" s="34">
        <f t="shared" si="76"/>
        <v>-1.2922033418817154E-3</v>
      </c>
      <c r="CC15" s="34">
        <f t="shared" si="77"/>
        <v>1.3573399016681676E-3</v>
      </c>
      <c r="CD15" s="34">
        <f t="shared" si="78"/>
        <v>6.391574505510908E-5</v>
      </c>
      <c r="CE15" s="34">
        <f t="shared" si="173"/>
        <v>2.4357059627467341E-4</v>
      </c>
      <c r="CF15" s="34">
        <f t="shared" si="79"/>
        <v>3.1079260792900732E-4</v>
      </c>
      <c r="CG15" s="34">
        <f t="shared" si="80"/>
        <v>1.2838569268624326E-4</v>
      </c>
      <c r="CH15" s="34">
        <f t="shared" si="81"/>
        <v>-9.6189875203139159E-3</v>
      </c>
      <c r="CI15" s="34">
        <f t="shared" si="82"/>
        <v>1.1744069439399749E-2</v>
      </c>
      <c r="CJ15" s="34">
        <f t="shared" si="83"/>
        <v>0</v>
      </c>
      <c r="CK15" s="34">
        <f t="shared" si="84"/>
        <v>1.8600117947135582E-9</v>
      </c>
      <c r="CL15" s="34">
        <f t="shared" si="85"/>
        <v>9.4780479310555769E-4</v>
      </c>
      <c r="CM15" s="34">
        <f t="shared" si="86"/>
        <v>1.4431472923672392E-3</v>
      </c>
      <c r="CN15" s="34">
        <f t="shared" si="87"/>
        <v>9.2367000419461725E-5</v>
      </c>
      <c r="CO15" s="34">
        <f t="shared" si="88"/>
        <v>2.5864563794118259E-5</v>
      </c>
      <c r="CP15" s="34">
        <f t="shared" si="89"/>
        <v>9.533623536971868E-5</v>
      </c>
      <c r="CQ15" s="34">
        <f t="shared" si="90"/>
        <v>1.5456067070985163E-4</v>
      </c>
      <c r="CR15" s="34">
        <f t="shared" si="91"/>
        <v>7.6355683654589761E-3</v>
      </c>
      <c r="CS15" s="34">
        <f t="shared" si="92"/>
        <v>1.0055001684002642E-2</v>
      </c>
      <c r="CT15" s="34">
        <f t="shared" si="93"/>
        <v>0</v>
      </c>
      <c r="CU15" s="34">
        <f t="shared" si="94"/>
        <v>1.3034399385486886E-9</v>
      </c>
      <c r="CV15" s="34">
        <f t="shared" si="95"/>
        <v>6.5675462340831849E-5</v>
      </c>
      <c r="CW15" s="34">
        <f t="shared" si="96"/>
        <v>3.4762384631125727E-5</v>
      </c>
      <c r="CX15" s="34">
        <f t="shared" si="97"/>
        <v>5.5068958614429698E-4</v>
      </c>
      <c r="CY15" s="34">
        <f t="shared" si="98"/>
        <v>2.2253601684434104E-4</v>
      </c>
      <c r="CZ15" s="34">
        <f t="shared" si="99"/>
        <v>1.8824701227335253E-5</v>
      </c>
      <c r="DA15" s="34">
        <f t="shared" si="100"/>
        <v>1.0322535218584432E-4</v>
      </c>
      <c r="DB15" s="34">
        <f t="shared" si="101"/>
        <v>1.737644618685742E-3</v>
      </c>
      <c r="DC15" s="34">
        <f t="shared" si="102"/>
        <v>1.0594400536347592E-3</v>
      </c>
      <c r="DD15" s="34">
        <f t="shared" si="103"/>
        <v>0</v>
      </c>
      <c r="DE15" s="34">
        <f t="shared" si="104"/>
        <v>1.1719166330916458E-9</v>
      </c>
      <c r="DF15" s="34">
        <f t="shared" si="105"/>
        <v>0</v>
      </c>
      <c r="DG15" s="34">
        <f t="shared" si="106"/>
        <v>1.3949632704555693E-9</v>
      </c>
      <c r="DH15" s="34">
        <f t="shared" si="107"/>
        <v>0</v>
      </c>
      <c r="DI15" s="34">
        <f t="shared" si="108"/>
        <v>1.8520901658778468E-9</v>
      </c>
      <c r="DJ15" s="34">
        <f t="shared" si="109"/>
        <v>0</v>
      </c>
      <c r="DK15" s="34">
        <f t="shared" si="110"/>
        <v>1.2694304474773007E-9</v>
      </c>
      <c r="DL15" s="34">
        <f t="shared" si="111"/>
        <v>0</v>
      </c>
      <c r="DM15" s="34">
        <f t="shared" si="112"/>
        <v>1.3385260156609021E-9</v>
      </c>
      <c r="DN15" s="34">
        <f t="shared" si="113"/>
        <v>0</v>
      </c>
      <c r="DO15" s="34">
        <f t="shared" si="114"/>
        <v>2.0701182823960875E-9</v>
      </c>
      <c r="DP15" s="34">
        <f t="shared" si="115"/>
        <v>0</v>
      </c>
      <c r="DQ15" s="34">
        <f t="shared" si="116"/>
        <v>1.5453381004569517E-9</v>
      </c>
      <c r="DR15" s="34">
        <f t="shared" si="117"/>
        <v>4.2874630252711203E-3</v>
      </c>
      <c r="DS15" s="34">
        <f t="shared" si="118"/>
        <v>5.8409522924182285E-3</v>
      </c>
      <c r="DT15" s="34">
        <f t="shared" si="119"/>
        <v>4.8591572375823906E-3</v>
      </c>
      <c r="DU15" s="34">
        <f t="shared" si="120"/>
        <v>6.8516882277547611E-3</v>
      </c>
      <c r="DV15" s="34">
        <f t="shared" si="121"/>
        <v>6.5413601572661753E-3</v>
      </c>
      <c r="DW15" s="34">
        <f t="shared" si="122"/>
        <v>9.7643771636810976E-3</v>
      </c>
      <c r="DX15" s="34">
        <f t="shared" si="123"/>
        <v>4.9065200080721126E-3</v>
      </c>
      <c r="DY15" s="34">
        <f t="shared" si="124"/>
        <v>5.8503339037336202E-3</v>
      </c>
      <c r="DZ15" s="34">
        <f t="shared" si="125"/>
        <v>5.0413670103333121E-3</v>
      </c>
      <c r="EA15" s="34">
        <f t="shared" si="126"/>
        <v>7.2787604863799611E-3</v>
      </c>
      <c r="EB15" s="34">
        <f t="shared" si="127"/>
        <v>3.0222222457573964E-3</v>
      </c>
      <c r="EC15" s="34">
        <f t="shared" si="128"/>
        <v>3.1547624347814393E-3</v>
      </c>
      <c r="ED15" s="34">
        <f t="shared" si="129"/>
        <v>3.0464523357582396E-3</v>
      </c>
      <c r="EE15" s="34">
        <f t="shared" si="130"/>
        <v>6.1918096380627332E-3</v>
      </c>
      <c r="EF15" s="34">
        <f t="shared" si="131"/>
        <v>5.1074698070985801E-4</v>
      </c>
      <c r="EG15" s="34">
        <f t="shared" si="132"/>
        <v>2.1691740400210232E-4</v>
      </c>
      <c r="EH15" s="34">
        <f t="shared" si="133"/>
        <v>5.3382620986003315E-4</v>
      </c>
      <c r="EI15" s="34">
        <f t="shared" si="134"/>
        <v>2.7606009261912364E-4</v>
      </c>
      <c r="EJ15" s="34">
        <f t="shared" si="135"/>
        <v>2.2251383128629506E-3</v>
      </c>
      <c r="EK15" s="34">
        <f t="shared" si="136"/>
        <v>1.9300496878613958E-3</v>
      </c>
      <c r="EL15" s="34">
        <f t="shared" si="137"/>
        <v>3.1577782044380686E-4</v>
      </c>
      <c r="EM15" s="34">
        <f t="shared" si="138"/>
        <v>2.0508306337818871E-4</v>
      </c>
      <c r="EN15" s="34">
        <f t="shared" si="139"/>
        <v>8.9153510667323919E-4</v>
      </c>
      <c r="EO15" s="34">
        <f t="shared" si="140"/>
        <v>4.3303086403995774E-4</v>
      </c>
      <c r="EP15" s="34">
        <f t="shared" si="141"/>
        <v>1.0224347179055441E-3</v>
      </c>
      <c r="EQ15" s="34">
        <f t="shared" si="142"/>
        <v>8.3977711929082764E-4</v>
      </c>
      <c r="ER15" s="34">
        <f t="shared" si="143"/>
        <v>2.6169334108454631E-4</v>
      </c>
      <c r="ES15" s="34">
        <f t="shared" si="144"/>
        <v>2.8160081496461805E-4</v>
      </c>
      <c r="ET15" s="34">
        <f t="shared" si="145"/>
        <v>4.6641809800144834E-4</v>
      </c>
      <c r="EU15" s="34">
        <f t="shared" si="146"/>
        <v>3.2351052339490641E-4</v>
      </c>
      <c r="EV15" s="34">
        <f t="shared" si="147"/>
        <v>5.1234672178967317E-4</v>
      </c>
      <c r="EW15" s="34">
        <f t="shared" si="148"/>
        <v>4.3432831834028837E-4</v>
      </c>
      <c r="EX15" s="34">
        <f t="shared" si="149"/>
        <v>1.811648917540476E-3</v>
      </c>
      <c r="EY15" s="34">
        <f t="shared" si="150"/>
        <v>2.5533613671889395E-3</v>
      </c>
      <c r="EZ15" s="34">
        <f t="shared" si="151"/>
        <v>3.1599230483247509E-4</v>
      </c>
      <c r="FA15" s="34">
        <f t="shared" si="152"/>
        <v>3.5959698692812489E-4</v>
      </c>
      <c r="FB15" s="34">
        <f t="shared" si="153"/>
        <v>7.7543641325002188E-4</v>
      </c>
      <c r="FC15" s="34">
        <f t="shared" si="154"/>
        <v>5.946249978992027E-4</v>
      </c>
      <c r="FD15" s="34">
        <f t="shared" si="155"/>
        <v>9.0059054261865828E-4</v>
      </c>
      <c r="FE15" s="34">
        <f t="shared" si="156"/>
        <v>1.2731551831515274E-3</v>
      </c>
      <c r="FF15" s="34">
        <f t="shared" si="157"/>
        <v>3.3128520493937077E-4</v>
      </c>
      <c r="FG15" s="34">
        <f t="shared" si="158"/>
        <v>4.9349316643254658E-4</v>
      </c>
      <c r="FH15" s="34">
        <f t="shared" si="159"/>
        <v>-5.1339935815317324E-4</v>
      </c>
      <c r="FI15" s="34">
        <f t="shared" si="160"/>
        <v>1.6048760247613448E-4</v>
      </c>
      <c r="FJ15" s="34">
        <f t="shared" si="161"/>
        <v>-5.4519681559387148E-4</v>
      </c>
      <c r="FK15" s="34">
        <f t="shared" si="162"/>
        <v>2.08968583780598E-4</v>
      </c>
      <c r="FL15" s="34">
        <f t="shared" si="163"/>
        <v>-2.0051021978100361E-3</v>
      </c>
      <c r="FM15" s="34">
        <f t="shared" si="164"/>
        <v>1.3994111193906789E-3</v>
      </c>
      <c r="FN15" s="34">
        <f t="shared" si="165"/>
        <v>-3.5289420403950309E-4</v>
      </c>
      <c r="FO15" s="34">
        <f t="shared" si="166"/>
        <v>1.6382083789546323E-4</v>
      </c>
      <c r="FP15" s="34">
        <f t="shared" si="167"/>
        <v>-8.4672248141278198E-4</v>
      </c>
      <c r="FQ15" s="34">
        <f t="shared" si="168"/>
        <v>3.1781321731549591E-4</v>
      </c>
      <c r="FR15" s="34">
        <f t="shared" si="169"/>
        <v>-9.0886786673178774E-4</v>
      </c>
      <c r="FS15" s="34">
        <f t="shared" si="170"/>
        <v>6.0043494475530454E-4</v>
      </c>
      <c r="FT15" s="34">
        <f t="shared" si="171"/>
        <v>-3.0034993088273406E-4</v>
      </c>
      <c r="FU15" s="34">
        <f t="shared" si="172"/>
        <v>2.2959374717011714E-4</v>
      </c>
    </row>
    <row r="16" spans="1:177" x14ac:dyDescent="0.2">
      <c r="A16" s="36" t="s">
        <v>159</v>
      </c>
      <c r="B16" s="11">
        <v>0.9</v>
      </c>
      <c r="C16" s="51">
        <f>1-B16</f>
        <v>9.9999999999999978E-2</v>
      </c>
      <c r="D16"/>
      <c r="I16" s="22" t="s">
        <v>115</v>
      </c>
      <c r="J16" s="83">
        <f>SUMPRODUCT(B4:B10,G4:G10)</f>
        <v>1.0861749084292938</v>
      </c>
      <c r="Y16" s="9"/>
      <c r="BZ16" s="34">
        <f t="shared" si="74"/>
        <v>0</v>
      </c>
      <c r="CA16" s="34">
        <f t="shared" si="75"/>
        <v>2.7130242550932975E-9</v>
      </c>
      <c r="CB16" s="34">
        <f t="shared" si="76"/>
        <v>-1.162983007693544E-3</v>
      </c>
      <c r="CC16" s="34">
        <f t="shared" si="77"/>
        <v>1.3559825617664994E-3</v>
      </c>
      <c r="CD16" s="34">
        <f t="shared" si="78"/>
        <v>5.7524170549598173E-5</v>
      </c>
      <c r="CE16" s="34">
        <f t="shared" si="173"/>
        <v>2.4332702567839875E-4</v>
      </c>
      <c r="CF16" s="34">
        <f t="shared" si="79"/>
        <v>2.797133471361066E-4</v>
      </c>
      <c r="CG16" s="34">
        <f t="shared" si="80"/>
        <v>1.2825730699355702E-4</v>
      </c>
      <c r="CH16" s="34">
        <f t="shared" si="81"/>
        <v>-8.6570887682825247E-3</v>
      </c>
      <c r="CI16" s="34">
        <f t="shared" si="82"/>
        <v>1.1732325369960349E-2</v>
      </c>
      <c r="CJ16" s="34">
        <f t="shared" si="83"/>
        <v>0</v>
      </c>
      <c r="CK16" s="34">
        <f t="shared" si="84"/>
        <v>1.8581517829188446E-9</v>
      </c>
      <c r="CL16" s="34">
        <f t="shared" si="85"/>
        <v>8.5302431379500189E-4</v>
      </c>
      <c r="CM16" s="34">
        <f t="shared" si="86"/>
        <v>1.4417041450748721E-3</v>
      </c>
      <c r="CN16" s="34">
        <f t="shared" si="87"/>
        <v>8.3130300377515557E-5</v>
      </c>
      <c r="CO16" s="34">
        <f t="shared" si="88"/>
        <v>2.583869923032414E-5</v>
      </c>
      <c r="CP16" s="34">
        <f t="shared" si="89"/>
        <v>8.5802611832746809E-5</v>
      </c>
      <c r="CQ16" s="34">
        <f t="shared" si="90"/>
        <v>1.5440611003914178E-4</v>
      </c>
      <c r="CR16" s="34">
        <f t="shared" si="91"/>
        <v>6.8720115289130791E-3</v>
      </c>
      <c r="CS16" s="34">
        <f t="shared" si="92"/>
        <v>1.004494668231864E-2</v>
      </c>
      <c r="CT16" s="34">
        <f t="shared" si="93"/>
        <v>0</v>
      </c>
      <c r="CU16" s="34">
        <f t="shared" si="94"/>
        <v>1.3021364986101398E-9</v>
      </c>
      <c r="CV16" s="34">
        <f t="shared" si="95"/>
        <v>5.9107916106748663E-5</v>
      </c>
      <c r="CW16" s="34">
        <f t="shared" si="96"/>
        <v>3.47276222464946E-5</v>
      </c>
      <c r="CX16" s="34">
        <f t="shared" si="97"/>
        <v>4.9562062752986726E-4</v>
      </c>
      <c r="CY16" s="34">
        <f t="shared" si="98"/>
        <v>2.2231348082749669E-4</v>
      </c>
      <c r="CZ16" s="34">
        <f t="shared" si="99"/>
        <v>1.6942231104601728E-5</v>
      </c>
      <c r="DA16" s="34">
        <f t="shared" si="100"/>
        <v>1.0312212683365848E-4</v>
      </c>
      <c r="DB16" s="34">
        <f t="shared" si="101"/>
        <v>1.5638801568171679E-3</v>
      </c>
      <c r="DC16" s="34">
        <f t="shared" si="102"/>
        <v>1.0583806135811245E-3</v>
      </c>
      <c r="DD16" s="34">
        <f t="shared" si="103"/>
        <v>0</v>
      </c>
      <c r="DE16" s="34">
        <f t="shared" si="104"/>
        <v>1.1707447164585542E-9</v>
      </c>
      <c r="DF16" s="34">
        <f t="shared" si="105"/>
        <v>0</v>
      </c>
      <c r="DG16" s="34">
        <f t="shared" si="106"/>
        <v>1.3935683071851138E-9</v>
      </c>
      <c r="DH16" s="34">
        <f t="shared" si="107"/>
        <v>0</v>
      </c>
      <c r="DI16" s="34">
        <f t="shared" si="108"/>
        <v>1.8502380757119691E-9</v>
      </c>
      <c r="DJ16" s="34">
        <f t="shared" si="109"/>
        <v>0</v>
      </c>
      <c r="DK16" s="34">
        <f t="shared" si="110"/>
        <v>1.2681610170298234E-9</v>
      </c>
      <c r="DL16" s="34">
        <f t="shared" si="111"/>
        <v>0</v>
      </c>
      <c r="DM16" s="34">
        <f t="shared" si="112"/>
        <v>1.3371874896452413E-9</v>
      </c>
      <c r="DN16" s="34">
        <f t="shared" si="113"/>
        <v>0</v>
      </c>
      <c r="DO16" s="34">
        <f t="shared" si="114"/>
        <v>2.0680481641136914E-9</v>
      </c>
      <c r="DP16" s="34">
        <f t="shared" si="115"/>
        <v>0</v>
      </c>
      <c r="DQ16" s="34">
        <f t="shared" si="116"/>
        <v>1.5437927623564947E-9</v>
      </c>
      <c r="DR16" s="34">
        <f t="shared" si="117"/>
        <v>3.8587167227440082E-3</v>
      </c>
      <c r="DS16" s="34">
        <f t="shared" si="118"/>
        <v>5.8351113401258099E-3</v>
      </c>
      <c r="DT16" s="34">
        <f t="shared" si="119"/>
        <v>4.3732415138241516E-3</v>
      </c>
      <c r="DU16" s="34">
        <f t="shared" si="120"/>
        <v>6.8448365395270064E-3</v>
      </c>
      <c r="DV16" s="34">
        <f t="shared" si="121"/>
        <v>5.8872241415395578E-3</v>
      </c>
      <c r="DW16" s="34">
        <f t="shared" si="122"/>
        <v>9.7546127865174165E-3</v>
      </c>
      <c r="DX16" s="34">
        <f t="shared" si="123"/>
        <v>4.4158680072649012E-3</v>
      </c>
      <c r="DY16" s="34">
        <f t="shared" si="124"/>
        <v>5.8444835698298865E-3</v>
      </c>
      <c r="DZ16" s="34">
        <f t="shared" si="125"/>
        <v>4.5372303092999812E-3</v>
      </c>
      <c r="EA16" s="34">
        <f t="shared" si="126"/>
        <v>7.2714817258935811E-3</v>
      </c>
      <c r="EB16" s="34">
        <f t="shared" si="127"/>
        <v>2.7200000211816569E-3</v>
      </c>
      <c r="EC16" s="34">
        <f t="shared" si="128"/>
        <v>3.1516076723466578E-3</v>
      </c>
      <c r="ED16" s="34">
        <f t="shared" si="129"/>
        <v>2.7418071021824159E-3</v>
      </c>
      <c r="EE16" s="34">
        <f t="shared" si="130"/>
        <v>6.1856178284246709E-3</v>
      </c>
      <c r="EF16" s="34">
        <f t="shared" si="131"/>
        <v>4.5967228263887221E-4</v>
      </c>
      <c r="EG16" s="34">
        <f t="shared" si="132"/>
        <v>2.1670048659810023E-4</v>
      </c>
      <c r="EH16" s="34">
        <f t="shared" si="133"/>
        <v>4.8044358887402983E-4</v>
      </c>
      <c r="EI16" s="34">
        <f t="shared" si="134"/>
        <v>2.7578403252650449E-4</v>
      </c>
      <c r="EJ16" s="34">
        <f t="shared" si="135"/>
        <v>2.0026244815766554E-3</v>
      </c>
      <c r="EK16" s="34">
        <f t="shared" si="136"/>
        <v>1.9281196381735343E-3</v>
      </c>
      <c r="EL16" s="34">
        <f t="shared" si="137"/>
        <v>2.8420003839942619E-4</v>
      </c>
      <c r="EM16" s="34">
        <f t="shared" si="138"/>
        <v>2.0487798031481051E-4</v>
      </c>
      <c r="EN16" s="34">
        <f t="shared" si="139"/>
        <v>8.0238159600591532E-4</v>
      </c>
      <c r="EO16" s="34">
        <f t="shared" si="140"/>
        <v>4.325978331759178E-4</v>
      </c>
      <c r="EP16" s="34">
        <f t="shared" si="141"/>
        <v>9.2019124611498972E-4</v>
      </c>
      <c r="EQ16" s="34">
        <f t="shared" si="142"/>
        <v>8.3893734217153687E-4</v>
      </c>
      <c r="ER16" s="34">
        <f t="shared" si="143"/>
        <v>2.3552400697609169E-4</v>
      </c>
      <c r="ES16" s="34">
        <f t="shared" si="144"/>
        <v>2.8131921414965345E-4</v>
      </c>
      <c r="ET16" s="34">
        <f t="shared" si="145"/>
        <v>4.1977628820130349E-4</v>
      </c>
      <c r="EU16" s="34">
        <f t="shared" si="146"/>
        <v>3.2318701287151148E-4</v>
      </c>
      <c r="EV16" s="34">
        <f t="shared" si="147"/>
        <v>4.6111204961070586E-4</v>
      </c>
      <c r="EW16" s="34">
        <f t="shared" si="148"/>
        <v>4.3389399002194808E-4</v>
      </c>
      <c r="EX16" s="34">
        <f t="shared" si="149"/>
        <v>1.6304840257864285E-3</v>
      </c>
      <c r="EY16" s="34">
        <f t="shared" si="150"/>
        <v>2.5508080058217505E-3</v>
      </c>
      <c r="EZ16" s="34">
        <f t="shared" si="151"/>
        <v>2.8439307434922759E-4</v>
      </c>
      <c r="FA16" s="34">
        <f t="shared" si="152"/>
        <v>3.5923738994119678E-4</v>
      </c>
      <c r="FB16" s="34">
        <f t="shared" si="153"/>
        <v>6.9789277192501976E-4</v>
      </c>
      <c r="FC16" s="34">
        <f t="shared" si="154"/>
        <v>5.9403037290130353E-4</v>
      </c>
      <c r="FD16" s="34">
        <f t="shared" si="155"/>
        <v>8.1053148835679247E-4</v>
      </c>
      <c r="FE16" s="34">
        <f t="shared" si="156"/>
        <v>1.2718820279683759E-3</v>
      </c>
      <c r="FF16" s="34">
        <f t="shared" si="157"/>
        <v>2.981566844454337E-4</v>
      </c>
      <c r="FG16" s="34">
        <f t="shared" si="158"/>
        <v>4.9299967326611402E-4</v>
      </c>
      <c r="FH16" s="34">
        <f t="shared" si="159"/>
        <v>-4.6205942233785595E-4</v>
      </c>
      <c r="FI16" s="34">
        <f t="shared" si="160"/>
        <v>1.6032711487365834E-4</v>
      </c>
      <c r="FJ16" s="34">
        <f t="shared" si="161"/>
        <v>-4.9067713403448438E-4</v>
      </c>
      <c r="FK16" s="34">
        <f t="shared" si="162"/>
        <v>2.0875961519681741E-4</v>
      </c>
      <c r="FL16" s="34">
        <f t="shared" si="163"/>
        <v>-1.8045919780290325E-3</v>
      </c>
      <c r="FM16" s="34">
        <f t="shared" si="164"/>
        <v>1.3980117082712882E-3</v>
      </c>
      <c r="FN16" s="34">
        <f t="shared" si="165"/>
        <v>-3.176047836355528E-4</v>
      </c>
      <c r="FO16" s="34">
        <f t="shared" si="166"/>
        <v>1.6365701705756776E-4</v>
      </c>
      <c r="FP16" s="34">
        <f t="shared" si="167"/>
        <v>-7.6205023327150379E-4</v>
      </c>
      <c r="FQ16" s="34">
        <f t="shared" si="168"/>
        <v>3.1749540409818042E-4</v>
      </c>
      <c r="FR16" s="34">
        <f t="shared" si="169"/>
        <v>-8.1798108005860901E-4</v>
      </c>
      <c r="FS16" s="34">
        <f t="shared" si="170"/>
        <v>5.9983450981054918E-4</v>
      </c>
      <c r="FT16" s="34">
        <f t="shared" si="171"/>
        <v>-2.7031493779446065E-4</v>
      </c>
      <c r="FU16" s="34">
        <f t="shared" si="172"/>
        <v>2.2936415342294703E-4</v>
      </c>
    </row>
    <row r="17" spans="1:177" x14ac:dyDescent="0.2">
      <c r="A17" s="36" t="s">
        <v>160</v>
      </c>
      <c r="B17" s="11">
        <v>0.999</v>
      </c>
      <c r="C17" s="51">
        <f>1-B17</f>
        <v>1.0000000000000009E-3</v>
      </c>
      <c r="D17"/>
      <c r="J17" s="85"/>
      <c r="Y17" s="9"/>
      <c r="BZ17" s="34">
        <f t="shared" si="74"/>
        <v>0</v>
      </c>
      <c r="CA17" s="34">
        <f t="shared" si="75"/>
        <v>2.7103112308382043E-9</v>
      </c>
      <c r="CB17" s="34">
        <f t="shared" si="76"/>
        <v>-1.0466847069241895E-3</v>
      </c>
      <c r="CC17" s="34">
        <f t="shared" si="77"/>
        <v>1.3546265792047328E-3</v>
      </c>
      <c r="CD17" s="34">
        <f t="shared" si="78"/>
        <v>5.1771753494638357E-5</v>
      </c>
      <c r="CE17" s="34">
        <f t="shared" si="173"/>
        <v>2.4308369865272034E-4</v>
      </c>
      <c r="CF17" s="34">
        <f t="shared" si="79"/>
        <v>2.5174201242249592E-4</v>
      </c>
      <c r="CG17" s="34">
        <f t="shared" si="80"/>
        <v>1.2812904968656345E-4</v>
      </c>
      <c r="CH17" s="34">
        <f t="shared" si="81"/>
        <v>-7.7913798914542726E-3</v>
      </c>
      <c r="CI17" s="34">
        <f t="shared" si="82"/>
        <v>1.1720593044590388E-2</v>
      </c>
      <c r="CJ17" s="34">
        <f t="shared" si="83"/>
        <v>0</v>
      </c>
      <c r="CK17" s="34">
        <f t="shared" si="84"/>
        <v>1.8562936311359258E-9</v>
      </c>
      <c r="CL17" s="34">
        <f t="shared" si="85"/>
        <v>7.6772188241550174E-4</v>
      </c>
      <c r="CM17" s="34">
        <f t="shared" si="86"/>
        <v>1.4402624409297971E-3</v>
      </c>
      <c r="CN17" s="34">
        <f t="shared" si="87"/>
        <v>7.4817270339764001E-5</v>
      </c>
      <c r="CO17" s="34">
        <f t="shared" si="88"/>
        <v>2.5812860531093814E-5</v>
      </c>
      <c r="CP17" s="34">
        <f t="shared" si="89"/>
        <v>7.7222350649472132E-5</v>
      </c>
      <c r="CQ17" s="34">
        <f t="shared" si="90"/>
        <v>1.5425170392910264E-4</v>
      </c>
      <c r="CR17" s="34">
        <f t="shared" si="91"/>
        <v>6.1848103760217717E-3</v>
      </c>
      <c r="CS17" s="34">
        <f t="shared" si="92"/>
        <v>1.0034901735636322E-2</v>
      </c>
      <c r="CT17" s="34">
        <f t="shared" si="93"/>
        <v>0</v>
      </c>
      <c r="CU17" s="34">
        <f t="shared" si="94"/>
        <v>1.3008343621115296E-9</v>
      </c>
      <c r="CV17" s="34">
        <f t="shared" si="95"/>
        <v>5.3197124496073795E-5</v>
      </c>
      <c r="CW17" s="34">
        <f t="shared" si="96"/>
        <v>3.4692894624248108E-5</v>
      </c>
      <c r="CX17" s="34">
        <f t="shared" si="97"/>
        <v>4.4605856477688053E-4</v>
      </c>
      <c r="CY17" s="34">
        <f t="shared" si="98"/>
        <v>2.2209116734666918E-4</v>
      </c>
      <c r="CZ17" s="34">
        <f t="shared" si="99"/>
        <v>1.5248007994141557E-5</v>
      </c>
      <c r="DA17" s="34">
        <f t="shared" si="100"/>
        <v>1.0301900470682483E-4</v>
      </c>
      <c r="DB17" s="34">
        <f t="shared" si="101"/>
        <v>1.4074921411354512E-3</v>
      </c>
      <c r="DC17" s="34">
        <f t="shared" si="102"/>
        <v>1.0573222329675433E-3</v>
      </c>
      <c r="DD17" s="34">
        <f t="shared" si="103"/>
        <v>0</v>
      </c>
      <c r="DE17" s="34">
        <f t="shared" si="104"/>
        <v>1.1695739717420955E-9</v>
      </c>
      <c r="DF17" s="34">
        <f t="shared" si="105"/>
        <v>0</v>
      </c>
      <c r="DG17" s="34">
        <f t="shared" si="106"/>
        <v>1.3921747388779287E-9</v>
      </c>
      <c r="DH17" s="34">
        <f t="shared" si="107"/>
        <v>0</v>
      </c>
      <c r="DI17" s="34">
        <f t="shared" si="108"/>
        <v>1.8483878376362571E-9</v>
      </c>
      <c r="DJ17" s="34">
        <f t="shared" si="109"/>
        <v>0</v>
      </c>
      <c r="DK17" s="34">
        <f t="shared" si="110"/>
        <v>1.2668928560127937E-9</v>
      </c>
      <c r="DL17" s="34">
        <f t="shared" si="111"/>
        <v>0</v>
      </c>
      <c r="DM17" s="34">
        <f t="shared" si="112"/>
        <v>1.3358503021555961E-9</v>
      </c>
      <c r="DN17" s="34">
        <f t="shared" si="113"/>
        <v>0</v>
      </c>
      <c r="DO17" s="34">
        <f t="shared" si="114"/>
        <v>2.0659801159495778E-9</v>
      </c>
      <c r="DP17" s="34">
        <f t="shared" si="115"/>
        <v>0</v>
      </c>
      <c r="DQ17" s="34">
        <f t="shared" si="116"/>
        <v>1.5422489695941381E-9</v>
      </c>
      <c r="DR17" s="34">
        <f t="shared" si="117"/>
        <v>3.4728450504696072E-3</v>
      </c>
      <c r="DS17" s="34">
        <f t="shared" si="118"/>
        <v>5.8292762287856844E-3</v>
      </c>
      <c r="DT17" s="34">
        <f t="shared" si="119"/>
        <v>3.9359173624417369E-3</v>
      </c>
      <c r="DU17" s="34">
        <f t="shared" si="120"/>
        <v>6.8379917029874797E-3</v>
      </c>
      <c r="DV17" s="34">
        <f t="shared" si="121"/>
        <v>5.298501727385602E-3</v>
      </c>
      <c r="DW17" s="34">
        <f t="shared" si="122"/>
        <v>9.7448581737308998E-3</v>
      </c>
      <c r="DX17" s="34">
        <f t="shared" si="123"/>
        <v>3.974281206538411E-3</v>
      </c>
      <c r="DY17" s="34">
        <f t="shared" si="124"/>
        <v>5.8386390862600569E-3</v>
      </c>
      <c r="DZ17" s="34">
        <f t="shared" si="125"/>
        <v>4.0835072783699834E-3</v>
      </c>
      <c r="EA17" s="34">
        <f t="shared" si="126"/>
        <v>7.2642102441676879E-3</v>
      </c>
      <c r="EB17" s="34">
        <f t="shared" si="127"/>
        <v>2.4480000190634913E-3</v>
      </c>
      <c r="EC17" s="34">
        <f t="shared" si="128"/>
        <v>3.148456064674311E-3</v>
      </c>
      <c r="ED17" s="34">
        <f t="shared" si="129"/>
        <v>2.4676263919641743E-3</v>
      </c>
      <c r="EE17" s="34">
        <f t="shared" si="130"/>
        <v>6.1794322105962465E-3</v>
      </c>
      <c r="EF17" s="34">
        <f t="shared" si="131"/>
        <v>4.1370505437498498E-4</v>
      </c>
      <c r="EG17" s="34">
        <f t="shared" si="132"/>
        <v>2.1648378611150213E-4</v>
      </c>
      <c r="EH17" s="34">
        <f t="shared" si="133"/>
        <v>4.3239922998662683E-4</v>
      </c>
      <c r="EI17" s="34">
        <f t="shared" si="134"/>
        <v>2.7550824849397799E-4</v>
      </c>
      <c r="EJ17" s="34">
        <f t="shared" si="135"/>
        <v>1.8023620334189899E-3</v>
      </c>
      <c r="EK17" s="34">
        <f t="shared" si="136"/>
        <v>1.9261915185353608E-3</v>
      </c>
      <c r="EL17" s="34">
        <f t="shared" si="137"/>
        <v>2.5578003455948358E-4</v>
      </c>
      <c r="EM17" s="34">
        <f t="shared" si="138"/>
        <v>2.0467310233449569E-4</v>
      </c>
      <c r="EN17" s="34">
        <f t="shared" si="139"/>
        <v>7.2214343640532384E-4</v>
      </c>
      <c r="EO17" s="34">
        <f t="shared" si="140"/>
        <v>4.3216523534274191E-4</v>
      </c>
      <c r="EP17" s="34">
        <f t="shared" si="141"/>
        <v>8.2817212150349071E-4</v>
      </c>
      <c r="EQ17" s="34">
        <f t="shared" si="142"/>
        <v>8.3809840482936535E-4</v>
      </c>
      <c r="ER17" s="34">
        <f t="shared" si="143"/>
        <v>2.1197160627848253E-4</v>
      </c>
      <c r="ES17" s="34">
        <f t="shared" si="144"/>
        <v>2.8103789493550378E-4</v>
      </c>
      <c r="ET17" s="34">
        <f t="shared" si="145"/>
        <v>3.7779865938117313E-4</v>
      </c>
      <c r="EU17" s="34">
        <f t="shared" si="146"/>
        <v>3.2286382585863999E-4</v>
      </c>
      <c r="EV17" s="34">
        <f t="shared" si="147"/>
        <v>4.1500084464963529E-4</v>
      </c>
      <c r="EW17" s="34">
        <f t="shared" si="148"/>
        <v>4.334600960319261E-4</v>
      </c>
      <c r="EX17" s="34">
        <f t="shared" si="149"/>
        <v>1.4674356232077857E-3</v>
      </c>
      <c r="EY17" s="34">
        <f t="shared" si="150"/>
        <v>2.548257197815929E-3</v>
      </c>
      <c r="EZ17" s="34">
        <f t="shared" si="151"/>
        <v>2.5595376691430486E-4</v>
      </c>
      <c r="FA17" s="34">
        <f t="shared" si="152"/>
        <v>3.5887815255125557E-4</v>
      </c>
      <c r="FB17" s="34">
        <f t="shared" si="153"/>
        <v>6.2810349473251784E-4</v>
      </c>
      <c r="FC17" s="34">
        <f t="shared" si="154"/>
        <v>5.9343634252840226E-4</v>
      </c>
      <c r="FD17" s="34">
        <f t="shared" si="155"/>
        <v>7.2947833952111325E-4</v>
      </c>
      <c r="FE17" s="34">
        <f t="shared" si="156"/>
        <v>1.2706101459404075E-3</v>
      </c>
      <c r="FF17" s="34">
        <f t="shared" si="157"/>
        <v>2.6834101600089035E-4</v>
      </c>
      <c r="FG17" s="34">
        <f t="shared" si="158"/>
        <v>4.9250667359284793E-4</v>
      </c>
      <c r="FH17" s="34">
        <f t="shared" si="159"/>
        <v>-4.1585348010407037E-4</v>
      </c>
      <c r="FI17" s="34">
        <f t="shared" si="160"/>
        <v>1.6016678775878469E-4</v>
      </c>
      <c r="FJ17" s="34">
        <f t="shared" si="161"/>
        <v>-4.4160942063103595E-4</v>
      </c>
      <c r="FK17" s="34">
        <f t="shared" si="162"/>
        <v>2.0855085558162058E-4</v>
      </c>
      <c r="FL17" s="34">
        <f t="shared" si="163"/>
        <v>-1.6241327802261293E-3</v>
      </c>
      <c r="FM17" s="34">
        <f t="shared" si="164"/>
        <v>1.396613696563017E-3</v>
      </c>
      <c r="FN17" s="34">
        <f t="shared" si="165"/>
        <v>-2.8584430527199751E-4</v>
      </c>
      <c r="FO17" s="34">
        <f t="shared" si="166"/>
        <v>1.634933600405102E-4</v>
      </c>
      <c r="FP17" s="34">
        <f t="shared" si="167"/>
        <v>-6.8584520994435338E-4</v>
      </c>
      <c r="FQ17" s="34">
        <f t="shared" si="168"/>
        <v>3.1717790869408225E-4</v>
      </c>
      <c r="FR17" s="34">
        <f t="shared" si="169"/>
        <v>-7.3618297205274813E-4</v>
      </c>
      <c r="FS17" s="34">
        <f t="shared" si="170"/>
        <v>5.9923467530073864E-4</v>
      </c>
      <c r="FT17" s="34">
        <f t="shared" si="171"/>
        <v>-2.432834440150146E-4</v>
      </c>
      <c r="FU17" s="34">
        <f t="shared" si="172"/>
        <v>2.2913478926952409E-4</v>
      </c>
    </row>
    <row r="18" spans="1:177" x14ac:dyDescent="0.2">
      <c r="A18" s="36" t="s">
        <v>166</v>
      </c>
      <c r="B18" s="67">
        <v>1E-8</v>
      </c>
      <c r="D18"/>
      <c r="J18" s="85"/>
      <c r="Y18" s="9"/>
      <c r="BZ18" s="34">
        <f t="shared" si="74"/>
        <v>0</v>
      </c>
      <c r="CA18" s="34">
        <f t="shared" si="75"/>
        <v>2.7076009196073659E-9</v>
      </c>
      <c r="CB18" s="34">
        <f>$B$16*CB17+$C$16*AA18</f>
        <v>-9.4201623623177064E-4</v>
      </c>
      <c r="CC18" s="34">
        <f t="shared" si="77"/>
        <v>1.353271952625528E-3</v>
      </c>
      <c r="CD18" s="34">
        <f t="shared" si="78"/>
        <v>4.6594578145174524E-5</v>
      </c>
      <c r="CE18" s="34">
        <f t="shared" si="173"/>
        <v>2.4284061495406762E-4</v>
      </c>
      <c r="CF18" s="34">
        <f t="shared" si="79"/>
        <v>2.2656781118024635E-4</v>
      </c>
      <c r="CG18" s="34">
        <f t="shared" si="80"/>
        <v>1.2800092063687689E-4</v>
      </c>
      <c r="CH18" s="34">
        <f t="shared" si="81"/>
        <v>-7.0122419023088455E-3</v>
      </c>
      <c r="CI18" s="34">
        <f t="shared" si="82"/>
        <v>1.1708872451545798E-2</v>
      </c>
      <c r="CJ18" s="34">
        <f t="shared" si="83"/>
        <v>0</v>
      </c>
      <c r="CK18" s="34">
        <f t="shared" si="84"/>
        <v>1.8544373375047898E-9</v>
      </c>
      <c r="CL18" s="34">
        <f t="shared" si="85"/>
        <v>6.9094969417395156E-4</v>
      </c>
      <c r="CM18" s="34">
        <f t="shared" si="86"/>
        <v>1.4388221784888673E-3</v>
      </c>
      <c r="CN18" s="34">
        <f t="shared" si="87"/>
        <v>6.7335543305787598E-5</v>
      </c>
      <c r="CO18" s="34">
        <f t="shared" si="88"/>
        <v>2.5787047670562721E-5</v>
      </c>
      <c r="CP18" s="34">
        <f t="shared" si="89"/>
        <v>6.9500115584524924E-5</v>
      </c>
      <c r="CQ18" s="34">
        <f t="shared" si="90"/>
        <v>1.5409745222517353E-4</v>
      </c>
      <c r="CR18" s="34">
        <f t="shared" si="91"/>
        <v>5.5663293384195945E-3</v>
      </c>
      <c r="CS18" s="34">
        <f t="shared" si="92"/>
        <v>1.0024866833900685E-2</v>
      </c>
      <c r="CT18" s="34">
        <f t="shared" si="93"/>
        <v>0</v>
      </c>
      <c r="CU18" s="34">
        <f t="shared" si="94"/>
        <v>1.2995335277494181E-9</v>
      </c>
      <c r="CV18" s="34">
        <f t="shared" si="95"/>
        <v>4.7877412046466414E-5</v>
      </c>
      <c r="CW18" s="34">
        <f t="shared" si="96"/>
        <v>3.4658201729623863E-5</v>
      </c>
      <c r="CX18" s="34">
        <f t="shared" si="97"/>
        <v>4.0145270829919247E-4</v>
      </c>
      <c r="CY18" s="34">
        <f t="shared" si="98"/>
        <v>2.2186907617932251E-4</v>
      </c>
      <c r="CZ18" s="34">
        <f t="shared" si="99"/>
        <v>1.3723207194727401E-5</v>
      </c>
      <c r="DA18" s="34">
        <f t="shared" si="100"/>
        <v>1.02915985702118E-4</v>
      </c>
      <c r="DB18" s="34">
        <f t="shared" si="101"/>
        <v>1.266742927021906E-3</v>
      </c>
      <c r="DC18" s="34">
        <f t="shared" si="102"/>
        <v>1.0562649107345758E-3</v>
      </c>
      <c r="DD18" s="34">
        <f t="shared" si="103"/>
        <v>0</v>
      </c>
      <c r="DE18" s="34">
        <f t="shared" si="104"/>
        <v>1.1684043977703535E-9</v>
      </c>
      <c r="DF18" s="34">
        <f t="shared" si="105"/>
        <v>0</v>
      </c>
      <c r="DG18" s="34">
        <f t="shared" si="106"/>
        <v>1.3907825641390508E-9</v>
      </c>
      <c r="DH18" s="34">
        <f t="shared" si="107"/>
        <v>0</v>
      </c>
      <c r="DI18" s="34">
        <f t="shared" si="108"/>
        <v>1.8465394497986208E-9</v>
      </c>
      <c r="DJ18" s="34">
        <f t="shared" si="109"/>
        <v>0</v>
      </c>
      <c r="DK18" s="34">
        <f t="shared" si="110"/>
        <v>1.2656259631567808E-9</v>
      </c>
      <c r="DL18" s="34">
        <f t="shared" si="111"/>
        <v>0</v>
      </c>
      <c r="DM18" s="34">
        <f t="shared" si="112"/>
        <v>1.3345144518534404E-9</v>
      </c>
      <c r="DN18" s="34">
        <f t="shared" si="113"/>
        <v>0</v>
      </c>
      <c r="DO18" s="34">
        <f t="shared" si="114"/>
        <v>2.0639141358336281E-9</v>
      </c>
      <c r="DP18" s="34">
        <f t="shared" si="115"/>
        <v>0</v>
      </c>
      <c r="DQ18" s="34">
        <f t="shared" si="116"/>
        <v>1.5407067206245439E-9</v>
      </c>
      <c r="DR18" s="34">
        <f t="shared" si="117"/>
        <v>3.1255605454226466E-3</v>
      </c>
      <c r="DS18" s="34">
        <f t="shared" si="118"/>
        <v>5.8234469525568983E-3</v>
      </c>
      <c r="DT18" s="34">
        <f t="shared" si="119"/>
        <v>3.5423256261975632E-3</v>
      </c>
      <c r="DU18" s="34">
        <f t="shared" si="120"/>
        <v>6.8311537112844926E-3</v>
      </c>
      <c r="DV18" s="34">
        <f t="shared" si="121"/>
        <v>4.7686515546470423E-3</v>
      </c>
      <c r="DW18" s="34">
        <f t="shared" si="122"/>
        <v>9.735113315557169E-3</v>
      </c>
      <c r="DX18" s="34">
        <f t="shared" si="123"/>
        <v>3.5768530858845699E-3</v>
      </c>
      <c r="DY18" s="34">
        <f t="shared" si="124"/>
        <v>5.8328004471737971E-3</v>
      </c>
      <c r="DZ18" s="34">
        <f t="shared" si="125"/>
        <v>3.6751565505329853E-3</v>
      </c>
      <c r="EA18" s="34">
        <f t="shared" si="126"/>
        <v>7.2569460339235205E-3</v>
      </c>
      <c r="EB18" s="34">
        <f t="shared" si="127"/>
        <v>2.2032000171571422E-3</v>
      </c>
      <c r="EC18" s="34">
        <f t="shared" si="128"/>
        <v>3.1453076086096366E-3</v>
      </c>
      <c r="ED18" s="34">
        <f t="shared" si="129"/>
        <v>2.220863752767757E-3</v>
      </c>
      <c r="EE18" s="34">
        <f t="shared" si="130"/>
        <v>6.1732527783856499E-3</v>
      </c>
      <c r="EF18" s="34">
        <f t="shared" si="131"/>
        <v>3.7233454893748649E-4</v>
      </c>
      <c r="EG18" s="34">
        <f t="shared" si="132"/>
        <v>2.1626730232539063E-4</v>
      </c>
      <c r="EH18" s="34">
        <f t="shared" si="133"/>
        <v>3.8915930698796416E-4</v>
      </c>
      <c r="EI18" s="34">
        <f t="shared" si="134"/>
        <v>2.7523274024548403E-4</v>
      </c>
      <c r="EJ18" s="34">
        <f t="shared" si="135"/>
        <v>1.6221258300770909E-3</v>
      </c>
      <c r="EK18" s="34">
        <f t="shared" si="136"/>
        <v>1.9242653270168254E-3</v>
      </c>
      <c r="EL18" s="34">
        <f t="shared" si="137"/>
        <v>2.3020203110353524E-4</v>
      </c>
      <c r="EM18" s="34">
        <f t="shared" si="138"/>
        <v>2.044684292321612E-4</v>
      </c>
      <c r="EN18" s="34">
        <f t="shared" si="139"/>
        <v>6.4992909276479144E-4</v>
      </c>
      <c r="EO18" s="34">
        <f t="shared" si="140"/>
        <v>4.3173307010739917E-4</v>
      </c>
      <c r="EP18" s="34">
        <f t="shared" si="141"/>
        <v>7.4535490935314166E-4</v>
      </c>
      <c r="EQ18" s="34">
        <f t="shared" si="142"/>
        <v>8.3726030642453596E-4</v>
      </c>
      <c r="ER18" s="34">
        <f t="shared" si="143"/>
        <v>1.9077444565063429E-4</v>
      </c>
      <c r="ES18" s="34">
        <f t="shared" si="144"/>
        <v>2.807568570405683E-4</v>
      </c>
      <c r="ET18" s="34">
        <f t="shared" si="145"/>
        <v>3.4001879344305581E-4</v>
      </c>
      <c r="EU18" s="34">
        <f t="shared" si="146"/>
        <v>3.2254096203278136E-4</v>
      </c>
      <c r="EV18" s="34">
        <f t="shared" si="147"/>
        <v>3.7350076018467175E-4</v>
      </c>
      <c r="EW18" s="34">
        <f t="shared" si="148"/>
        <v>4.3302663593589415E-4</v>
      </c>
      <c r="EX18" s="34">
        <f t="shared" si="149"/>
        <v>1.3206920608870073E-3</v>
      </c>
      <c r="EY18" s="34">
        <f t="shared" si="150"/>
        <v>2.5457089406181132E-3</v>
      </c>
      <c r="EZ18" s="34">
        <f t="shared" si="151"/>
        <v>2.3035839022287436E-4</v>
      </c>
      <c r="FA18" s="34">
        <f t="shared" si="152"/>
        <v>3.5851927439870429E-4</v>
      </c>
      <c r="FB18" s="34">
        <f t="shared" si="153"/>
        <v>5.6529314525926612E-4</v>
      </c>
      <c r="FC18" s="34">
        <f t="shared" si="154"/>
        <v>5.9284290618587384E-4</v>
      </c>
      <c r="FD18" s="34">
        <f t="shared" si="155"/>
        <v>6.5653050556900192E-4</v>
      </c>
      <c r="FE18" s="34">
        <f t="shared" si="156"/>
        <v>1.2693395357944671E-3</v>
      </c>
      <c r="FF18" s="34">
        <f t="shared" si="157"/>
        <v>2.4150691440080131E-4</v>
      </c>
      <c r="FG18" s="34">
        <f t="shared" si="158"/>
        <v>4.9201416691925504E-4</v>
      </c>
      <c r="FH18" s="34">
        <f t="shared" si="159"/>
        <v>-3.7426813209366335E-4</v>
      </c>
      <c r="FI18" s="34">
        <f t="shared" si="160"/>
        <v>1.600066209710259E-4</v>
      </c>
      <c r="FJ18" s="34">
        <f t="shared" si="161"/>
        <v>-3.9744847856793236E-4</v>
      </c>
      <c r="FK18" s="34">
        <f t="shared" si="162"/>
        <v>2.0834230472603895E-4</v>
      </c>
      <c r="FL18" s="34">
        <f t="shared" si="163"/>
        <v>-1.4617195022035164E-3</v>
      </c>
      <c r="FM18" s="34">
        <f t="shared" si="164"/>
        <v>1.395217082866454E-3</v>
      </c>
      <c r="FN18" s="34">
        <f t="shared" si="165"/>
        <v>-2.5725987474479778E-4</v>
      </c>
      <c r="FO18" s="34">
        <f t="shared" si="166"/>
        <v>1.6332986668046969E-4</v>
      </c>
      <c r="FP18" s="34">
        <f t="shared" si="167"/>
        <v>-6.1726068894991807E-4</v>
      </c>
      <c r="FQ18" s="34">
        <f t="shared" si="168"/>
        <v>3.1686073078538818E-4</v>
      </c>
      <c r="FR18" s="34">
        <f t="shared" si="169"/>
        <v>-6.6256467484747329E-4</v>
      </c>
      <c r="FS18" s="34">
        <f t="shared" si="170"/>
        <v>5.9863544062543786E-4</v>
      </c>
      <c r="FT18" s="34">
        <f t="shared" si="171"/>
        <v>-2.1895509961351314E-4</v>
      </c>
      <c r="FU18" s="34">
        <f t="shared" si="172"/>
        <v>2.2890565448025456E-4</v>
      </c>
    </row>
    <row r="19" spans="1:177" x14ac:dyDescent="0.2">
      <c r="A19" s="4"/>
      <c r="B19" s="38"/>
      <c r="D19"/>
      <c r="J19" s="85"/>
      <c r="Y19" s="9"/>
      <c r="BZ19" s="34">
        <f t="shared" si="74"/>
        <v>0</v>
      </c>
      <c r="CA19" s="34">
        <f t="shared" si="75"/>
        <v>2.7048933186877587E-9</v>
      </c>
      <c r="CB19" s="34">
        <f t="shared" si="76"/>
        <v>-8.4781461260859364E-4</v>
      </c>
      <c r="CC19" s="34">
        <f t="shared" si="77"/>
        <v>1.3519186806729025E-3</v>
      </c>
      <c r="CD19" s="34">
        <f t="shared" si="78"/>
        <v>4.1935120330657071E-5</v>
      </c>
      <c r="CE19" s="34">
        <f t="shared" si="173"/>
        <v>2.4259777433911355E-4</v>
      </c>
      <c r="CF19" s="34">
        <f t="shared" si="79"/>
        <v>2.0391103006222171E-4</v>
      </c>
      <c r="CG19" s="34">
        <f t="shared" si="80"/>
        <v>1.2787291971624003E-4</v>
      </c>
      <c r="CH19" s="34">
        <f t="shared" si="81"/>
        <v>-6.3110177120779612E-3</v>
      </c>
      <c r="CI19" s="34">
        <f t="shared" si="82"/>
        <v>1.1697163579094252E-2</v>
      </c>
      <c r="CJ19" s="34">
        <f t="shared" si="83"/>
        <v>0</v>
      </c>
      <c r="CK19" s="34">
        <f t="shared" si="84"/>
        <v>1.852582900167285E-9</v>
      </c>
      <c r="CL19" s="34">
        <f t="shared" si="85"/>
        <v>6.2185472475655645E-4</v>
      </c>
      <c r="CM19" s="34">
        <f t="shared" si="86"/>
        <v>1.4373833563103785E-3</v>
      </c>
      <c r="CN19" s="34">
        <f t="shared" si="87"/>
        <v>6.060198897520884E-5</v>
      </c>
      <c r="CO19" s="34">
        <f t="shared" si="88"/>
        <v>2.5761260622892157E-5</v>
      </c>
      <c r="CP19" s="34">
        <f t="shared" si="89"/>
        <v>6.255010402607244E-5</v>
      </c>
      <c r="CQ19" s="34">
        <f t="shared" si="90"/>
        <v>1.5394335477294835E-4</v>
      </c>
      <c r="CR19" s="34">
        <f t="shared" si="91"/>
        <v>5.0096964045776354E-3</v>
      </c>
      <c r="CS19" s="34">
        <f t="shared" si="92"/>
        <v>1.0014841967066784E-2</v>
      </c>
      <c r="CT19" s="34">
        <f t="shared" si="93"/>
        <v>0</v>
      </c>
      <c r="CU19" s="34">
        <f t="shared" si="94"/>
        <v>1.2982339942216686E-9</v>
      </c>
      <c r="CV19" s="34">
        <f t="shared" si="95"/>
        <v>4.3089670841819771E-5</v>
      </c>
      <c r="CW19" s="34">
        <f t="shared" si="96"/>
        <v>3.4623543527894239E-5</v>
      </c>
      <c r="CX19" s="34">
        <f t="shared" si="97"/>
        <v>3.6130743746927321E-4</v>
      </c>
      <c r="CY19" s="34">
        <f t="shared" si="98"/>
        <v>2.2164720710314318E-4</v>
      </c>
      <c r="CZ19" s="34">
        <f t="shared" si="99"/>
        <v>1.2350886475254661E-5</v>
      </c>
      <c r="DA19" s="34">
        <f t="shared" si="100"/>
        <v>1.0281306971641589E-4</v>
      </c>
      <c r="DB19" s="34">
        <f t="shared" si="101"/>
        <v>1.1400686343197154E-3</v>
      </c>
      <c r="DC19" s="34">
        <f t="shared" si="102"/>
        <v>1.0552086458238412E-3</v>
      </c>
      <c r="DD19" s="34">
        <f t="shared" si="103"/>
        <v>0</v>
      </c>
      <c r="DE19" s="34">
        <f t="shared" si="104"/>
        <v>1.1672359933725832E-9</v>
      </c>
      <c r="DF19" s="34">
        <f t="shared" si="105"/>
        <v>0</v>
      </c>
      <c r="DG19" s="34">
        <f t="shared" si="106"/>
        <v>1.3893917815749117E-9</v>
      </c>
      <c r="DH19" s="34">
        <f t="shared" si="107"/>
        <v>0</v>
      </c>
      <c r="DI19" s="34">
        <f t="shared" si="108"/>
        <v>1.8446929103488222E-9</v>
      </c>
      <c r="DJ19" s="34">
        <f t="shared" si="109"/>
        <v>0</v>
      </c>
      <c r="DK19" s="34">
        <f t="shared" si="110"/>
        <v>1.2643603371936242E-9</v>
      </c>
      <c r="DL19" s="34">
        <f t="shared" si="111"/>
        <v>0</v>
      </c>
      <c r="DM19" s="34">
        <f t="shared" si="112"/>
        <v>1.3331799374015869E-9</v>
      </c>
      <c r="DN19" s="34">
        <f t="shared" si="113"/>
        <v>0</v>
      </c>
      <c r="DO19" s="34">
        <f t="shared" si="114"/>
        <v>2.0618502216977944E-9</v>
      </c>
      <c r="DP19" s="34">
        <f t="shared" si="115"/>
        <v>0</v>
      </c>
      <c r="DQ19" s="34">
        <f t="shared" si="116"/>
        <v>1.5391660139039194E-9</v>
      </c>
      <c r="DR19" s="34">
        <f t="shared" si="117"/>
        <v>2.8130044908803819E-3</v>
      </c>
      <c r="DS19" s="34">
        <f t="shared" si="118"/>
        <v>5.8176235056043414E-3</v>
      </c>
      <c r="DT19" s="34">
        <f t="shared" si="119"/>
        <v>3.188093063577807E-3</v>
      </c>
      <c r="DU19" s="34">
        <f t="shared" si="120"/>
        <v>6.8243225575732079E-3</v>
      </c>
      <c r="DV19" s="34">
        <f t="shared" si="121"/>
        <v>4.2917863991823379E-3</v>
      </c>
      <c r="DW19" s="34">
        <f t="shared" si="122"/>
        <v>9.7253782022416121E-3</v>
      </c>
      <c r="DX19" s="34">
        <f t="shared" si="123"/>
        <v>3.2191677772961131E-3</v>
      </c>
      <c r="DY19" s="34">
        <f t="shared" si="124"/>
        <v>5.8269676467266234E-3</v>
      </c>
      <c r="DZ19" s="34">
        <f t="shared" si="125"/>
        <v>3.3076408954796866E-3</v>
      </c>
      <c r="EA19" s="34">
        <f t="shared" si="126"/>
        <v>7.2496890878895968E-3</v>
      </c>
      <c r="EB19" s="34">
        <f t="shared" si="127"/>
        <v>1.9828800154414279E-3</v>
      </c>
      <c r="EC19" s="34">
        <f t="shared" si="128"/>
        <v>3.142162301001027E-3</v>
      </c>
      <c r="ED19" s="34">
        <f t="shared" si="129"/>
        <v>1.9987773774909814E-3</v>
      </c>
      <c r="EE19" s="34">
        <f t="shared" si="130"/>
        <v>6.1670795256072641E-3</v>
      </c>
      <c r="EF19" s="34">
        <f t="shared" si="131"/>
        <v>3.3510109404373783E-4</v>
      </c>
      <c r="EG19" s="34">
        <f t="shared" si="132"/>
        <v>2.1605103502306524E-4</v>
      </c>
      <c r="EH19" s="34">
        <f t="shared" si="133"/>
        <v>3.5024337628916777E-4</v>
      </c>
      <c r="EI19" s="34">
        <f t="shared" si="134"/>
        <v>2.7495750750523856E-4</v>
      </c>
      <c r="EJ19" s="34">
        <f t="shared" si="135"/>
        <v>1.4599132470693818E-3</v>
      </c>
      <c r="EK19" s="34">
        <f t="shared" si="136"/>
        <v>1.9223410616898086E-3</v>
      </c>
      <c r="EL19" s="34">
        <f t="shared" si="137"/>
        <v>2.0718182799318172E-4</v>
      </c>
      <c r="EM19" s="34">
        <f t="shared" si="138"/>
        <v>2.0426396080292904E-4</v>
      </c>
      <c r="EN19" s="34">
        <f t="shared" si="139"/>
        <v>5.8493618348831231E-4</v>
      </c>
      <c r="EO19" s="34">
        <f t="shared" si="140"/>
        <v>4.3130133703729178E-4</v>
      </c>
      <c r="EP19" s="34">
        <f t="shared" si="141"/>
        <v>6.7081941841782753E-4</v>
      </c>
      <c r="EQ19" s="34">
        <f t="shared" si="142"/>
        <v>8.3642304611811138E-4</v>
      </c>
      <c r="ER19" s="34">
        <f t="shared" si="143"/>
        <v>1.7169700108557088E-4</v>
      </c>
      <c r="ES19" s="34">
        <f t="shared" si="144"/>
        <v>2.8047610018352775E-4</v>
      </c>
      <c r="ET19" s="34">
        <f t="shared" si="145"/>
        <v>3.0601691409875024E-4</v>
      </c>
      <c r="EU19" s="34">
        <f t="shared" si="146"/>
        <v>3.2221842107074856E-4</v>
      </c>
      <c r="EV19" s="34">
        <f t="shared" si="147"/>
        <v>3.361506841662046E-4</v>
      </c>
      <c r="EW19" s="34">
        <f t="shared" si="148"/>
        <v>4.3259360929995825E-4</v>
      </c>
      <c r="EX19" s="34">
        <f t="shared" si="149"/>
        <v>1.1886228547983066E-3</v>
      </c>
      <c r="EY19" s="34">
        <f t="shared" si="150"/>
        <v>2.5431632316774951E-3</v>
      </c>
      <c r="EZ19" s="34">
        <f t="shared" si="151"/>
        <v>2.0732255120058693E-4</v>
      </c>
      <c r="FA19" s="34">
        <f t="shared" si="152"/>
        <v>3.5816075512430559E-4</v>
      </c>
      <c r="FB19" s="34">
        <f t="shared" si="153"/>
        <v>5.0876383073333951E-4</v>
      </c>
      <c r="FC19" s="34">
        <f t="shared" si="154"/>
        <v>5.9225006327968792E-4</v>
      </c>
      <c r="FD19" s="34">
        <f t="shared" si="155"/>
        <v>5.9087745501210174E-4</v>
      </c>
      <c r="FE19" s="34">
        <f t="shared" si="156"/>
        <v>1.2680701962586728E-3</v>
      </c>
      <c r="FF19" s="34">
        <f t="shared" si="157"/>
        <v>2.1735622296072119E-4</v>
      </c>
      <c r="FG19" s="34">
        <f t="shared" si="158"/>
        <v>4.9152215275233583E-4</v>
      </c>
      <c r="FH19" s="34">
        <f t="shared" si="159"/>
        <v>-3.36841318884297E-4</v>
      </c>
      <c r="FI19" s="34">
        <f t="shared" si="160"/>
        <v>1.5984661435005488E-4</v>
      </c>
      <c r="FJ19" s="34">
        <f t="shared" si="161"/>
        <v>-3.5770363071113915E-4</v>
      </c>
      <c r="FK19" s="34">
        <f t="shared" si="162"/>
        <v>2.0813396242131291E-4</v>
      </c>
      <c r="FL19" s="34">
        <f t="shared" si="163"/>
        <v>-1.3155475519831647E-3</v>
      </c>
      <c r="FM19" s="34">
        <f t="shared" si="164"/>
        <v>1.3938218657835876E-3</v>
      </c>
      <c r="FN19" s="34">
        <f t="shared" si="165"/>
        <v>-2.31533887270318E-4</v>
      </c>
      <c r="FO19" s="34">
        <f t="shared" si="166"/>
        <v>1.6316653681378924E-4</v>
      </c>
      <c r="FP19" s="34">
        <f t="shared" si="167"/>
        <v>-5.5553462005492624E-4</v>
      </c>
      <c r="FQ19" s="34">
        <f t="shared" si="168"/>
        <v>3.1654387005460277E-4</v>
      </c>
      <c r="FR19" s="34">
        <f t="shared" si="169"/>
        <v>-5.9630820736272599E-4</v>
      </c>
      <c r="FS19" s="34">
        <f t="shared" si="170"/>
        <v>5.9803680518481241E-4</v>
      </c>
      <c r="FT19" s="34">
        <f t="shared" si="171"/>
        <v>-1.9705958965216184E-4</v>
      </c>
      <c r="FU19" s="34">
        <f t="shared" si="172"/>
        <v>2.2867674882577431E-4</v>
      </c>
    </row>
    <row r="20" spans="1:177" x14ac:dyDescent="0.2">
      <c r="A20" s="4"/>
      <c r="B20" s="38"/>
      <c r="D20"/>
      <c r="I20" s="22" t="s">
        <v>116</v>
      </c>
      <c r="J20" s="83">
        <f>SUMPRODUCT(B4:B10,H4:H10)</f>
        <v>-0.21591897728429887</v>
      </c>
      <c r="Y20" s="9"/>
      <c r="BZ20" s="34">
        <f t="shared" si="74"/>
        <v>0</v>
      </c>
      <c r="CA20" s="34">
        <f t="shared" si="75"/>
        <v>2.7021884253690711E-9</v>
      </c>
      <c r="CB20" s="34">
        <f t="shared" si="76"/>
        <v>-7.6303315134773424E-4</v>
      </c>
      <c r="CC20" s="34">
        <f t="shared" si="77"/>
        <v>1.3505667619922296E-3</v>
      </c>
      <c r="CD20" s="34">
        <f t="shared" si="78"/>
        <v>3.7741608297591365E-5</v>
      </c>
      <c r="CE20" s="34">
        <f t="shared" si="173"/>
        <v>2.4235517656477444E-4</v>
      </c>
      <c r="CF20" s="34">
        <f t="shared" si="79"/>
        <v>1.8351992705599953E-4</v>
      </c>
      <c r="CG20" s="34">
        <f t="shared" si="80"/>
        <v>1.2774504679652379E-4</v>
      </c>
      <c r="CH20" s="34">
        <f t="shared" si="81"/>
        <v>-5.6799159408701654E-3</v>
      </c>
      <c r="CI20" s="34">
        <f t="shared" si="82"/>
        <v>1.1685466415515157E-2</v>
      </c>
      <c r="CJ20" s="34">
        <f t="shared" si="83"/>
        <v>0</v>
      </c>
      <c r="CK20" s="34">
        <f t="shared" si="84"/>
        <v>1.8507303172671177E-9</v>
      </c>
      <c r="CL20" s="34">
        <f t="shared" si="85"/>
        <v>5.5966925228090087E-4</v>
      </c>
      <c r="CM20" s="34">
        <f t="shared" si="86"/>
        <v>1.4359459729540681E-3</v>
      </c>
      <c r="CN20" s="34">
        <f t="shared" si="87"/>
        <v>5.4541790077687957E-5</v>
      </c>
      <c r="CO20" s="34">
        <f t="shared" si="88"/>
        <v>2.5735499362269265E-5</v>
      </c>
      <c r="CP20" s="34">
        <f t="shared" si="89"/>
        <v>5.6295093623465197E-5</v>
      </c>
      <c r="CQ20" s="34">
        <f t="shared" si="90"/>
        <v>1.5378941141817539E-4</v>
      </c>
      <c r="CR20" s="34">
        <f t="shared" si="91"/>
        <v>4.5087267641198718E-3</v>
      </c>
      <c r="CS20" s="34">
        <f t="shared" si="92"/>
        <v>1.0004827125099718E-2</v>
      </c>
      <c r="CT20" s="34">
        <f t="shared" si="93"/>
        <v>0</v>
      </c>
      <c r="CU20" s="34">
        <f t="shared" si="94"/>
        <v>1.296935760227447E-9</v>
      </c>
      <c r="CV20" s="34">
        <f t="shared" si="95"/>
        <v>3.8780703757637796E-5</v>
      </c>
      <c r="CW20" s="34">
        <f t="shared" si="96"/>
        <v>3.4588919984366345E-5</v>
      </c>
      <c r="CX20" s="34">
        <f t="shared" si="97"/>
        <v>3.2517669372234589E-4</v>
      </c>
      <c r="CY20" s="34">
        <f t="shared" si="98"/>
        <v>2.2142555989604004E-4</v>
      </c>
      <c r="CZ20" s="34">
        <f t="shared" si="99"/>
        <v>1.1115797827729195E-5</v>
      </c>
      <c r="DA20" s="34">
        <f t="shared" si="100"/>
        <v>1.0271025664669947E-4</v>
      </c>
      <c r="DB20" s="34">
        <f t="shared" si="101"/>
        <v>1.0260617708877438E-3</v>
      </c>
      <c r="DC20" s="34">
        <f t="shared" si="102"/>
        <v>1.0541534371780173E-3</v>
      </c>
      <c r="DD20" s="34">
        <f t="shared" si="103"/>
        <v>0</v>
      </c>
      <c r="DE20" s="34">
        <f t="shared" si="104"/>
        <v>1.1660687573792105E-9</v>
      </c>
      <c r="DF20" s="34">
        <f t="shared" si="105"/>
        <v>0</v>
      </c>
      <c r="DG20" s="34">
        <f t="shared" si="106"/>
        <v>1.3880023897933368E-9</v>
      </c>
      <c r="DH20" s="34">
        <f t="shared" si="107"/>
        <v>0</v>
      </c>
      <c r="DI20" s="34">
        <f t="shared" si="108"/>
        <v>1.8428482174384733E-9</v>
      </c>
      <c r="DJ20" s="34">
        <f t="shared" si="109"/>
        <v>0</v>
      </c>
      <c r="DK20" s="34">
        <f t="shared" si="110"/>
        <v>1.2630959768564306E-9</v>
      </c>
      <c r="DL20" s="34">
        <f t="shared" si="111"/>
        <v>0</v>
      </c>
      <c r="DM20" s="34">
        <f t="shared" si="112"/>
        <v>1.3318467574641853E-9</v>
      </c>
      <c r="DN20" s="34">
        <f t="shared" si="113"/>
        <v>0</v>
      </c>
      <c r="DO20" s="34">
        <f t="shared" si="114"/>
        <v>2.0597883714760967E-9</v>
      </c>
      <c r="DP20" s="34">
        <f t="shared" si="115"/>
        <v>0</v>
      </c>
      <c r="DQ20" s="34">
        <f t="shared" si="116"/>
        <v>1.5376268478900155E-9</v>
      </c>
      <c r="DR20" s="34">
        <f t="shared" si="117"/>
        <v>2.531704041792344E-3</v>
      </c>
      <c r="DS20" s="34">
        <f t="shared" si="118"/>
        <v>5.8118058820987367E-3</v>
      </c>
      <c r="DT20" s="34">
        <f t="shared" si="119"/>
        <v>2.8692837572200265E-3</v>
      </c>
      <c r="DU20" s="34">
        <f t="shared" si="120"/>
        <v>6.8174982350156345E-3</v>
      </c>
      <c r="DV20" s="34">
        <f t="shared" si="121"/>
        <v>3.8626077592641044E-3</v>
      </c>
      <c r="DW20" s="34">
        <f t="shared" si="122"/>
        <v>9.7156528240393697E-3</v>
      </c>
      <c r="DX20" s="34">
        <f t="shared" si="123"/>
        <v>2.8972509995665017E-3</v>
      </c>
      <c r="DY20" s="34">
        <f t="shared" si="124"/>
        <v>5.8211406790798972E-3</v>
      </c>
      <c r="DZ20" s="34">
        <f t="shared" si="125"/>
        <v>2.9768768059317179E-3</v>
      </c>
      <c r="EA20" s="34">
        <f t="shared" si="126"/>
        <v>7.2424393988017068E-3</v>
      </c>
      <c r="EB20" s="34">
        <f t="shared" si="127"/>
        <v>1.7845920138972852E-3</v>
      </c>
      <c r="EC20" s="34">
        <f t="shared" si="128"/>
        <v>3.139020138700026E-3</v>
      </c>
      <c r="ED20" s="34">
        <f t="shared" si="129"/>
        <v>1.7988996397418832E-3</v>
      </c>
      <c r="EE20" s="34">
        <f t="shared" si="130"/>
        <v>6.160912446081657E-3</v>
      </c>
      <c r="EF20" s="34">
        <f t="shared" si="131"/>
        <v>3.0159098463936404E-4</v>
      </c>
      <c r="EG20" s="34">
        <f t="shared" si="132"/>
        <v>2.1583498398804218E-4</v>
      </c>
      <c r="EH20" s="34">
        <f t="shared" si="133"/>
        <v>3.1521903866025099E-4</v>
      </c>
      <c r="EI20" s="34">
        <f t="shared" si="134"/>
        <v>2.7468254999773333E-4</v>
      </c>
      <c r="EJ20" s="34">
        <f t="shared" si="135"/>
        <v>1.3139219223624436E-3</v>
      </c>
      <c r="EK20" s="34">
        <f t="shared" si="136"/>
        <v>1.9204187206281187E-3</v>
      </c>
      <c r="EL20" s="34">
        <f t="shared" si="137"/>
        <v>1.8646364519386355E-4</v>
      </c>
      <c r="EM20" s="34">
        <f t="shared" si="138"/>
        <v>2.0405969684212611E-4</v>
      </c>
      <c r="EN20" s="34">
        <f t="shared" si="139"/>
        <v>5.2644256513948112E-4</v>
      </c>
      <c r="EO20" s="34">
        <f t="shared" si="140"/>
        <v>4.3087003570025447E-4</v>
      </c>
      <c r="EP20" s="34">
        <f t="shared" si="141"/>
        <v>6.0373747657604482E-4</v>
      </c>
      <c r="EQ20" s="34">
        <f t="shared" si="142"/>
        <v>8.3558662307199323E-4</v>
      </c>
      <c r="ER20" s="34">
        <f t="shared" si="143"/>
        <v>1.545273009770138E-4</v>
      </c>
      <c r="ES20" s="34">
        <f t="shared" si="144"/>
        <v>2.801956240833442E-4</v>
      </c>
      <c r="ET20" s="34">
        <f t="shared" si="145"/>
        <v>2.7541522268887525E-4</v>
      </c>
      <c r="EU20" s="34">
        <f t="shared" si="146"/>
        <v>3.2189620264967781E-4</v>
      </c>
      <c r="EV20" s="34">
        <f t="shared" si="147"/>
        <v>3.0253561574958418E-4</v>
      </c>
      <c r="EW20" s="34">
        <f t="shared" si="148"/>
        <v>4.3216101569065827E-4</v>
      </c>
      <c r="EX20" s="34">
        <f t="shared" si="149"/>
        <v>1.0697605693184759E-3</v>
      </c>
      <c r="EY20" s="34">
        <f t="shared" si="150"/>
        <v>2.5406200684458175E-3</v>
      </c>
      <c r="EZ20" s="34">
        <f t="shared" si="151"/>
        <v>1.8659029608052825E-4</v>
      </c>
      <c r="FA20" s="34">
        <f t="shared" si="152"/>
        <v>3.5780259436918126E-4</v>
      </c>
      <c r="FB20" s="34">
        <f t="shared" si="153"/>
        <v>4.5788744766000556E-4</v>
      </c>
      <c r="FC20" s="34">
        <f t="shared" si="154"/>
        <v>5.9165781321640827E-4</v>
      </c>
      <c r="FD20" s="34">
        <f t="shared" si="155"/>
        <v>5.3178970951089162E-4</v>
      </c>
      <c r="FE20" s="34">
        <f t="shared" si="156"/>
        <v>1.266802126062414E-3</v>
      </c>
      <c r="FF20" s="34">
        <f t="shared" si="157"/>
        <v>1.9562060066464907E-4</v>
      </c>
      <c r="FG20" s="34">
        <f t="shared" si="158"/>
        <v>4.9103063059958345E-4</v>
      </c>
      <c r="FH20" s="34">
        <f t="shared" si="159"/>
        <v>-3.0315718699586733E-4</v>
      </c>
      <c r="FI20" s="34">
        <f t="shared" si="160"/>
        <v>1.5968676773570482E-4</v>
      </c>
      <c r="FJ20" s="34">
        <f t="shared" si="161"/>
        <v>-3.2193326764002526E-4</v>
      </c>
      <c r="FK20" s="34">
        <f t="shared" si="162"/>
        <v>2.079258284588916E-4</v>
      </c>
      <c r="FL20" s="34">
        <f t="shared" si="163"/>
        <v>-1.1839927967848482E-3</v>
      </c>
      <c r="FM20" s="34">
        <f t="shared" si="164"/>
        <v>1.3924280439178039E-3</v>
      </c>
      <c r="FN20" s="34">
        <f t="shared" si="165"/>
        <v>-2.083804985432862E-4</v>
      </c>
      <c r="FO20" s="34">
        <f t="shared" si="166"/>
        <v>1.6300337027697545E-4</v>
      </c>
      <c r="FP20" s="34">
        <f t="shared" si="167"/>
        <v>-4.999811580494336E-4</v>
      </c>
      <c r="FQ20" s="34">
        <f t="shared" si="168"/>
        <v>3.1622732618454816E-4</v>
      </c>
      <c r="FR20" s="34">
        <f t="shared" si="169"/>
        <v>-5.3667738662645345E-4</v>
      </c>
      <c r="FS20" s="34">
        <f t="shared" si="170"/>
        <v>5.9743876837962755E-4</v>
      </c>
      <c r="FT20" s="34">
        <f t="shared" si="171"/>
        <v>-1.7735363068694567E-4</v>
      </c>
      <c r="FU20" s="34">
        <f t="shared" si="172"/>
        <v>2.2844807207694854E-4</v>
      </c>
    </row>
    <row r="21" spans="1:177" x14ac:dyDescent="0.2">
      <c r="A21" s="4"/>
      <c r="B21" s="38"/>
      <c r="D21"/>
      <c r="Y21" s="9"/>
      <c r="BZ21" s="34">
        <f t="shared" si="74"/>
        <v>0</v>
      </c>
      <c r="CA21" s="34">
        <f t="shared" si="75"/>
        <v>2.699486236943702E-9</v>
      </c>
      <c r="CB21" s="34">
        <f t="shared" si="76"/>
        <v>-6.8672983621296082E-4</v>
      </c>
      <c r="CC21" s="34">
        <f t="shared" si="77"/>
        <v>1.3492161952302374E-3</v>
      </c>
      <c r="CD21" s="34">
        <f t="shared" si="78"/>
        <v>3.3967447467832232E-5</v>
      </c>
      <c r="CE21" s="34">
        <f t="shared" si="173"/>
        <v>2.4211282138820968E-4</v>
      </c>
      <c r="CF21" s="34">
        <f t="shared" si="79"/>
        <v>1.6516793435039957E-4</v>
      </c>
      <c r="CG21" s="34">
        <f t="shared" si="80"/>
        <v>1.2761730174972726E-4</v>
      </c>
      <c r="CH21" s="34">
        <f t="shared" si="81"/>
        <v>-5.1119243467831494E-3</v>
      </c>
      <c r="CI21" s="34">
        <f t="shared" si="82"/>
        <v>1.1673780949099643E-2</v>
      </c>
      <c r="CJ21" s="34">
        <f t="shared" si="83"/>
        <v>0</v>
      </c>
      <c r="CK21" s="34">
        <f t="shared" si="84"/>
        <v>1.8488795869498507E-9</v>
      </c>
      <c r="CL21" s="34">
        <f t="shared" si="85"/>
        <v>5.037023270528108E-4</v>
      </c>
      <c r="CM21" s="34">
        <f t="shared" si="86"/>
        <v>1.4345100269811141E-3</v>
      </c>
      <c r="CN21" s="34">
        <f t="shared" si="87"/>
        <v>4.9087611069919166E-5</v>
      </c>
      <c r="CO21" s="34">
        <f t="shared" si="88"/>
        <v>2.5709763862906996E-5</v>
      </c>
      <c r="CP21" s="34">
        <f t="shared" si="89"/>
        <v>5.0665584261118676E-5</v>
      </c>
      <c r="CQ21" s="34">
        <f t="shared" si="90"/>
        <v>1.5363562200675722E-4</v>
      </c>
      <c r="CR21" s="34">
        <f t="shared" si="91"/>
        <v>4.0578540877078849E-3</v>
      </c>
      <c r="CS21" s="34">
        <f t="shared" si="92"/>
        <v>9.9948222979746176E-3</v>
      </c>
      <c r="CT21" s="34">
        <f t="shared" si="93"/>
        <v>0</v>
      </c>
      <c r="CU21" s="34">
        <f t="shared" si="94"/>
        <v>1.2956388244672195E-9</v>
      </c>
      <c r="CV21" s="34">
        <f t="shared" si="95"/>
        <v>3.490263338187402E-5</v>
      </c>
      <c r="CW21" s="34">
        <f t="shared" si="96"/>
        <v>3.4554331064381979E-5</v>
      </c>
      <c r="CX21" s="34">
        <f t="shared" si="97"/>
        <v>2.926590243501113E-4</v>
      </c>
      <c r="CY21" s="34">
        <f t="shared" si="98"/>
        <v>2.2120413433614401E-4</v>
      </c>
      <c r="CZ21" s="34">
        <f t="shared" si="99"/>
        <v>1.0004218044956276E-5</v>
      </c>
      <c r="DA21" s="34">
        <f t="shared" si="100"/>
        <v>1.0260754639005277E-4</v>
      </c>
      <c r="DB21" s="34">
        <f t="shared" si="101"/>
        <v>9.2345559379896941E-4</v>
      </c>
      <c r="DC21" s="34">
        <f t="shared" si="102"/>
        <v>1.0530992837408392E-3</v>
      </c>
      <c r="DD21" s="34">
        <f t="shared" si="103"/>
        <v>0</v>
      </c>
      <c r="DE21" s="34">
        <f t="shared" si="104"/>
        <v>1.1649026886218312E-9</v>
      </c>
      <c r="DF21" s="34">
        <f t="shared" si="105"/>
        <v>0</v>
      </c>
      <c r="DG21" s="34">
        <f t="shared" si="106"/>
        <v>1.3866143874035435E-9</v>
      </c>
      <c r="DH21" s="34">
        <f t="shared" si="107"/>
        <v>0</v>
      </c>
      <c r="DI21" s="34">
        <f t="shared" si="108"/>
        <v>1.8410053692210348E-9</v>
      </c>
      <c r="DJ21" s="34">
        <f t="shared" si="109"/>
        <v>0</v>
      </c>
      <c r="DK21" s="34">
        <f t="shared" si="110"/>
        <v>1.2618328808795742E-9</v>
      </c>
      <c r="DL21" s="34">
        <f t="shared" si="111"/>
        <v>0</v>
      </c>
      <c r="DM21" s="34">
        <f t="shared" si="112"/>
        <v>1.3305149107067211E-9</v>
      </c>
      <c r="DN21" s="34">
        <f t="shared" si="113"/>
        <v>0</v>
      </c>
      <c r="DO21" s="34">
        <f t="shared" si="114"/>
        <v>2.0577285831046206E-9</v>
      </c>
      <c r="DP21" s="34">
        <f t="shared" si="115"/>
        <v>0</v>
      </c>
      <c r="DQ21" s="34">
        <f t="shared" si="116"/>
        <v>1.5360892210421254E-9</v>
      </c>
      <c r="DR21" s="34">
        <f t="shared" si="117"/>
        <v>2.2785336376131096E-3</v>
      </c>
      <c r="DS21" s="34">
        <f t="shared" si="118"/>
        <v>5.8059940762166381E-3</v>
      </c>
      <c r="DT21" s="34">
        <f t="shared" si="119"/>
        <v>2.5823553814980239E-3</v>
      </c>
      <c r="DU21" s="34">
        <f t="shared" si="120"/>
        <v>6.8106807367806187E-3</v>
      </c>
      <c r="DV21" s="34">
        <f t="shared" si="121"/>
        <v>3.4763469833376942E-3</v>
      </c>
      <c r="DW21" s="34">
        <f t="shared" si="122"/>
        <v>9.7059371712153297E-3</v>
      </c>
      <c r="DX21" s="34">
        <f t="shared" si="123"/>
        <v>2.6075258996098518E-3</v>
      </c>
      <c r="DY21" s="34">
        <f t="shared" si="124"/>
        <v>5.8153195384008172E-3</v>
      </c>
      <c r="DZ21" s="34">
        <f t="shared" si="125"/>
        <v>2.6791891253385462E-3</v>
      </c>
      <c r="EA21" s="34">
        <f t="shared" si="126"/>
        <v>7.2351969594029054E-3</v>
      </c>
      <c r="EB21" s="34">
        <f t="shared" si="127"/>
        <v>1.6061328125075568E-3</v>
      </c>
      <c r="EC21" s="34">
        <f t="shared" si="128"/>
        <v>3.1358811185613262E-3</v>
      </c>
      <c r="ED21" s="34">
        <f t="shared" si="129"/>
        <v>1.6190096757676949E-3</v>
      </c>
      <c r="EE21" s="34">
        <f t="shared" si="130"/>
        <v>6.1547515336355749E-3</v>
      </c>
      <c r="EF21" s="34">
        <f t="shared" si="131"/>
        <v>2.7143188617542762E-4</v>
      </c>
      <c r="EG21" s="34">
        <f t="shared" si="132"/>
        <v>2.1561914900405414E-4</v>
      </c>
      <c r="EH21" s="34">
        <f t="shared" si="133"/>
        <v>2.8369713479422588E-4</v>
      </c>
      <c r="EI21" s="34">
        <f t="shared" si="134"/>
        <v>2.7440786744773561E-4</v>
      </c>
      <c r="EJ21" s="34">
        <f t="shared" si="135"/>
        <v>1.1825297301261992E-3</v>
      </c>
      <c r="EK21" s="34">
        <f t="shared" si="136"/>
        <v>1.9184983019074906E-3</v>
      </c>
      <c r="EL21" s="34">
        <f t="shared" si="137"/>
        <v>1.6781728067447721E-4</v>
      </c>
      <c r="EM21" s="34">
        <f t="shared" si="138"/>
        <v>2.0385563714528398E-4</v>
      </c>
      <c r="EN21" s="34">
        <f t="shared" si="139"/>
        <v>4.73798308625533E-4</v>
      </c>
      <c r="EO21" s="34">
        <f t="shared" si="140"/>
        <v>4.3043916566455419E-4</v>
      </c>
      <c r="EP21" s="34">
        <f t="shared" si="141"/>
        <v>5.433637289184403E-4</v>
      </c>
      <c r="EQ21" s="34">
        <f t="shared" si="142"/>
        <v>8.3475103644892125E-4</v>
      </c>
      <c r="ER21" s="34">
        <f t="shared" si="143"/>
        <v>1.3907457087931243E-4</v>
      </c>
      <c r="ES21" s="34">
        <f t="shared" si="144"/>
        <v>2.7991542845926085E-4</v>
      </c>
      <c r="ET21" s="34">
        <f t="shared" si="145"/>
        <v>2.4787370041998776E-4</v>
      </c>
      <c r="EU21" s="34">
        <f t="shared" si="146"/>
        <v>3.2157430644702811E-4</v>
      </c>
      <c r="EV21" s="34">
        <f t="shared" si="147"/>
        <v>2.7228205417462577E-4</v>
      </c>
      <c r="EW21" s="34">
        <f t="shared" si="148"/>
        <v>4.3172885467496761E-4</v>
      </c>
      <c r="EX21" s="34">
        <f t="shared" si="149"/>
        <v>9.6278451238662841E-4</v>
      </c>
      <c r="EY21" s="34">
        <f t="shared" si="150"/>
        <v>2.5380794483773716E-3</v>
      </c>
      <c r="EZ21" s="34">
        <f t="shared" si="151"/>
        <v>1.6793126647247542E-4</v>
      </c>
      <c r="FA21" s="34">
        <f t="shared" si="152"/>
        <v>3.5744479177481206E-4</v>
      </c>
      <c r="FB21" s="34">
        <f t="shared" si="153"/>
        <v>4.12098702894005E-4</v>
      </c>
      <c r="FC21" s="34">
        <f t="shared" si="154"/>
        <v>5.9106615540319184E-4</v>
      </c>
      <c r="FD21" s="34">
        <f t="shared" si="155"/>
        <v>4.7861073855980248E-4</v>
      </c>
      <c r="FE21" s="34">
        <f t="shared" si="156"/>
        <v>1.2655353239363516E-3</v>
      </c>
      <c r="FF21" s="34">
        <f t="shared" si="157"/>
        <v>1.7605854059818418E-4</v>
      </c>
      <c r="FG21" s="34">
        <f t="shared" si="158"/>
        <v>4.9053959996898391E-4</v>
      </c>
      <c r="FH21" s="34">
        <f t="shared" si="159"/>
        <v>-2.7284146829628062E-4</v>
      </c>
      <c r="FI21" s="34">
        <f t="shared" si="160"/>
        <v>1.5952708096796911E-4</v>
      </c>
      <c r="FJ21" s="34">
        <f t="shared" si="161"/>
        <v>-2.8973994087602272E-4</v>
      </c>
      <c r="FK21" s="34">
        <f t="shared" si="162"/>
        <v>2.0771790263043272E-4</v>
      </c>
      <c r="FL21" s="34">
        <f t="shared" si="163"/>
        <v>-1.0655935171063635E-3</v>
      </c>
      <c r="FM21" s="34">
        <f t="shared" si="164"/>
        <v>1.3910356158738861E-3</v>
      </c>
      <c r="FN21" s="34">
        <f t="shared" si="165"/>
        <v>-1.8754244868895759E-4</v>
      </c>
      <c r="FO21" s="34">
        <f t="shared" si="166"/>
        <v>1.6284036690669847E-4</v>
      </c>
      <c r="FP21" s="34">
        <f t="shared" si="167"/>
        <v>-4.4998304224449023E-4</v>
      </c>
      <c r="FQ21" s="34">
        <f t="shared" si="168"/>
        <v>3.159110988583636E-4</v>
      </c>
      <c r="FR21" s="34">
        <f t="shared" si="169"/>
        <v>-4.8300964796380811E-4</v>
      </c>
      <c r="FS21" s="34">
        <f t="shared" si="170"/>
        <v>5.9684132961124788E-4</v>
      </c>
      <c r="FT21" s="34">
        <f t="shared" si="171"/>
        <v>-1.5961826761825112E-4</v>
      </c>
      <c r="FU21" s="34">
        <f t="shared" si="172"/>
        <v>2.2821962400487158E-4</v>
      </c>
    </row>
    <row r="22" spans="1:177" x14ac:dyDescent="0.2">
      <c r="A22" s="4"/>
      <c r="B22" s="38"/>
      <c r="D22"/>
      <c r="Y22" s="9"/>
      <c r="BZ22" s="34">
        <f t="shared" si="74"/>
        <v>0</v>
      </c>
      <c r="CA22" s="34">
        <f t="shared" si="75"/>
        <v>2.6967867507067584E-9</v>
      </c>
      <c r="CB22" s="34">
        <f t="shared" si="76"/>
        <v>-6.1805685259166477E-4</v>
      </c>
      <c r="CC22" s="34">
        <f t="shared" si="77"/>
        <v>1.3478669790350072E-3</v>
      </c>
      <c r="CD22" s="34">
        <f t="shared" si="78"/>
        <v>3.0570702721049008E-5</v>
      </c>
      <c r="CE22" s="34">
        <f t="shared" si="173"/>
        <v>2.4187070856682147E-4</v>
      </c>
      <c r="CF22" s="34">
        <f t="shared" si="79"/>
        <v>1.4865114091535962E-4</v>
      </c>
      <c r="CG22" s="34">
        <f t="shared" si="80"/>
        <v>1.2748968444797754E-4</v>
      </c>
      <c r="CH22" s="34">
        <f t="shared" si="81"/>
        <v>-4.6007319121048346E-3</v>
      </c>
      <c r="CI22" s="34">
        <f t="shared" si="82"/>
        <v>1.1662107168150544E-2</v>
      </c>
      <c r="CJ22" s="34">
        <f t="shared" si="83"/>
        <v>0</v>
      </c>
      <c r="CK22" s="34">
        <f t="shared" si="84"/>
        <v>1.8470307073629009E-9</v>
      </c>
      <c r="CL22" s="34">
        <f t="shared" si="85"/>
        <v>4.5333209434752971E-4</v>
      </c>
      <c r="CM22" s="34">
        <f t="shared" si="86"/>
        <v>1.4330755169541329E-3</v>
      </c>
      <c r="CN22" s="34">
        <f t="shared" si="87"/>
        <v>4.4178849962927253E-5</v>
      </c>
      <c r="CO22" s="34">
        <f t="shared" si="88"/>
        <v>2.5684054099044089E-5</v>
      </c>
      <c r="CP22" s="34">
        <f t="shared" si="89"/>
        <v>4.5599025835006811E-5</v>
      </c>
      <c r="CQ22" s="34">
        <f t="shared" si="90"/>
        <v>1.5348198638475045E-4</v>
      </c>
      <c r="CR22" s="34">
        <f t="shared" si="91"/>
        <v>3.6520686789370963E-3</v>
      </c>
      <c r="CS22" s="34">
        <f t="shared" si="92"/>
        <v>9.9848274756766438E-3</v>
      </c>
      <c r="CT22" s="34">
        <f t="shared" si="93"/>
        <v>0</v>
      </c>
      <c r="CU22" s="34">
        <f t="shared" si="94"/>
        <v>1.2943431856427523E-9</v>
      </c>
      <c r="CV22" s="34">
        <f t="shared" si="95"/>
        <v>3.1412370043686621E-5</v>
      </c>
      <c r="CW22" s="34">
        <f t="shared" si="96"/>
        <v>3.4519776733317597E-5</v>
      </c>
      <c r="CX22" s="34">
        <f t="shared" si="97"/>
        <v>2.633931219151002E-4</v>
      </c>
      <c r="CY22" s="34">
        <f t="shared" si="98"/>
        <v>2.2098293020180785E-4</v>
      </c>
      <c r="CZ22" s="34">
        <f t="shared" si="99"/>
        <v>9.0037962404606487E-6</v>
      </c>
      <c r="DA22" s="34">
        <f t="shared" si="100"/>
        <v>1.0250493884366272E-4</v>
      </c>
      <c r="DB22" s="34">
        <f t="shared" si="101"/>
        <v>8.3111003441907244E-4</v>
      </c>
      <c r="DC22" s="34">
        <f t="shared" si="102"/>
        <v>1.0520461844570983E-3</v>
      </c>
      <c r="DD22" s="34">
        <f t="shared" si="103"/>
        <v>0</v>
      </c>
      <c r="DE22" s="34">
        <f t="shared" si="104"/>
        <v>1.1637377859332094E-9</v>
      </c>
      <c r="DF22" s="34">
        <f t="shared" si="105"/>
        <v>0</v>
      </c>
      <c r="DG22" s="34">
        <f t="shared" si="106"/>
        <v>1.38522777301614E-9</v>
      </c>
      <c r="DH22" s="34">
        <f t="shared" si="107"/>
        <v>0</v>
      </c>
      <c r="DI22" s="34">
        <f t="shared" si="108"/>
        <v>1.8391643638518137E-9</v>
      </c>
      <c r="DJ22" s="34">
        <f t="shared" si="109"/>
        <v>0</v>
      </c>
      <c r="DK22" s="34">
        <f t="shared" si="110"/>
        <v>1.2605710479986947E-9</v>
      </c>
      <c r="DL22" s="34">
        <f t="shared" si="111"/>
        <v>0</v>
      </c>
      <c r="DM22" s="34">
        <f t="shared" si="112"/>
        <v>1.3291843957960145E-9</v>
      </c>
      <c r="DN22" s="34">
        <f t="shared" si="113"/>
        <v>0</v>
      </c>
      <c r="DO22" s="34">
        <f t="shared" si="114"/>
        <v>2.0556708545215161E-9</v>
      </c>
      <c r="DP22" s="34">
        <f t="shared" si="115"/>
        <v>0</v>
      </c>
      <c r="DQ22" s="34">
        <f t="shared" si="116"/>
        <v>1.5345531318210833E-9</v>
      </c>
      <c r="DR22" s="34">
        <f t="shared" si="117"/>
        <v>2.0506802738517985E-3</v>
      </c>
      <c r="DS22" s="34">
        <f t="shared" si="118"/>
        <v>5.8001880821404216E-3</v>
      </c>
      <c r="DT22" s="34">
        <f t="shared" si="119"/>
        <v>2.3241198433482215E-3</v>
      </c>
      <c r="DU22" s="34">
        <f t="shared" si="120"/>
        <v>6.803870056043838E-3</v>
      </c>
      <c r="DV22" s="34">
        <f t="shared" si="121"/>
        <v>3.128712285003925E-3</v>
      </c>
      <c r="DW22" s="34">
        <f t="shared" si="122"/>
        <v>9.6962312340441136E-3</v>
      </c>
      <c r="DX22" s="34">
        <f t="shared" si="123"/>
        <v>2.3467733096488668E-3</v>
      </c>
      <c r="DY22" s="34">
        <f t="shared" si="124"/>
        <v>5.8095042188624161E-3</v>
      </c>
      <c r="DZ22" s="34">
        <f t="shared" si="125"/>
        <v>2.4112702128046915E-3</v>
      </c>
      <c r="EA22" s="34">
        <f t="shared" si="126"/>
        <v>7.2279617624435022E-3</v>
      </c>
      <c r="EB22" s="34">
        <f t="shared" si="127"/>
        <v>1.4455195312568011E-3</v>
      </c>
      <c r="EC22" s="34">
        <f t="shared" si="128"/>
        <v>3.1327452374427648E-3</v>
      </c>
      <c r="ED22" s="34">
        <f t="shared" si="129"/>
        <v>1.4571087081909253E-3</v>
      </c>
      <c r="EE22" s="34">
        <f t="shared" si="130"/>
        <v>6.1485967821019397E-3</v>
      </c>
      <c r="EF22" s="34">
        <f t="shared" si="131"/>
        <v>2.4428869755788488E-4</v>
      </c>
      <c r="EG22" s="34">
        <f t="shared" si="132"/>
        <v>2.1540352985505008E-4</v>
      </c>
      <c r="EH22" s="34">
        <f t="shared" si="133"/>
        <v>2.5532742131480332E-4</v>
      </c>
      <c r="EI22" s="34">
        <f t="shared" si="134"/>
        <v>2.7413345958028786E-4</v>
      </c>
      <c r="EJ22" s="34">
        <f t="shared" si="135"/>
        <v>1.0642767571135794E-3</v>
      </c>
      <c r="EK22" s="34">
        <f t="shared" si="136"/>
        <v>1.9165798036055832E-3</v>
      </c>
      <c r="EL22" s="34">
        <f t="shared" si="137"/>
        <v>1.5103555260702949E-4</v>
      </c>
      <c r="EM22" s="34">
        <f t="shared" si="138"/>
        <v>2.036517815081387E-4</v>
      </c>
      <c r="EN22" s="34">
        <f t="shared" si="139"/>
        <v>4.264184777629797E-4</v>
      </c>
      <c r="EO22" s="34">
        <f t="shared" si="140"/>
        <v>4.3000872649888965E-4</v>
      </c>
      <c r="EP22" s="34">
        <f t="shared" si="141"/>
        <v>4.8902735602659628E-4</v>
      </c>
      <c r="EQ22" s="34">
        <f t="shared" si="142"/>
        <v>8.3391628541247228E-4</v>
      </c>
      <c r="ER22" s="34">
        <f t="shared" si="143"/>
        <v>1.2516711379138119E-4</v>
      </c>
      <c r="ES22" s="34">
        <f t="shared" si="144"/>
        <v>2.7963551303080157E-4</v>
      </c>
      <c r="ET22" s="34">
        <f t="shared" si="145"/>
        <v>2.2308633037798899E-4</v>
      </c>
      <c r="EU22" s="34">
        <f t="shared" si="146"/>
        <v>3.2125273214058108E-4</v>
      </c>
      <c r="EV22" s="34">
        <f t="shared" si="147"/>
        <v>2.450538487571632E-4</v>
      </c>
      <c r="EW22" s="34">
        <f t="shared" si="148"/>
        <v>4.3129712582029263E-4</v>
      </c>
      <c r="EX22" s="34">
        <f t="shared" si="149"/>
        <v>8.6650606114796556E-4</v>
      </c>
      <c r="EY22" s="34">
        <f t="shared" si="150"/>
        <v>2.5355413689289942E-3</v>
      </c>
      <c r="EZ22" s="34">
        <f t="shared" si="151"/>
        <v>1.5113813982522788E-4</v>
      </c>
      <c r="FA22" s="34">
        <f t="shared" si="152"/>
        <v>3.5708734698303726E-4</v>
      </c>
      <c r="FB22" s="34">
        <f t="shared" si="153"/>
        <v>3.708888326046045E-4</v>
      </c>
      <c r="FC22" s="34">
        <f t="shared" si="154"/>
        <v>5.9047508924778866E-4</v>
      </c>
      <c r="FD22" s="34">
        <f t="shared" si="155"/>
        <v>4.3074966470382222E-4</v>
      </c>
      <c r="FE22" s="34">
        <f t="shared" si="156"/>
        <v>1.2642697886124153E-3</v>
      </c>
      <c r="FF22" s="34">
        <f t="shared" si="157"/>
        <v>1.5845268653836577E-4</v>
      </c>
      <c r="FG22" s="34">
        <f t="shared" si="158"/>
        <v>4.9004906036901491E-4</v>
      </c>
      <c r="FH22" s="34">
        <f t="shared" si="159"/>
        <v>-2.4555732146665254E-4</v>
      </c>
      <c r="FI22" s="34">
        <f t="shared" si="160"/>
        <v>1.5936755388700115E-4</v>
      </c>
      <c r="FJ22" s="34">
        <f t="shared" si="161"/>
        <v>-2.6076594678842044E-4</v>
      </c>
      <c r="FK22" s="34">
        <f t="shared" si="162"/>
        <v>2.0751018472780228E-4</v>
      </c>
      <c r="FL22" s="34">
        <f t="shared" si="163"/>
        <v>-9.5903416539572716E-4</v>
      </c>
      <c r="FM22" s="34">
        <f t="shared" si="164"/>
        <v>1.3896445802580122E-3</v>
      </c>
      <c r="FN22" s="34">
        <f t="shared" si="165"/>
        <v>-1.6878820382006183E-4</v>
      </c>
      <c r="FO22" s="34">
        <f t="shared" si="166"/>
        <v>1.6267752653979176E-4</v>
      </c>
      <c r="FP22" s="34">
        <f t="shared" si="167"/>
        <v>-4.0498473802004124E-4</v>
      </c>
      <c r="FQ22" s="34">
        <f t="shared" si="168"/>
        <v>3.1559518775950521E-4</v>
      </c>
      <c r="FR22" s="34">
        <f t="shared" si="169"/>
        <v>-4.3470868316742732E-4</v>
      </c>
      <c r="FS22" s="34">
        <f t="shared" si="170"/>
        <v>5.9624448828163659E-4</v>
      </c>
      <c r="FT22" s="34">
        <f t="shared" si="171"/>
        <v>-1.43656440856426E-4</v>
      </c>
      <c r="FU22" s="34">
        <f t="shared" si="172"/>
        <v>2.2799140438086672E-4</v>
      </c>
    </row>
    <row r="23" spans="1:177" x14ac:dyDescent="0.2">
      <c r="A23" s="4"/>
      <c r="B23" s="13"/>
      <c r="D23" s="91" t="s">
        <v>108</v>
      </c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BZ23" s="34">
        <f t="shared" si="74"/>
        <v>0</v>
      </c>
      <c r="CA23" s="34">
        <f t="shared" si="75"/>
        <v>2.6940899639560516E-9</v>
      </c>
      <c r="CB23" s="34">
        <f t="shared" si="76"/>
        <v>-5.5625116733249835E-4</v>
      </c>
      <c r="CC23" s="34">
        <f t="shared" si="77"/>
        <v>1.3465191120559722E-3</v>
      </c>
      <c r="CD23" s="34">
        <f t="shared" si="78"/>
        <v>2.7513632448944109E-5</v>
      </c>
      <c r="CE23" s="34">
        <f t="shared" si="173"/>
        <v>2.4162883785825464E-4</v>
      </c>
      <c r="CF23" s="34">
        <f t="shared" si="79"/>
        <v>1.3378602682382365E-4</v>
      </c>
      <c r="CG23" s="34">
        <f t="shared" si="80"/>
        <v>1.2736219476352955E-4</v>
      </c>
      <c r="CH23" s="34">
        <f t="shared" si="81"/>
        <v>-4.1406587208943513E-3</v>
      </c>
      <c r="CI23" s="34">
        <f t="shared" si="82"/>
        <v>1.1650445060982393E-2</v>
      </c>
      <c r="CJ23" s="34">
        <f t="shared" si="83"/>
        <v>0</v>
      </c>
      <c r="CK23" s="34">
        <f t="shared" si="84"/>
        <v>1.8451836766555381E-9</v>
      </c>
      <c r="CL23" s="34">
        <f t="shared" si="85"/>
        <v>4.0799888491277676E-4</v>
      </c>
      <c r="CM23" s="34">
        <f t="shared" si="86"/>
        <v>1.4316424414371788E-3</v>
      </c>
      <c r="CN23" s="34">
        <f t="shared" si="87"/>
        <v>3.976096496663453E-5</v>
      </c>
      <c r="CO23" s="34">
        <f t="shared" si="88"/>
        <v>2.5658370044945045E-5</v>
      </c>
      <c r="CP23" s="34">
        <f t="shared" si="89"/>
        <v>4.1039123251506133E-5</v>
      </c>
      <c r="CQ23" s="34">
        <f t="shared" si="90"/>
        <v>1.5332850439836571E-4</v>
      </c>
      <c r="CR23" s="34">
        <f t="shared" si="91"/>
        <v>3.2868618110433868E-3</v>
      </c>
      <c r="CS23" s="34">
        <f t="shared" si="92"/>
        <v>9.974842648200968E-3</v>
      </c>
      <c r="CT23" s="34">
        <f t="shared" si="93"/>
        <v>0</v>
      </c>
      <c r="CU23" s="34">
        <f t="shared" si="94"/>
        <v>1.2930488424571096E-9</v>
      </c>
      <c r="CV23" s="34">
        <f t="shared" si="95"/>
        <v>2.827113303931796E-5</v>
      </c>
      <c r="CW23" s="34">
        <f t="shared" si="96"/>
        <v>3.4485256956584278E-5</v>
      </c>
      <c r="CX23" s="34">
        <f t="shared" si="97"/>
        <v>2.3705380972359019E-4</v>
      </c>
      <c r="CY23" s="34">
        <f t="shared" si="98"/>
        <v>2.2076194727160605E-4</v>
      </c>
      <c r="CZ23" s="34">
        <f t="shared" si="99"/>
        <v>8.1034166164145849E-6</v>
      </c>
      <c r="DA23" s="34">
        <f t="shared" si="100"/>
        <v>1.0240243390481906E-4</v>
      </c>
      <c r="DB23" s="34">
        <f t="shared" si="101"/>
        <v>7.4799903097716523E-4</v>
      </c>
      <c r="DC23" s="34">
        <f t="shared" si="102"/>
        <v>1.0509941382726411E-3</v>
      </c>
      <c r="DD23" s="34">
        <f t="shared" si="103"/>
        <v>0</v>
      </c>
      <c r="DE23" s="34">
        <f t="shared" si="104"/>
        <v>1.1625740481472762E-9</v>
      </c>
      <c r="DF23" s="34">
        <f t="shared" si="105"/>
        <v>0</v>
      </c>
      <c r="DG23" s="34">
        <f t="shared" si="106"/>
        <v>1.3838425452431238E-9</v>
      </c>
      <c r="DH23" s="34">
        <f t="shared" si="107"/>
        <v>0</v>
      </c>
      <c r="DI23" s="34">
        <f t="shared" si="108"/>
        <v>1.837325199487962E-9</v>
      </c>
      <c r="DJ23" s="34">
        <f t="shared" si="109"/>
        <v>0</v>
      </c>
      <c r="DK23" s="34">
        <f t="shared" si="110"/>
        <v>1.259310476950696E-9</v>
      </c>
      <c r="DL23" s="34">
        <f t="shared" si="111"/>
        <v>0</v>
      </c>
      <c r="DM23" s="34">
        <f t="shared" si="112"/>
        <v>1.3278552114002184E-9</v>
      </c>
      <c r="DN23" s="34">
        <f t="shared" si="113"/>
        <v>0</v>
      </c>
      <c r="DO23" s="34">
        <f t="shared" si="114"/>
        <v>2.0536151836669945E-9</v>
      </c>
      <c r="DP23" s="34">
        <f t="shared" si="115"/>
        <v>0</v>
      </c>
      <c r="DQ23" s="34">
        <f t="shared" si="116"/>
        <v>1.5330185786892622E-9</v>
      </c>
      <c r="DR23" s="34">
        <f t="shared" si="117"/>
        <v>1.8456122464666188E-3</v>
      </c>
      <c r="DS23" s="34">
        <f t="shared" si="118"/>
        <v>5.7943878940582812E-3</v>
      </c>
      <c r="DT23" s="34">
        <f t="shared" si="119"/>
        <v>2.0917078590133994E-3</v>
      </c>
      <c r="DU23" s="34">
        <f t="shared" si="120"/>
        <v>6.7970661859877938E-3</v>
      </c>
      <c r="DV23" s="34">
        <f t="shared" si="121"/>
        <v>2.8158410565035327E-3</v>
      </c>
      <c r="DW23" s="34">
        <f t="shared" si="122"/>
        <v>9.6865350028100695E-3</v>
      </c>
      <c r="DX23" s="34">
        <f t="shared" si="123"/>
        <v>2.1120959786839802E-3</v>
      </c>
      <c r="DY23" s="34">
        <f t="shared" si="124"/>
        <v>5.8036947146435534E-3</v>
      </c>
      <c r="DZ23" s="34">
        <f t="shared" si="125"/>
        <v>2.1701431915242225E-3</v>
      </c>
      <c r="EA23" s="34">
        <f t="shared" si="126"/>
        <v>7.2207338006810588E-3</v>
      </c>
      <c r="EB23" s="34">
        <f t="shared" si="127"/>
        <v>1.300967578131121E-3</v>
      </c>
      <c r="EC23" s="34">
        <f t="shared" si="128"/>
        <v>3.129612492205322E-3</v>
      </c>
      <c r="ED23" s="34">
        <f t="shared" si="129"/>
        <v>1.3113978373718329E-3</v>
      </c>
      <c r="EE23" s="34">
        <f t="shared" si="130"/>
        <v>6.1424481853198376E-3</v>
      </c>
      <c r="EF23" s="34">
        <f t="shared" si="131"/>
        <v>2.1985982780209641E-4</v>
      </c>
      <c r="EG23" s="34">
        <f t="shared" si="132"/>
        <v>2.1518812632519502E-4</v>
      </c>
      <c r="EH23" s="34">
        <f t="shared" si="133"/>
        <v>2.2979467918332299E-4</v>
      </c>
      <c r="EI23" s="34">
        <f t="shared" si="134"/>
        <v>2.7385932612070758E-4</v>
      </c>
      <c r="EJ23" s="34">
        <f t="shared" si="135"/>
        <v>9.5784908140222143E-4</v>
      </c>
      <c r="EK23" s="34">
        <f t="shared" si="136"/>
        <v>1.9146632238019776E-3</v>
      </c>
      <c r="EL23" s="34">
        <f t="shared" si="137"/>
        <v>1.3593199734632653E-4</v>
      </c>
      <c r="EM23" s="34">
        <f t="shared" si="138"/>
        <v>2.0344812972663057E-4</v>
      </c>
      <c r="EN23" s="34">
        <f t="shared" si="139"/>
        <v>3.8377662998668175E-4</v>
      </c>
      <c r="EO23" s="34">
        <f t="shared" si="140"/>
        <v>4.2957871777239074E-4</v>
      </c>
      <c r="EP23" s="34">
        <f t="shared" si="141"/>
        <v>4.4012462042393669E-4</v>
      </c>
      <c r="EQ23" s="34">
        <f t="shared" si="142"/>
        <v>8.3308236912705983E-4</v>
      </c>
      <c r="ER23" s="34">
        <f t="shared" si="143"/>
        <v>1.1265040241224307E-4</v>
      </c>
      <c r="ES23" s="34">
        <f t="shared" si="144"/>
        <v>2.7935587751777075E-4</v>
      </c>
      <c r="ET23" s="34">
        <f t="shared" si="145"/>
        <v>2.0077769734019009E-4</v>
      </c>
      <c r="EU23" s="34">
        <f t="shared" si="146"/>
        <v>3.2093147940844051E-4</v>
      </c>
      <c r="EV23" s="34">
        <f t="shared" si="147"/>
        <v>2.2054846388144689E-4</v>
      </c>
      <c r="EW23" s="34">
        <f t="shared" si="148"/>
        <v>4.3086582869447237E-4</v>
      </c>
      <c r="EX23" s="34">
        <f t="shared" si="149"/>
        <v>7.79855455033169E-4</v>
      </c>
      <c r="EY23" s="34">
        <f t="shared" si="150"/>
        <v>2.5330058275600652E-3</v>
      </c>
      <c r="EZ23" s="34">
        <f t="shared" si="151"/>
        <v>1.3602432584270511E-4</v>
      </c>
      <c r="FA23" s="34">
        <f t="shared" si="152"/>
        <v>3.5673025963605423E-4</v>
      </c>
      <c r="FB23" s="34">
        <f t="shared" si="153"/>
        <v>3.3379994934414406E-4</v>
      </c>
      <c r="FC23" s="34">
        <f t="shared" si="154"/>
        <v>5.8988461415854091E-4</v>
      </c>
      <c r="FD23" s="34">
        <f t="shared" si="155"/>
        <v>3.8767469823343999E-4</v>
      </c>
      <c r="FE23" s="34">
        <f t="shared" si="156"/>
        <v>1.2630055188238029E-3</v>
      </c>
      <c r="FF23" s="34">
        <f t="shared" si="157"/>
        <v>1.426074178845292E-4</v>
      </c>
      <c r="FG23" s="34">
        <f t="shared" si="158"/>
        <v>4.8955901130864584E-4</v>
      </c>
      <c r="FH23" s="34">
        <f t="shared" si="159"/>
        <v>-2.2100158931998728E-4</v>
      </c>
      <c r="FI23" s="34">
        <f t="shared" si="160"/>
        <v>1.5920818633311415E-4</v>
      </c>
      <c r="FJ23" s="34">
        <f t="shared" si="161"/>
        <v>-2.3468935210957839E-4</v>
      </c>
      <c r="FK23" s="34">
        <f t="shared" si="162"/>
        <v>2.0730267454307447E-4</v>
      </c>
      <c r="FL23" s="34">
        <f t="shared" si="163"/>
        <v>-8.6313074885615443E-4</v>
      </c>
      <c r="FM23" s="34">
        <f t="shared" si="164"/>
        <v>1.3882549356777543E-3</v>
      </c>
      <c r="FN23" s="34">
        <f t="shared" si="165"/>
        <v>-1.5190938343805565E-4</v>
      </c>
      <c r="FO23" s="34">
        <f t="shared" si="166"/>
        <v>1.6251484901325198E-4</v>
      </c>
      <c r="FP23" s="34">
        <f t="shared" si="167"/>
        <v>-3.6448626421803712E-4</v>
      </c>
      <c r="FQ23" s="34">
        <f t="shared" si="168"/>
        <v>3.152795925717457E-4</v>
      </c>
      <c r="FR23" s="34">
        <f t="shared" si="169"/>
        <v>-3.912378148506846E-4</v>
      </c>
      <c r="FS23" s="34">
        <f t="shared" si="170"/>
        <v>5.9564824379335492E-4</v>
      </c>
      <c r="FT23" s="34">
        <f t="shared" si="171"/>
        <v>-1.2929079677078342E-4</v>
      </c>
      <c r="FU23" s="34">
        <f t="shared" si="172"/>
        <v>2.2776341297648585E-4</v>
      </c>
    </row>
    <row r="24" spans="1:177" x14ac:dyDescent="0.2">
      <c r="B24" s="13"/>
      <c r="D24" s="20" t="s">
        <v>56</v>
      </c>
      <c r="E24" s="20" t="s">
        <v>57</v>
      </c>
      <c r="F24" s="20" t="s">
        <v>66</v>
      </c>
      <c r="G24" s="20" t="s">
        <v>113</v>
      </c>
      <c r="H24" s="20" t="s">
        <v>114</v>
      </c>
      <c r="I24" s="16"/>
      <c r="J24" s="16"/>
      <c r="K24" s="16"/>
      <c r="L24" s="16"/>
      <c r="M24" s="20" t="s">
        <v>50</v>
      </c>
      <c r="N24" s="20" t="s">
        <v>51</v>
      </c>
      <c r="O24" s="20" t="s">
        <v>69</v>
      </c>
      <c r="W24" s="13"/>
      <c r="BZ24" s="34">
        <f t="shared" si="74"/>
        <v>0</v>
      </c>
      <c r="CA24" s="34">
        <f t="shared" si="75"/>
        <v>2.6913958739920957E-9</v>
      </c>
      <c r="CB24" s="34">
        <f t="shared" si="76"/>
        <v>-5.0062605059924853E-4</v>
      </c>
      <c r="CC24" s="34">
        <f t="shared" si="77"/>
        <v>1.3451725929439161E-3</v>
      </c>
      <c r="CD24" s="34">
        <f t="shared" si="78"/>
        <v>2.4762269204049699E-5</v>
      </c>
      <c r="CE24" s="34">
        <f t="shared" si="173"/>
        <v>2.4138720902039639E-4</v>
      </c>
      <c r="CF24" s="34">
        <f t="shared" si="79"/>
        <v>1.2040742414144129E-4</v>
      </c>
      <c r="CG24" s="34">
        <f t="shared" si="80"/>
        <v>1.2723483256876601E-4</v>
      </c>
      <c r="CH24" s="34">
        <f t="shared" si="81"/>
        <v>-3.7265928488049165E-3</v>
      </c>
      <c r="CI24" s="34">
        <f t="shared" si="82"/>
        <v>1.163879461592141E-2</v>
      </c>
      <c r="CJ24" s="34">
        <f t="shared" si="83"/>
        <v>0</v>
      </c>
      <c r="CK24" s="34">
        <f t="shared" si="84"/>
        <v>1.8433384929788826E-9</v>
      </c>
      <c r="CL24" s="34">
        <f t="shared" si="85"/>
        <v>3.6719899642149908E-4</v>
      </c>
      <c r="CM24" s="34">
        <f t="shared" si="86"/>
        <v>1.4302107989957416E-3</v>
      </c>
      <c r="CN24" s="34">
        <f t="shared" si="87"/>
        <v>3.5784868469971077E-5</v>
      </c>
      <c r="CO24" s="34">
        <f t="shared" si="88"/>
        <v>2.56327116749001E-5</v>
      </c>
      <c r="CP24" s="34">
        <f t="shared" si="89"/>
        <v>3.6935210926355522E-5</v>
      </c>
      <c r="CQ24" s="34">
        <f t="shared" si="90"/>
        <v>1.5317517589396733E-4</v>
      </c>
      <c r="CR24" s="34">
        <f t="shared" si="91"/>
        <v>2.9581756299390484E-3</v>
      </c>
      <c r="CS24" s="34">
        <f t="shared" si="92"/>
        <v>9.9648678055527674E-3</v>
      </c>
      <c r="CT24" s="34">
        <f t="shared" si="93"/>
        <v>0</v>
      </c>
      <c r="CU24" s="34">
        <f t="shared" si="94"/>
        <v>1.2917557936146525E-9</v>
      </c>
      <c r="CV24" s="34">
        <f t="shared" si="95"/>
        <v>2.5444019735386166E-5</v>
      </c>
      <c r="CW24" s="34">
        <f t="shared" si="96"/>
        <v>3.4450771699627693E-5</v>
      </c>
      <c r="CX24" s="34">
        <f t="shared" si="97"/>
        <v>2.1334842875123116E-4</v>
      </c>
      <c r="CY24" s="34">
        <f t="shared" si="98"/>
        <v>2.2054118532433445E-4</v>
      </c>
      <c r="CZ24" s="34">
        <f t="shared" si="99"/>
        <v>7.2930749547731269E-6</v>
      </c>
      <c r="DA24" s="34">
        <f t="shared" si="100"/>
        <v>1.0230003147091423E-4</v>
      </c>
      <c r="DB24" s="34">
        <f t="shared" si="101"/>
        <v>6.7319912787944876E-4</v>
      </c>
      <c r="DC24" s="34">
        <f t="shared" si="102"/>
        <v>1.0499431441343685E-3</v>
      </c>
      <c r="DD24" s="34">
        <f t="shared" si="103"/>
        <v>0</v>
      </c>
      <c r="DE24" s="34">
        <f t="shared" si="104"/>
        <v>1.1614114740991288E-9</v>
      </c>
      <c r="DF24" s="34">
        <f t="shared" si="105"/>
        <v>0</v>
      </c>
      <c r="DG24" s="34">
        <f t="shared" si="106"/>
        <v>1.3824587026978806E-9</v>
      </c>
      <c r="DH24" s="34">
        <f t="shared" si="107"/>
        <v>0</v>
      </c>
      <c r="DI24" s="34">
        <f t="shared" si="108"/>
        <v>1.8354878742884741E-9</v>
      </c>
      <c r="DJ24" s="34">
        <f t="shared" si="109"/>
        <v>0</v>
      </c>
      <c r="DK24" s="34">
        <f t="shared" si="110"/>
        <v>1.2580511664737452E-9</v>
      </c>
      <c r="DL24" s="34">
        <f t="shared" si="111"/>
        <v>0</v>
      </c>
      <c r="DM24" s="34">
        <f t="shared" si="112"/>
        <v>1.3265273561888183E-9</v>
      </c>
      <c r="DN24" s="34">
        <f t="shared" si="113"/>
        <v>0</v>
      </c>
      <c r="DO24" s="34">
        <f t="shared" si="114"/>
        <v>2.0515615684833276E-9</v>
      </c>
      <c r="DP24" s="34">
        <f t="shared" si="115"/>
        <v>0</v>
      </c>
      <c r="DQ24" s="34">
        <f t="shared" si="116"/>
        <v>1.5314855601105731E-9</v>
      </c>
      <c r="DR24" s="34">
        <f t="shared" si="117"/>
        <v>1.6610510218199568E-3</v>
      </c>
      <c r="DS24" s="34">
        <f t="shared" si="118"/>
        <v>5.7885935061642232E-3</v>
      </c>
      <c r="DT24" s="34">
        <f t="shared" si="119"/>
        <v>1.8825370731120595E-3</v>
      </c>
      <c r="DU24" s="34">
        <f t="shared" si="120"/>
        <v>6.7902691198018063E-3</v>
      </c>
      <c r="DV24" s="34">
        <f t="shared" si="121"/>
        <v>2.5342569508531795E-3</v>
      </c>
      <c r="DW24" s="34">
        <f t="shared" si="122"/>
        <v>9.67684846780726E-3</v>
      </c>
      <c r="DX24" s="34">
        <f t="shared" si="123"/>
        <v>1.9008863808155823E-3</v>
      </c>
      <c r="DY24" s="34">
        <f t="shared" si="124"/>
        <v>5.7978910199289095E-3</v>
      </c>
      <c r="DZ24" s="34">
        <f t="shared" si="125"/>
        <v>1.9531288723718004E-3</v>
      </c>
      <c r="EA24" s="34">
        <f t="shared" si="126"/>
        <v>7.2135130668803775E-3</v>
      </c>
      <c r="EB24" s="34">
        <f t="shared" si="127"/>
        <v>1.1708708203180089E-3</v>
      </c>
      <c r="EC24" s="34">
        <f t="shared" si="128"/>
        <v>3.1264828797131169E-3</v>
      </c>
      <c r="ED24" s="34">
        <f t="shared" si="129"/>
        <v>1.1802580536346497E-3</v>
      </c>
      <c r="EE24" s="34">
        <f t="shared" si="130"/>
        <v>6.1363057371345174E-3</v>
      </c>
      <c r="EF24" s="34">
        <f t="shared" si="131"/>
        <v>1.9787384502188677E-4</v>
      </c>
      <c r="EG24" s="34">
        <f t="shared" si="132"/>
        <v>2.1497293819886982E-4</v>
      </c>
      <c r="EH24" s="34">
        <f t="shared" si="133"/>
        <v>2.0681521126499069E-4</v>
      </c>
      <c r="EI24" s="34">
        <f t="shared" si="134"/>
        <v>2.7358546679458689E-4</v>
      </c>
      <c r="EJ24" s="34">
        <f t="shared" si="135"/>
        <v>8.6206417326199932E-4</v>
      </c>
      <c r="EK24" s="34">
        <f t="shared" si="136"/>
        <v>1.9127485605781756E-3</v>
      </c>
      <c r="EL24" s="34">
        <f t="shared" si="137"/>
        <v>1.2233879761169389E-4</v>
      </c>
      <c r="EM24" s="34">
        <f t="shared" si="138"/>
        <v>2.0324468159690394E-4</v>
      </c>
      <c r="EN24" s="34">
        <f t="shared" si="139"/>
        <v>3.453989669880136E-4</v>
      </c>
      <c r="EO24" s="34">
        <f t="shared" si="140"/>
        <v>4.2914913905461833E-4</v>
      </c>
      <c r="EP24" s="34">
        <f t="shared" si="141"/>
        <v>3.9611215838154302E-4</v>
      </c>
      <c r="EQ24" s="34">
        <f t="shared" si="142"/>
        <v>8.322492867579328E-4</v>
      </c>
      <c r="ER24" s="34">
        <f t="shared" si="143"/>
        <v>1.0138536217101877E-4</v>
      </c>
      <c r="ES24" s="34">
        <f t="shared" si="144"/>
        <v>2.7907652164025297E-4</v>
      </c>
      <c r="ET24" s="34">
        <f t="shared" si="145"/>
        <v>1.8069992760617109E-4</v>
      </c>
      <c r="EU24" s="34">
        <f t="shared" si="146"/>
        <v>3.206105479290321E-4</v>
      </c>
      <c r="EV24" s="34">
        <f t="shared" si="147"/>
        <v>1.984936174933022E-4</v>
      </c>
      <c r="EW24" s="34">
        <f t="shared" si="148"/>
        <v>4.3043496286577788E-4</v>
      </c>
      <c r="EX24" s="34">
        <f t="shared" si="149"/>
        <v>7.0186990952985208E-4</v>
      </c>
      <c r="EY24" s="34">
        <f t="shared" si="150"/>
        <v>2.5304728217325051E-3</v>
      </c>
      <c r="EZ24" s="34">
        <f t="shared" si="151"/>
        <v>1.2242189325843461E-4</v>
      </c>
      <c r="FA24" s="34">
        <f t="shared" si="152"/>
        <v>3.5637352937641819E-4</v>
      </c>
      <c r="FB24" s="34">
        <f t="shared" si="153"/>
        <v>3.0041995440972964E-4</v>
      </c>
      <c r="FC24" s="34">
        <f t="shared" si="154"/>
        <v>5.8929472954438234E-4</v>
      </c>
      <c r="FD24" s="34">
        <f t="shared" si="155"/>
        <v>3.4890722841009598E-4</v>
      </c>
      <c r="FE24" s="34">
        <f t="shared" si="156"/>
        <v>1.2617425133049792E-3</v>
      </c>
      <c r="FF24" s="34">
        <f t="shared" si="157"/>
        <v>1.2834667609607628E-4</v>
      </c>
      <c r="FG24" s="34">
        <f t="shared" si="158"/>
        <v>4.8906945229733724E-4</v>
      </c>
      <c r="FH24" s="34">
        <f t="shared" si="159"/>
        <v>-1.9890143038798857E-4</v>
      </c>
      <c r="FI24" s="34">
        <f t="shared" si="160"/>
        <v>1.5904897814678103E-4</v>
      </c>
      <c r="FJ24" s="34">
        <f t="shared" si="161"/>
        <v>-2.1122041689862055E-4</v>
      </c>
      <c r="FK24" s="34">
        <f t="shared" si="162"/>
        <v>2.0709537186853141E-4</v>
      </c>
      <c r="FL24" s="34">
        <f t="shared" si="163"/>
        <v>-7.7681767397053895E-4</v>
      </c>
      <c r="FM24" s="34">
        <f t="shared" si="164"/>
        <v>1.3868666807420765E-3</v>
      </c>
      <c r="FN24" s="34">
        <f t="shared" si="165"/>
        <v>-1.3671844509425009E-4</v>
      </c>
      <c r="FO24" s="34">
        <f t="shared" si="166"/>
        <v>1.6235233416423873E-4</v>
      </c>
      <c r="FP24" s="34">
        <f t="shared" si="167"/>
        <v>-3.2803763779623341E-4</v>
      </c>
      <c r="FQ24" s="34">
        <f t="shared" si="168"/>
        <v>3.1496431297917398E-4</v>
      </c>
      <c r="FR24" s="34">
        <f t="shared" si="169"/>
        <v>-3.5211403336561615E-4</v>
      </c>
      <c r="FS24" s="34">
        <f t="shared" si="170"/>
        <v>5.9505259554956159E-4</v>
      </c>
      <c r="FT24" s="34">
        <f t="shared" si="171"/>
        <v>-1.1636171709370507E-4</v>
      </c>
      <c r="FU24" s="34">
        <f t="shared" si="172"/>
        <v>2.2753564956350935E-4</v>
      </c>
    </row>
    <row r="25" spans="1:177" x14ac:dyDescent="0.2">
      <c r="B25" s="13"/>
      <c r="D25" s="15">
        <f t="shared" ref="D25:D31" si="174">(($S$7-$U$7)*($S$7*(1-$S$7))*($M$5)*IF($L$7&gt;0,1,0)*(B4))</f>
        <v>0</v>
      </c>
      <c r="E25" s="15">
        <f>(($S$8-$U$8)*($S$8*(1-$S$8))*($N$6)*IF($L$8&gt;0,1,0)*(B4))</f>
        <v>0</v>
      </c>
      <c r="F25" s="15">
        <f>(($S$9-$U$9)*($S$9*(1-$S$9))*($O$7)*IF($L$9&gt;0,1,0)*(B4))</f>
        <v>-3.2790724001603538E-6</v>
      </c>
      <c r="G25" s="15">
        <f>(($S$9-$U$9)*($S$9*(1-$S$9))*($O$8)*IF($L$10&gt;0,1,0)*(B4))</f>
        <v>-4.2076301513139332E-6</v>
      </c>
      <c r="H25" s="15">
        <f>(($S$9-$U$9)*($S$9*(1-$S$9))*($O$9)*IF($L$11&gt;0,1,0)*(B4))</f>
        <v>0</v>
      </c>
      <c r="I25" s="15"/>
      <c r="J25" s="16"/>
      <c r="K25" s="16"/>
      <c r="L25" s="16"/>
      <c r="M25" s="17">
        <f>(($S$7-$U$7)*($S$7*(1-$S$7))*(L7))</f>
        <v>0</v>
      </c>
      <c r="N25" s="17">
        <f>(($S$8-$U$8)*($S$8*(1-$S$8))*(L7))</f>
        <v>0</v>
      </c>
      <c r="O25" s="17">
        <f>(($S$9-$U$9)*($S$9*(1-$S$9))*(L7))</f>
        <v>0</v>
      </c>
      <c r="W25" s="13"/>
      <c r="BZ25" s="34">
        <f t="shared" si="74"/>
        <v>0</v>
      </c>
      <c r="CA25" s="34">
        <f t="shared" si="75"/>
        <v>2.6887044781181034E-9</v>
      </c>
      <c r="CB25" s="34">
        <f t="shared" si="76"/>
        <v>-4.5056344553932371E-4</v>
      </c>
      <c r="CC25" s="34">
        <f t="shared" si="77"/>
        <v>1.3438274203509723E-3</v>
      </c>
      <c r="CD25" s="34">
        <f t="shared" si="78"/>
        <v>2.2286042283644728E-5</v>
      </c>
      <c r="CE25" s="34">
        <f t="shared" si="173"/>
        <v>2.4114582181137599E-4</v>
      </c>
      <c r="CF25" s="34">
        <f t="shared" si="79"/>
        <v>1.0836668172729716E-4</v>
      </c>
      <c r="CG25" s="34">
        <f t="shared" si="80"/>
        <v>1.2710759773619724E-4</v>
      </c>
      <c r="CH25" s="34">
        <f t="shared" si="81"/>
        <v>-3.3539335639244249E-3</v>
      </c>
      <c r="CI25" s="34">
        <f t="shared" si="82"/>
        <v>1.1627155821305489E-2</v>
      </c>
      <c r="CJ25" s="34">
        <f t="shared" si="83"/>
        <v>0</v>
      </c>
      <c r="CK25" s="34">
        <f t="shared" si="84"/>
        <v>1.8414951544859037E-9</v>
      </c>
      <c r="CL25" s="34">
        <f t="shared" si="85"/>
        <v>3.3047909677934919E-4</v>
      </c>
      <c r="CM25" s="34">
        <f t="shared" si="86"/>
        <v>1.4287805881967458E-3</v>
      </c>
      <c r="CN25" s="34">
        <f t="shared" si="87"/>
        <v>3.2206381622973968E-5</v>
      </c>
      <c r="CO25" s="34">
        <f t="shared" si="88"/>
        <v>2.5607078963225201E-5</v>
      </c>
      <c r="CP25" s="34">
        <f t="shared" si="89"/>
        <v>3.3241689833719968E-5</v>
      </c>
      <c r="CQ25" s="34">
        <f t="shared" si="90"/>
        <v>1.5302200071807336E-4</v>
      </c>
      <c r="CR25" s="34">
        <f t="shared" si="91"/>
        <v>2.6623580669451435E-3</v>
      </c>
      <c r="CS25" s="34">
        <f t="shared" si="92"/>
        <v>9.9549029377472148E-3</v>
      </c>
      <c r="CT25" s="34">
        <f t="shared" si="93"/>
        <v>0</v>
      </c>
      <c r="CU25" s="34">
        <f t="shared" si="94"/>
        <v>1.2904640378210378E-9</v>
      </c>
      <c r="CV25" s="34">
        <f t="shared" si="95"/>
        <v>2.2899617761847548E-5</v>
      </c>
      <c r="CW25" s="34">
        <f t="shared" si="96"/>
        <v>3.4416320927928062E-5</v>
      </c>
      <c r="CX25" s="34">
        <f t="shared" si="97"/>
        <v>1.9201358587610806E-4</v>
      </c>
      <c r="CY25" s="34">
        <f t="shared" si="98"/>
        <v>2.2032064413901012E-4</v>
      </c>
      <c r="CZ25" s="34">
        <f t="shared" si="99"/>
        <v>6.5637674592958139E-6</v>
      </c>
      <c r="DA25" s="34">
        <f t="shared" si="100"/>
        <v>1.0219773143944331E-4</v>
      </c>
      <c r="DB25" s="34">
        <f t="shared" si="101"/>
        <v>6.0587921509150388E-4</v>
      </c>
      <c r="DC25" s="34">
        <f t="shared" si="102"/>
        <v>1.0488932009902342E-3</v>
      </c>
      <c r="DD25" s="34">
        <f t="shared" si="103"/>
        <v>0</v>
      </c>
      <c r="DE25" s="34">
        <f t="shared" si="104"/>
        <v>1.1602500626250296E-9</v>
      </c>
      <c r="DF25" s="34">
        <f t="shared" si="105"/>
        <v>0</v>
      </c>
      <c r="DG25" s="34">
        <f t="shared" si="106"/>
        <v>1.3810762439951826E-9</v>
      </c>
      <c r="DH25" s="34">
        <f t="shared" si="107"/>
        <v>0</v>
      </c>
      <c r="DI25" s="34">
        <f t="shared" si="108"/>
        <v>1.8336523864141856E-9</v>
      </c>
      <c r="DJ25" s="34">
        <f t="shared" si="109"/>
        <v>0</v>
      </c>
      <c r="DK25" s="34">
        <f t="shared" si="110"/>
        <v>1.2567931153072714E-9</v>
      </c>
      <c r="DL25" s="34">
        <f t="shared" si="111"/>
        <v>0</v>
      </c>
      <c r="DM25" s="34">
        <f t="shared" si="112"/>
        <v>1.3252008288326295E-9</v>
      </c>
      <c r="DN25" s="34">
        <f t="shared" si="113"/>
        <v>0</v>
      </c>
      <c r="DO25" s="34">
        <f t="shared" si="114"/>
        <v>2.0495100069148443E-9</v>
      </c>
      <c r="DP25" s="34">
        <f t="shared" si="115"/>
        <v>0</v>
      </c>
      <c r="DQ25" s="34">
        <f t="shared" si="116"/>
        <v>1.5299540745504624E-9</v>
      </c>
      <c r="DR25" s="34">
        <f t="shared" si="117"/>
        <v>1.4949459196379612E-3</v>
      </c>
      <c r="DS25" s="34">
        <f t="shared" si="118"/>
        <v>5.7828049126580593E-3</v>
      </c>
      <c r="DT25" s="34">
        <f t="shared" si="119"/>
        <v>1.6942833658008536E-3</v>
      </c>
      <c r="DU25" s="34">
        <f t="shared" si="120"/>
        <v>6.7834788506820048E-3</v>
      </c>
      <c r="DV25" s="34">
        <f t="shared" si="121"/>
        <v>2.2808312557678618E-3</v>
      </c>
      <c r="DW25" s="34">
        <f t="shared" si="122"/>
        <v>9.6671716193394534E-3</v>
      </c>
      <c r="DX25" s="34">
        <f t="shared" si="123"/>
        <v>1.710797742734024E-3</v>
      </c>
      <c r="DY25" s="34">
        <f t="shared" si="124"/>
        <v>5.7920931289089806E-3</v>
      </c>
      <c r="DZ25" s="34">
        <f t="shared" si="125"/>
        <v>1.7578159851346204E-3</v>
      </c>
      <c r="EA25" s="34">
        <f t="shared" si="126"/>
        <v>7.206299553813497E-3</v>
      </c>
      <c r="EB25" s="34">
        <f t="shared" si="127"/>
        <v>1.053783738286208E-3</v>
      </c>
      <c r="EC25" s="34">
        <f t="shared" si="128"/>
        <v>3.1233563968334037E-3</v>
      </c>
      <c r="ED25" s="34">
        <f t="shared" si="129"/>
        <v>1.0622322482711848E-3</v>
      </c>
      <c r="EE25" s="34">
        <f t="shared" si="130"/>
        <v>6.1301694313973826E-3</v>
      </c>
      <c r="EF25" s="34">
        <f t="shared" si="131"/>
        <v>1.780864605196981E-4</v>
      </c>
      <c r="EG25" s="34">
        <f t="shared" si="132"/>
        <v>2.1475796526067094E-4</v>
      </c>
      <c r="EH25" s="34">
        <f t="shared" si="133"/>
        <v>1.8613369013849163E-4</v>
      </c>
      <c r="EI25" s="34">
        <f t="shared" si="134"/>
        <v>2.7331188132779231E-4</v>
      </c>
      <c r="EJ25" s="34">
        <f t="shared" si="135"/>
        <v>7.7585775593579944E-4</v>
      </c>
      <c r="EK25" s="34">
        <f t="shared" si="136"/>
        <v>1.9108358120175975E-3</v>
      </c>
      <c r="EL25" s="34">
        <f t="shared" si="137"/>
        <v>1.1010491785052451E-4</v>
      </c>
      <c r="EM25" s="34">
        <f t="shared" si="138"/>
        <v>2.0304143691530704E-4</v>
      </c>
      <c r="EN25" s="34">
        <f t="shared" si="139"/>
        <v>3.1085907028921225E-4</v>
      </c>
      <c r="EO25" s="34">
        <f t="shared" si="140"/>
        <v>4.2871998991556373E-4</v>
      </c>
      <c r="EP25" s="34">
        <f t="shared" si="141"/>
        <v>3.5650094254338871E-4</v>
      </c>
      <c r="EQ25" s="34">
        <f t="shared" si="142"/>
        <v>8.3141703747117491E-4</v>
      </c>
      <c r="ER25" s="34">
        <f t="shared" si="143"/>
        <v>9.1246825953916888E-5</v>
      </c>
      <c r="ES25" s="34">
        <f t="shared" si="144"/>
        <v>2.7879744511861271E-4</v>
      </c>
      <c r="ET25" s="34">
        <f t="shared" si="145"/>
        <v>1.6262993484555399E-4</v>
      </c>
      <c r="EU25" s="34">
        <f t="shared" si="146"/>
        <v>3.2028993738110305E-4</v>
      </c>
      <c r="EV25" s="34">
        <f t="shared" si="147"/>
        <v>1.78644255743972E-4</v>
      </c>
      <c r="EW25" s="34">
        <f t="shared" si="148"/>
        <v>4.3000452790291208E-4</v>
      </c>
      <c r="EX25" s="34">
        <f t="shared" si="149"/>
        <v>6.3168291857686686E-4</v>
      </c>
      <c r="EY25" s="34">
        <f t="shared" si="150"/>
        <v>2.5279423489107727E-3</v>
      </c>
      <c r="EZ25" s="34">
        <f t="shared" si="151"/>
        <v>1.1017970393259115E-4</v>
      </c>
      <c r="FA25" s="34">
        <f t="shared" si="152"/>
        <v>3.5601715584704179E-4</v>
      </c>
      <c r="FB25" s="34">
        <f t="shared" si="153"/>
        <v>2.703779589687567E-4</v>
      </c>
      <c r="FC25" s="34">
        <f t="shared" si="154"/>
        <v>5.8870543481483791E-4</v>
      </c>
      <c r="FD25" s="34">
        <f t="shared" si="155"/>
        <v>3.140165055690864E-4</v>
      </c>
      <c r="FE25" s="34">
        <f t="shared" si="156"/>
        <v>1.2604807707916742E-3</v>
      </c>
      <c r="FF25" s="34">
        <f t="shared" si="157"/>
        <v>1.1551200848646865E-4</v>
      </c>
      <c r="FG25" s="34">
        <f t="shared" si="158"/>
        <v>4.8858038284503992E-4</v>
      </c>
      <c r="FH25" s="34">
        <f t="shared" si="159"/>
        <v>-1.7901128734918971E-4</v>
      </c>
      <c r="FI25" s="34">
        <f t="shared" si="160"/>
        <v>1.5888992916863426E-4</v>
      </c>
      <c r="FJ25" s="34">
        <f t="shared" si="161"/>
        <v>-1.9009837520875849E-4</v>
      </c>
      <c r="FK25" s="34">
        <f t="shared" si="162"/>
        <v>2.0688827649666287E-4</v>
      </c>
      <c r="FL25" s="34">
        <f t="shared" si="163"/>
        <v>-6.9913590657348504E-4</v>
      </c>
      <c r="FM25" s="34">
        <f t="shared" si="164"/>
        <v>1.3854798140613344E-3</v>
      </c>
      <c r="FN25" s="34">
        <f t="shared" si="165"/>
        <v>-1.2304660058482509E-4</v>
      </c>
      <c r="FO25" s="34">
        <f t="shared" si="166"/>
        <v>1.6218998183007449E-4</v>
      </c>
      <c r="FP25" s="34">
        <f t="shared" si="167"/>
        <v>-2.9523387401661006E-4</v>
      </c>
      <c r="FQ25" s="34">
        <f t="shared" si="168"/>
        <v>3.1464934866619478E-4</v>
      </c>
      <c r="FR25" s="34">
        <f t="shared" si="169"/>
        <v>-3.1690263002905452E-4</v>
      </c>
      <c r="FS25" s="34">
        <f t="shared" si="170"/>
        <v>5.94457542954012E-4</v>
      </c>
      <c r="FT25" s="34">
        <f t="shared" si="171"/>
        <v>-1.0472554538433457E-4</v>
      </c>
      <c r="FU25" s="34">
        <f t="shared" si="172"/>
        <v>2.2730811391394583E-4</v>
      </c>
    </row>
    <row r="26" spans="1:177" x14ac:dyDescent="0.2">
      <c r="B26" s="13"/>
      <c r="D26" s="15">
        <f t="shared" si="174"/>
        <v>0</v>
      </c>
      <c r="E26" s="15">
        <f t="shared" ref="E26:E31" si="175">(($S$8-$U$8)*($S$8*(1-$S$8))*($N$6)*IF($L$8&gt;0,1,0)*(B5))</f>
        <v>0</v>
      </c>
      <c r="F26" s="15">
        <f t="shared" ref="F26:F31" si="176">(($S$9-$U$9)*($S$9*(1-$S$9))*($O$7)*IF($L$9&gt;0,1,0)*(B5))</f>
        <v>-5.1593093832590817E-6</v>
      </c>
      <c r="G26" s="15">
        <f t="shared" ref="G26:G31" si="177">(($S$9-$U$9)*($S$9*(1-$S$9))*($O$8)*IF($L$10&gt;0,1,0)*(B5))</f>
        <v>-6.6203069257928605E-6</v>
      </c>
      <c r="H26" s="15">
        <f t="shared" ref="H26:H31" si="178">(($S$9-$U$9)*($S$9*(1-$S$9))*($O$9)*IF($L$11&gt;0,1,0)*(B5))</f>
        <v>0</v>
      </c>
      <c r="I26" s="15"/>
      <c r="J26" s="16"/>
      <c r="K26" s="16"/>
      <c r="L26" s="16"/>
      <c r="M26" s="17">
        <f t="shared" ref="M26:M29" si="179">(($S$7-$U$7)*($S$7*(1-$S$7))*(L8))</f>
        <v>0</v>
      </c>
      <c r="N26" s="17">
        <f t="shared" ref="N26:N29" si="180">(($S$8-$U$8)*($S$8*(1-$S$8))*(L8))</f>
        <v>0</v>
      </c>
      <c r="O26" s="17">
        <f t="shared" ref="O26:O29" si="181">(($S$9-$U$9)*($S$9*(1-$S$9))*(L8))</f>
        <v>0</v>
      </c>
      <c r="W26" s="13"/>
      <c r="BZ26" s="34">
        <f t="shared" si="74"/>
        <v>0</v>
      </c>
      <c r="CA26" s="34">
        <f t="shared" si="75"/>
        <v>2.6860157736399853E-9</v>
      </c>
      <c r="CB26" s="34">
        <f t="shared" si="76"/>
        <v>-4.0550710098539137E-4</v>
      </c>
      <c r="CC26" s="34">
        <f t="shared" si="77"/>
        <v>1.3424835929306213E-3</v>
      </c>
      <c r="CD26" s="34">
        <f t="shared" si="78"/>
        <v>2.0057438055280256E-5</v>
      </c>
      <c r="CE26" s="34">
        <f t="shared" si="173"/>
        <v>2.409046759895646E-4</v>
      </c>
      <c r="CF26" s="34">
        <f t="shared" si="79"/>
        <v>9.7530013554567445E-5</v>
      </c>
      <c r="CG26" s="34">
        <f t="shared" si="80"/>
        <v>1.2698049013846105E-4</v>
      </c>
      <c r="CH26" s="34">
        <f t="shared" si="81"/>
        <v>-3.0185402075319826E-3</v>
      </c>
      <c r="CI26" s="34">
        <f t="shared" si="82"/>
        <v>1.1615528665484183E-2</v>
      </c>
      <c r="CJ26" s="34">
        <f t="shared" si="83"/>
        <v>0</v>
      </c>
      <c r="CK26" s="34">
        <f t="shared" si="84"/>
        <v>1.8396536593314177E-9</v>
      </c>
      <c r="CL26" s="34">
        <f t="shared" si="85"/>
        <v>2.974311871014143E-4</v>
      </c>
      <c r="CM26" s="34">
        <f t="shared" si="86"/>
        <v>1.4273518076085491E-3</v>
      </c>
      <c r="CN26" s="34">
        <f t="shared" si="87"/>
        <v>2.8985743460676572E-5</v>
      </c>
      <c r="CO26" s="34">
        <f t="shared" si="88"/>
        <v>2.5581471884261976E-5</v>
      </c>
      <c r="CP26" s="34">
        <f t="shared" si="89"/>
        <v>2.9917520850347971E-5</v>
      </c>
      <c r="CQ26" s="34">
        <f t="shared" si="90"/>
        <v>1.5286897871735528E-4</v>
      </c>
      <c r="CR26" s="34">
        <f t="shared" si="91"/>
        <v>2.3961222602506293E-3</v>
      </c>
      <c r="CS26" s="34">
        <f t="shared" si="92"/>
        <v>9.9449480348094681E-3</v>
      </c>
      <c r="CT26" s="34">
        <f t="shared" si="93"/>
        <v>0</v>
      </c>
      <c r="CU26" s="34">
        <f t="shared" si="94"/>
        <v>1.2891735737832168E-9</v>
      </c>
      <c r="CV26" s="34">
        <f t="shared" si="95"/>
        <v>2.0609655985662795E-5</v>
      </c>
      <c r="CW26" s="34">
        <f t="shared" si="96"/>
        <v>3.4381904607000135E-5</v>
      </c>
      <c r="CX26" s="34">
        <f t="shared" si="97"/>
        <v>1.7281222728849727E-4</v>
      </c>
      <c r="CY26" s="34">
        <f t="shared" si="98"/>
        <v>2.2010032349487112E-4</v>
      </c>
      <c r="CZ26" s="34">
        <f t="shared" si="99"/>
        <v>5.9073907133662325E-6</v>
      </c>
      <c r="DA26" s="34">
        <f t="shared" si="100"/>
        <v>1.0209553370800388E-4</v>
      </c>
      <c r="DB26" s="34">
        <f t="shared" si="101"/>
        <v>5.4529129358235346E-4</v>
      </c>
      <c r="DC26" s="34">
        <f t="shared" si="102"/>
        <v>1.047844307789244E-3</v>
      </c>
      <c r="DD26" s="34">
        <f t="shared" si="103"/>
        <v>0</v>
      </c>
      <c r="DE26" s="34">
        <f t="shared" si="104"/>
        <v>1.1590898125624045E-9</v>
      </c>
      <c r="DF26" s="34">
        <f t="shared" si="105"/>
        <v>0</v>
      </c>
      <c r="DG26" s="34">
        <f t="shared" si="106"/>
        <v>1.3796951677511874E-9</v>
      </c>
      <c r="DH26" s="34">
        <f t="shared" si="107"/>
        <v>0</v>
      </c>
      <c r="DI26" s="34">
        <f t="shared" si="108"/>
        <v>1.8318187340277714E-9</v>
      </c>
      <c r="DJ26" s="34">
        <f t="shared" si="109"/>
        <v>0</v>
      </c>
      <c r="DK26" s="34">
        <f t="shared" si="110"/>
        <v>1.2555363221919642E-9</v>
      </c>
      <c r="DL26" s="34">
        <f t="shared" si="111"/>
        <v>0</v>
      </c>
      <c r="DM26" s="34">
        <f t="shared" si="112"/>
        <v>1.3238756280037968E-9</v>
      </c>
      <c r="DN26" s="34">
        <f t="shared" si="113"/>
        <v>0</v>
      </c>
      <c r="DO26" s="34">
        <f t="shared" si="114"/>
        <v>2.0474604969079294E-9</v>
      </c>
      <c r="DP26" s="34">
        <f t="shared" si="115"/>
        <v>0</v>
      </c>
      <c r="DQ26" s="34">
        <f t="shared" si="116"/>
        <v>1.5284241204759119E-9</v>
      </c>
      <c r="DR26" s="34">
        <f t="shared" si="117"/>
        <v>1.345451327674165E-3</v>
      </c>
      <c r="DS26" s="34">
        <f t="shared" si="118"/>
        <v>5.7770221077454009E-3</v>
      </c>
      <c r="DT26" s="34">
        <f t="shared" si="119"/>
        <v>1.5248550292207683E-3</v>
      </c>
      <c r="DU26" s="34">
        <f t="shared" si="120"/>
        <v>6.7766953718313228E-3</v>
      </c>
      <c r="DV26" s="34">
        <f t="shared" si="121"/>
        <v>2.0527481301910759E-3</v>
      </c>
      <c r="DW26" s="34">
        <f t="shared" si="122"/>
        <v>9.6575044477201135E-3</v>
      </c>
      <c r="DX26" s="34">
        <f t="shared" si="123"/>
        <v>1.5397179684606217E-3</v>
      </c>
      <c r="DY26" s="34">
        <f t="shared" si="124"/>
        <v>5.7863010357800714E-3</v>
      </c>
      <c r="DZ26" s="34">
        <f t="shared" si="125"/>
        <v>1.5820343866211584E-3</v>
      </c>
      <c r="EA26" s="34">
        <f t="shared" si="126"/>
        <v>7.1990932542596838E-3</v>
      </c>
      <c r="EB26" s="34">
        <f t="shared" si="127"/>
        <v>9.4840536445758719E-4</v>
      </c>
      <c r="EC26" s="34">
        <f t="shared" si="128"/>
        <v>3.1202330404365704E-3</v>
      </c>
      <c r="ED26" s="34">
        <f t="shared" si="129"/>
        <v>9.5600902344406642E-4</v>
      </c>
      <c r="EE26" s="34">
        <f t="shared" si="130"/>
        <v>6.1240392619659849E-3</v>
      </c>
      <c r="EF26" s="34">
        <f t="shared" si="131"/>
        <v>1.602778144677283E-4</v>
      </c>
      <c r="EG26" s="34">
        <f t="shared" si="132"/>
        <v>2.1454320729541028E-4</v>
      </c>
      <c r="EH26" s="34">
        <f t="shared" si="133"/>
        <v>1.6752032112464247E-4</v>
      </c>
      <c r="EI26" s="34">
        <f t="shared" si="134"/>
        <v>2.7303856944646451E-4</v>
      </c>
      <c r="EJ26" s="34">
        <f t="shared" si="135"/>
        <v>6.982719803422195E-4</v>
      </c>
      <c r="EK26" s="34">
        <f t="shared" si="136"/>
        <v>1.9089249762055799E-3</v>
      </c>
      <c r="EL26" s="34">
        <f t="shared" si="137"/>
        <v>9.9094426065472058E-5</v>
      </c>
      <c r="EM26" s="34">
        <f t="shared" si="138"/>
        <v>2.0283839547839173E-4</v>
      </c>
      <c r="EN26" s="34">
        <f t="shared" si="139"/>
        <v>2.7977316326029101E-4</v>
      </c>
      <c r="EO26" s="34">
        <f t="shared" si="140"/>
        <v>4.2829126992564815E-4</v>
      </c>
      <c r="EP26" s="34">
        <f t="shared" si="141"/>
        <v>3.2085084828904986E-4</v>
      </c>
      <c r="EQ26" s="34">
        <f t="shared" si="142"/>
        <v>8.3058562043370377E-4</v>
      </c>
      <c r="ER26" s="34">
        <f t="shared" si="143"/>
        <v>8.2122143358525203E-5</v>
      </c>
      <c r="ES26" s="34">
        <f t="shared" si="144"/>
        <v>2.7851864767349411E-4</v>
      </c>
      <c r="ET26" s="34">
        <f t="shared" si="145"/>
        <v>1.4636694136099858E-4</v>
      </c>
      <c r="EU26" s="34">
        <f t="shared" si="146"/>
        <v>3.1996964744372192E-4</v>
      </c>
      <c r="EV26" s="34">
        <f t="shared" si="147"/>
        <v>1.6077983016957479E-4</v>
      </c>
      <c r="EW26" s="34">
        <f t="shared" si="148"/>
        <v>4.2957452337500919E-4</v>
      </c>
      <c r="EX26" s="34">
        <f t="shared" si="149"/>
        <v>5.6851462671918024E-4</v>
      </c>
      <c r="EY26" s="34">
        <f t="shared" si="150"/>
        <v>2.525414406561862E-3</v>
      </c>
      <c r="EZ26" s="34">
        <f t="shared" si="151"/>
        <v>9.9161733539332041E-5</v>
      </c>
      <c r="FA26" s="34">
        <f t="shared" si="152"/>
        <v>3.5566113869119477E-4</v>
      </c>
      <c r="FB26" s="34">
        <f t="shared" si="153"/>
        <v>2.4334016307188104E-4</v>
      </c>
      <c r="FC26" s="34">
        <f t="shared" si="154"/>
        <v>5.8811672938002303E-4</v>
      </c>
      <c r="FD26" s="34">
        <f t="shared" si="155"/>
        <v>2.8261485501217775E-4</v>
      </c>
      <c r="FE26" s="34">
        <f t="shared" si="156"/>
        <v>1.2592202900208824E-3</v>
      </c>
      <c r="FF26" s="34">
        <f t="shared" si="157"/>
        <v>1.0396080763782179E-4</v>
      </c>
      <c r="FG26" s="34">
        <f t="shared" si="158"/>
        <v>4.8809180246219491E-4</v>
      </c>
      <c r="FH26" s="34">
        <f t="shared" si="159"/>
        <v>-1.6111015861427076E-4</v>
      </c>
      <c r="FI26" s="34">
        <f t="shared" si="160"/>
        <v>1.5873103923946564E-4</v>
      </c>
      <c r="FJ26" s="34">
        <f t="shared" si="161"/>
        <v>-1.7108853768788265E-4</v>
      </c>
      <c r="FK26" s="34">
        <f t="shared" si="162"/>
        <v>2.066813882201662E-4</v>
      </c>
      <c r="FL26" s="34">
        <f t="shared" si="163"/>
        <v>-6.2922231591613659E-4</v>
      </c>
      <c r="FM26" s="34">
        <f t="shared" si="164"/>
        <v>1.3840943342472731E-3</v>
      </c>
      <c r="FN26" s="34">
        <f t="shared" si="165"/>
        <v>-1.1074194052634259E-4</v>
      </c>
      <c r="FO26" s="34">
        <f t="shared" si="166"/>
        <v>1.6202779184824442E-4</v>
      </c>
      <c r="FP26" s="34">
        <f t="shared" si="167"/>
        <v>-2.6571048661494908E-4</v>
      </c>
      <c r="FQ26" s="34">
        <f t="shared" si="168"/>
        <v>3.1433469931752857E-4</v>
      </c>
      <c r="FR26" s="34">
        <f t="shared" si="169"/>
        <v>-2.8521236702614908E-4</v>
      </c>
      <c r="FS26" s="34">
        <f t="shared" si="170"/>
        <v>5.9386308541105803E-4</v>
      </c>
      <c r="FT26" s="34">
        <f t="shared" si="171"/>
        <v>-9.4252990845901114E-5</v>
      </c>
      <c r="FU26" s="34">
        <f t="shared" si="172"/>
        <v>2.270808058000319E-4</v>
      </c>
    </row>
    <row r="27" spans="1:177" x14ac:dyDescent="0.2">
      <c r="A27" s="4"/>
      <c r="B27" s="12"/>
      <c r="D27" s="15">
        <f t="shared" si="174"/>
        <v>0</v>
      </c>
      <c r="E27" s="15">
        <f t="shared" si="175"/>
        <v>0</v>
      </c>
      <c r="F27" s="15">
        <f t="shared" si="176"/>
        <v>-1.3879104053240966E-5</v>
      </c>
      <c r="G27" s="15">
        <f t="shared" si="177"/>
        <v>-1.7809346534948213E-5</v>
      </c>
      <c r="H27" s="15">
        <f t="shared" si="178"/>
        <v>0</v>
      </c>
      <c r="I27" s="15"/>
      <c r="J27" s="19"/>
      <c r="K27" s="16"/>
      <c r="L27" s="16"/>
      <c r="M27" s="17">
        <f t="shared" si="179"/>
        <v>8.6420132241261688E-4</v>
      </c>
      <c r="N27" s="17">
        <f t="shared" si="180"/>
        <v>6.3590770327843969E-6</v>
      </c>
      <c r="O27" s="17">
        <f t="shared" si="181"/>
        <v>-2.1903091103874018E-5</v>
      </c>
      <c r="P27" s="4"/>
      <c r="Q27" s="3"/>
      <c r="S27" s="3"/>
      <c r="T27" s="4"/>
      <c r="U27" s="3"/>
      <c r="V27" s="4"/>
      <c r="W27" s="13"/>
      <c r="BZ27" s="34">
        <f t="shared" si="74"/>
        <v>0</v>
      </c>
      <c r="CA27" s="34">
        <f t="shared" si="75"/>
        <v>2.6833297578663454E-9</v>
      </c>
      <c r="CB27" s="34">
        <f t="shared" si="76"/>
        <v>-3.6495639088685223E-4</v>
      </c>
      <c r="CC27" s="34">
        <f t="shared" si="77"/>
        <v>1.3411411093376907E-3</v>
      </c>
      <c r="CD27" s="34">
        <f t="shared" si="78"/>
        <v>1.8051694249752231E-5</v>
      </c>
      <c r="CE27" s="34">
        <f t="shared" si="173"/>
        <v>2.4066377131357503E-4</v>
      </c>
      <c r="CF27" s="34">
        <f t="shared" si="79"/>
        <v>8.7777012199110696E-5</v>
      </c>
      <c r="CG27" s="34">
        <f t="shared" si="80"/>
        <v>1.2685350964832258E-4</v>
      </c>
      <c r="CH27" s="34">
        <f t="shared" si="81"/>
        <v>-2.7166861867787846E-3</v>
      </c>
      <c r="CI27" s="34">
        <f t="shared" si="82"/>
        <v>1.1603913136818699E-2</v>
      </c>
      <c r="CJ27" s="34">
        <f t="shared" si="83"/>
        <v>0</v>
      </c>
      <c r="CK27" s="34">
        <f t="shared" si="84"/>
        <v>1.8378140056720864E-9</v>
      </c>
      <c r="CL27" s="34">
        <f t="shared" si="85"/>
        <v>2.6768806839127287E-4</v>
      </c>
      <c r="CM27" s="34">
        <f t="shared" si="86"/>
        <v>1.4259244558009407E-3</v>
      </c>
      <c r="CN27" s="34">
        <f t="shared" si="87"/>
        <v>2.6087169114608916E-5</v>
      </c>
      <c r="CO27" s="34">
        <f t="shared" si="88"/>
        <v>2.5555890412377716E-5</v>
      </c>
      <c r="CP27" s="34">
        <f t="shared" si="89"/>
        <v>2.6925768765313175E-5</v>
      </c>
      <c r="CQ27" s="34">
        <f t="shared" si="90"/>
        <v>1.5271610973863791E-4</v>
      </c>
      <c r="CR27" s="34">
        <f t="shared" si="91"/>
        <v>2.1565100342255663E-3</v>
      </c>
      <c r="CS27" s="34">
        <f t="shared" si="92"/>
        <v>9.9350030867746582E-3</v>
      </c>
      <c r="CT27" s="34">
        <f t="shared" si="93"/>
        <v>0</v>
      </c>
      <c r="CU27" s="34">
        <f t="shared" si="94"/>
        <v>1.2878844002094335E-9</v>
      </c>
      <c r="CV27" s="34">
        <f t="shared" si="95"/>
        <v>1.8548690387096517E-5</v>
      </c>
      <c r="CW27" s="34">
        <f t="shared" si="96"/>
        <v>3.4347522702393137E-5</v>
      </c>
      <c r="CX27" s="34">
        <f t="shared" si="97"/>
        <v>1.5553100455964754E-4</v>
      </c>
      <c r="CY27" s="34">
        <f t="shared" si="98"/>
        <v>2.1988022317137625E-4</v>
      </c>
      <c r="CZ27" s="34">
        <f t="shared" si="99"/>
        <v>5.3166516420296097E-6</v>
      </c>
      <c r="DA27" s="34">
        <f t="shared" si="100"/>
        <v>1.0199343817429588E-4</v>
      </c>
      <c r="DB27" s="34">
        <f t="shared" si="101"/>
        <v>4.9076216422411808E-4</v>
      </c>
      <c r="DC27" s="34">
        <f t="shared" si="102"/>
        <v>1.0467964634814548E-3</v>
      </c>
      <c r="DD27" s="34">
        <f t="shared" si="103"/>
        <v>0</v>
      </c>
      <c r="DE27" s="34">
        <f t="shared" si="104"/>
        <v>1.1579307227498421E-9</v>
      </c>
      <c r="DF27" s="34">
        <f t="shared" si="105"/>
        <v>0</v>
      </c>
      <c r="DG27" s="34">
        <f t="shared" si="106"/>
        <v>1.3783154725834362E-9</v>
      </c>
      <c r="DH27" s="34">
        <f t="shared" si="107"/>
        <v>0</v>
      </c>
      <c r="DI27" s="34">
        <f t="shared" si="108"/>
        <v>1.8299869152937436E-9</v>
      </c>
      <c r="DJ27" s="34">
        <f t="shared" si="109"/>
        <v>0</v>
      </c>
      <c r="DK27" s="34">
        <f t="shared" si="110"/>
        <v>1.2542807858697724E-9</v>
      </c>
      <c r="DL27" s="34">
        <f t="shared" si="111"/>
        <v>0</v>
      </c>
      <c r="DM27" s="34">
        <f t="shared" si="112"/>
        <v>1.3225517523757931E-9</v>
      </c>
      <c r="DN27" s="34">
        <f t="shared" si="113"/>
        <v>0</v>
      </c>
      <c r="DO27" s="34">
        <f t="shared" si="114"/>
        <v>2.0454130364110215E-9</v>
      </c>
      <c r="DP27" s="34">
        <f t="shared" si="115"/>
        <v>0</v>
      </c>
      <c r="DQ27" s="34">
        <f t="shared" si="116"/>
        <v>1.5268956963554361E-9</v>
      </c>
      <c r="DR27" s="34">
        <f t="shared" si="117"/>
        <v>1.2109061949067486E-3</v>
      </c>
      <c r="DS27" s="34">
        <f t="shared" si="118"/>
        <v>5.7712450856376553E-3</v>
      </c>
      <c r="DT27" s="34">
        <f t="shared" si="119"/>
        <v>1.3723695262986915E-3</v>
      </c>
      <c r="DU27" s="34">
        <f t="shared" si="120"/>
        <v>6.7699186764594915E-3</v>
      </c>
      <c r="DV27" s="34">
        <f t="shared" si="121"/>
        <v>1.8474733171719682E-3</v>
      </c>
      <c r="DW27" s="34">
        <f t="shared" si="122"/>
        <v>9.6478469432723941E-3</v>
      </c>
      <c r="DX27" s="34">
        <f t="shared" si="123"/>
        <v>1.3857461716145596E-3</v>
      </c>
      <c r="DY27" s="34">
        <f t="shared" si="124"/>
        <v>5.7805147347442911E-3</v>
      </c>
      <c r="DZ27" s="34">
        <f t="shared" si="125"/>
        <v>1.4238309479590427E-3</v>
      </c>
      <c r="EA27" s="34">
        <f t="shared" si="126"/>
        <v>7.1918941610054242E-3</v>
      </c>
      <c r="EB27" s="34">
        <f t="shared" si="127"/>
        <v>8.535648280118285E-4</v>
      </c>
      <c r="EC27" s="34">
        <f t="shared" si="128"/>
        <v>3.1171128073961339E-3</v>
      </c>
      <c r="ED27" s="34">
        <f t="shared" si="129"/>
        <v>8.6040812109965982E-4</v>
      </c>
      <c r="EE27" s="34">
        <f t="shared" si="130"/>
        <v>6.1179152227040191E-3</v>
      </c>
      <c r="EF27" s="34">
        <f t="shared" si="131"/>
        <v>1.4425003302095547E-4</v>
      </c>
      <c r="EG27" s="34">
        <f t="shared" si="132"/>
        <v>2.1432866408811486E-4</v>
      </c>
      <c r="EH27" s="34">
        <f t="shared" si="133"/>
        <v>1.5076828901217822E-4</v>
      </c>
      <c r="EI27" s="34">
        <f t="shared" si="134"/>
        <v>2.7276553087701803E-4</v>
      </c>
      <c r="EJ27" s="34">
        <f t="shared" si="135"/>
        <v>6.284447823079976E-4</v>
      </c>
      <c r="EK27" s="34">
        <f t="shared" si="136"/>
        <v>1.9070160512293744E-3</v>
      </c>
      <c r="EL27" s="34">
        <f t="shared" si="137"/>
        <v>8.9184983458924857E-5</v>
      </c>
      <c r="EM27" s="34">
        <f t="shared" si="138"/>
        <v>2.0263555708291333E-4</v>
      </c>
      <c r="EN27" s="34">
        <f t="shared" si="139"/>
        <v>2.517958469342619E-4</v>
      </c>
      <c r="EO27" s="34">
        <f t="shared" si="140"/>
        <v>4.2786297865572253E-4</v>
      </c>
      <c r="EP27" s="34">
        <f t="shared" si="141"/>
        <v>2.8876576346014489E-4</v>
      </c>
      <c r="EQ27" s="34">
        <f t="shared" si="142"/>
        <v>8.2975503481327005E-4</v>
      </c>
      <c r="ER27" s="34">
        <f t="shared" si="143"/>
        <v>7.3909929022672688E-5</v>
      </c>
      <c r="ES27" s="34">
        <f t="shared" si="144"/>
        <v>2.7824012902582059E-4</v>
      </c>
      <c r="ET27" s="34">
        <f t="shared" si="145"/>
        <v>1.3173024722489872E-4</v>
      </c>
      <c r="EU27" s="34">
        <f t="shared" si="146"/>
        <v>3.1964967779627823E-4</v>
      </c>
      <c r="EV27" s="34">
        <f t="shared" si="147"/>
        <v>1.4470184715261733E-4</v>
      </c>
      <c r="EW27" s="34">
        <f t="shared" si="148"/>
        <v>4.2914494885163416E-4</v>
      </c>
      <c r="EX27" s="34">
        <f t="shared" si="149"/>
        <v>5.1166316404726219E-4</v>
      </c>
      <c r="EY27" s="34">
        <f t="shared" si="150"/>
        <v>2.5228889921553002E-3</v>
      </c>
      <c r="EZ27" s="34">
        <f t="shared" si="151"/>
        <v>8.9245560185398845E-5</v>
      </c>
      <c r="FA27" s="34">
        <f t="shared" si="152"/>
        <v>3.5530547755250355E-4</v>
      </c>
      <c r="FB27" s="34">
        <f t="shared" si="153"/>
        <v>2.1900614676469295E-4</v>
      </c>
      <c r="FC27" s="34">
        <f t="shared" si="154"/>
        <v>5.8752861265064303E-4</v>
      </c>
      <c r="FD27" s="34">
        <f t="shared" si="155"/>
        <v>2.5435336951095999E-4</v>
      </c>
      <c r="FE27" s="34">
        <f t="shared" si="156"/>
        <v>1.2579610697308616E-3</v>
      </c>
      <c r="FF27" s="34">
        <f t="shared" si="157"/>
        <v>9.356472687403961E-5</v>
      </c>
      <c r="FG27" s="34">
        <f t="shared" si="158"/>
        <v>4.8760371065973269E-4</v>
      </c>
      <c r="FH27" s="34">
        <f t="shared" si="159"/>
        <v>-1.4499914275284368E-4</v>
      </c>
      <c r="FI27" s="34">
        <f t="shared" si="160"/>
        <v>1.5857230820022616E-4</v>
      </c>
      <c r="FJ27" s="34">
        <f t="shared" si="161"/>
        <v>-1.539796839190944E-4</v>
      </c>
      <c r="FK27" s="34">
        <f t="shared" si="162"/>
        <v>2.0647470683194603E-4</v>
      </c>
      <c r="FL27" s="34">
        <f t="shared" si="163"/>
        <v>-5.66300084324523E-4</v>
      </c>
      <c r="FM27" s="34">
        <f t="shared" si="164"/>
        <v>1.3827102399130257E-3</v>
      </c>
      <c r="FN27" s="34">
        <f t="shared" si="165"/>
        <v>-9.9667746473708333E-5</v>
      </c>
      <c r="FO27" s="34">
        <f t="shared" si="166"/>
        <v>1.6186576405639616E-4</v>
      </c>
      <c r="FP27" s="34">
        <f t="shared" si="167"/>
        <v>-2.3913943795345418E-4</v>
      </c>
      <c r="FQ27" s="34">
        <f t="shared" si="168"/>
        <v>3.1402036461821104E-4</v>
      </c>
      <c r="FR27" s="34">
        <f t="shared" si="169"/>
        <v>-2.5669113032353416E-4</v>
      </c>
      <c r="FS27" s="34">
        <f t="shared" si="170"/>
        <v>5.9326922232564693E-4</v>
      </c>
      <c r="FT27" s="34">
        <f t="shared" si="171"/>
        <v>-8.4827691761311E-5</v>
      </c>
      <c r="FU27" s="34">
        <f t="shared" si="172"/>
        <v>2.2685372499423186E-4</v>
      </c>
    </row>
    <row r="28" spans="1:177" x14ac:dyDescent="0.2">
      <c r="A28" s="4"/>
      <c r="B28" s="12"/>
      <c r="D28" s="15">
        <f t="shared" si="174"/>
        <v>0</v>
      </c>
      <c r="E28" s="15">
        <f t="shared" si="175"/>
        <v>0</v>
      </c>
      <c r="F28" s="15">
        <f t="shared" si="176"/>
        <v>-6.1733417208682337E-6</v>
      </c>
      <c r="G28" s="15">
        <f t="shared" si="177"/>
        <v>-7.9214898572593829E-6</v>
      </c>
      <c r="H28" s="15">
        <f t="shared" si="178"/>
        <v>0</v>
      </c>
      <c r="I28" s="15"/>
      <c r="J28" s="16"/>
      <c r="K28" s="18"/>
      <c r="L28" s="19"/>
      <c r="M28" s="17">
        <f t="shared" si="179"/>
        <v>7.92202728179472E-4</v>
      </c>
      <c r="N28" s="17">
        <f>(($S$8-$U$8)*($S$8*(1-$S$8))*(L10))</f>
        <v>5.8292877405132675E-6</v>
      </c>
      <c r="O28" s="17">
        <f>(($S$9-$U$9)*($S$9*(1-$S$9))*(L10))</f>
        <v>-2.0078294348834471E-5</v>
      </c>
      <c r="P28" s="4"/>
      <c r="Q28" s="3"/>
      <c r="S28" s="3"/>
      <c r="T28" s="4"/>
      <c r="U28" s="3"/>
      <c r="V28" s="4"/>
      <c r="W28" s="13"/>
      <c r="BZ28" s="34">
        <f t="shared" si="74"/>
        <v>0</v>
      </c>
      <c r="CA28" s="34">
        <f t="shared" si="75"/>
        <v>2.6806464281084789E-9</v>
      </c>
      <c r="CB28" s="34">
        <f t="shared" si="76"/>
        <v>-3.28460751798167E-4</v>
      </c>
      <c r="CC28" s="34">
        <f t="shared" si="77"/>
        <v>1.339799968228353E-3</v>
      </c>
      <c r="CD28" s="34">
        <f t="shared" si="78"/>
        <v>1.6246524824777008E-5</v>
      </c>
      <c r="CE28" s="34">
        <f t="shared" si="173"/>
        <v>2.4042310754226144E-4</v>
      </c>
      <c r="CF28" s="34">
        <f t="shared" si="79"/>
        <v>7.8999310979199633E-5</v>
      </c>
      <c r="CG28" s="34">
        <f t="shared" si="80"/>
        <v>1.2672665613867426E-4</v>
      </c>
      <c r="CH28" s="34">
        <f t="shared" si="81"/>
        <v>-2.445017568100906E-3</v>
      </c>
      <c r="CI28" s="34">
        <f>$B$17*CI27+$C$17*AD28^2</f>
        <v>1.1592309223681881E-2</v>
      </c>
      <c r="CJ28" s="34">
        <f t="shared" si="83"/>
        <v>0</v>
      </c>
      <c r="CK28" s="34">
        <f t="shared" si="84"/>
        <v>1.8359761916664144E-9</v>
      </c>
      <c r="CL28" s="34">
        <f t="shared" si="85"/>
        <v>2.4091926155214558E-4</v>
      </c>
      <c r="CM28" s="34">
        <f t="shared" si="86"/>
        <v>1.4244985313451397E-3</v>
      </c>
      <c r="CN28" s="34">
        <f t="shared" si="87"/>
        <v>2.3478452203148026E-5</v>
      </c>
      <c r="CO28" s="34">
        <f t="shared" si="88"/>
        <v>2.5530334521965339E-5</v>
      </c>
      <c r="CP28" s="34">
        <f t="shared" si="89"/>
        <v>2.4233191888781859E-5</v>
      </c>
      <c r="CQ28" s="34">
        <f t="shared" si="90"/>
        <v>1.5256339362889929E-4</v>
      </c>
      <c r="CR28" s="34">
        <f t="shared" si="91"/>
        <v>1.9408590308030097E-3</v>
      </c>
      <c r="CS28" s="34">
        <f t="shared" si="92"/>
        <v>9.9250680836878834E-3</v>
      </c>
      <c r="CT28" s="34">
        <f t="shared" si="93"/>
        <v>0</v>
      </c>
      <c r="CU28" s="34">
        <f t="shared" si="94"/>
        <v>1.2865965158092241E-9</v>
      </c>
      <c r="CV28" s="34">
        <f t="shared" si="95"/>
        <v>1.6693821348386867E-5</v>
      </c>
      <c r="CW28" s="34">
        <f t="shared" si="96"/>
        <v>3.4313175179690742E-5</v>
      </c>
      <c r="CX28" s="34">
        <f t="shared" si="97"/>
        <v>1.3997790410368279E-4</v>
      </c>
      <c r="CY28" s="34">
        <f t="shared" si="98"/>
        <v>2.1966034294820488E-4</v>
      </c>
      <c r="CZ28" s="34">
        <f t="shared" si="99"/>
        <v>4.784986477826649E-6</v>
      </c>
      <c r="DA28" s="34">
        <f t="shared" si="100"/>
        <v>1.0189144473612158E-4</v>
      </c>
      <c r="DB28" s="34">
        <f t="shared" si="101"/>
        <v>4.416859478017063E-4</v>
      </c>
      <c r="DC28" s="34">
        <f t="shared" si="102"/>
        <v>1.0457496670179733E-3</v>
      </c>
      <c r="DD28" s="34">
        <f t="shared" si="103"/>
        <v>0</v>
      </c>
      <c r="DE28" s="34">
        <f t="shared" si="104"/>
        <v>1.1567727920270923E-9</v>
      </c>
      <c r="DF28" s="34">
        <f t="shared" si="105"/>
        <v>0</v>
      </c>
      <c r="DG28" s="34">
        <f t="shared" si="106"/>
        <v>1.3769371571108527E-9</v>
      </c>
      <c r="DH28" s="34">
        <f t="shared" si="107"/>
        <v>0</v>
      </c>
      <c r="DI28" s="34">
        <f t="shared" si="108"/>
        <v>1.8281569283784499E-9</v>
      </c>
      <c r="DJ28" s="34">
        <f t="shared" si="109"/>
        <v>0</v>
      </c>
      <c r="DK28" s="34">
        <f t="shared" si="110"/>
        <v>1.2530265050839026E-9</v>
      </c>
      <c r="DL28" s="34">
        <f t="shared" si="111"/>
        <v>0</v>
      </c>
      <c r="DM28" s="34">
        <f t="shared" si="112"/>
        <v>1.3212292006234172E-9</v>
      </c>
      <c r="DN28" s="34">
        <f t="shared" si="113"/>
        <v>0</v>
      </c>
      <c r="DO28" s="34">
        <f t="shared" si="114"/>
        <v>2.0433676233746106E-9</v>
      </c>
      <c r="DP28" s="34">
        <f t="shared" si="115"/>
        <v>0</v>
      </c>
      <c r="DQ28" s="34">
        <f t="shared" si="116"/>
        <v>1.5253688006590807E-9</v>
      </c>
      <c r="DR28" s="34">
        <f t="shared" si="117"/>
        <v>1.0898155754160738E-3</v>
      </c>
      <c r="DS28" s="34">
        <f t="shared" si="118"/>
        <v>5.7654738405520179E-3</v>
      </c>
      <c r="DT28" s="34">
        <f t="shared" si="119"/>
        <v>1.2351325736688224E-3</v>
      </c>
      <c r="DU28" s="34">
        <f t="shared" si="120"/>
        <v>6.7631487577830317E-3</v>
      </c>
      <c r="DV28" s="34">
        <f t="shared" si="121"/>
        <v>1.6627259854547715E-3</v>
      </c>
      <c r="DW28" s="34">
        <f t="shared" si="122"/>
        <v>9.6381990963291218E-3</v>
      </c>
      <c r="DX28" s="34">
        <f t="shared" si="123"/>
        <v>1.2471715544531037E-3</v>
      </c>
      <c r="DY28" s="34">
        <f t="shared" si="124"/>
        <v>5.7747342200095472E-3</v>
      </c>
      <c r="DZ28" s="34">
        <f t="shared" si="125"/>
        <v>1.2814478531631385E-3</v>
      </c>
      <c r="EA28" s="34">
        <f t="shared" si="126"/>
        <v>7.1847022668444184E-3</v>
      </c>
      <c r="EB28" s="34">
        <f t="shared" si="127"/>
        <v>7.682083452106457E-4</v>
      </c>
      <c r="EC28" s="34">
        <f t="shared" si="128"/>
        <v>3.1139956945887377E-3</v>
      </c>
      <c r="ED28" s="34">
        <f t="shared" si="129"/>
        <v>7.7436730898969384E-4</v>
      </c>
      <c r="EE28" s="34">
        <f t="shared" si="130"/>
        <v>6.1117973074813151E-3</v>
      </c>
      <c r="EF28" s="34">
        <f t="shared" si="131"/>
        <v>1.2982502971885994E-4</v>
      </c>
      <c r="EG28" s="34">
        <f t="shared" si="132"/>
        <v>2.1411433542402675E-4</v>
      </c>
      <c r="EH28" s="34">
        <f t="shared" si="133"/>
        <v>1.3569146011096041E-4</v>
      </c>
      <c r="EI28" s="34">
        <f t="shared" si="134"/>
        <v>2.72492765346141E-4</v>
      </c>
      <c r="EJ28" s="34">
        <f t="shared" si="135"/>
        <v>5.6560030407719786E-4</v>
      </c>
      <c r="EK28" s="34">
        <f t="shared" si="136"/>
        <v>1.905109035178145E-3</v>
      </c>
      <c r="EL28" s="34">
        <f t="shared" si="137"/>
        <v>8.026648511303238E-5</v>
      </c>
      <c r="EM28" s="34">
        <f t="shared" si="138"/>
        <v>2.0243292152583042E-4</v>
      </c>
      <c r="EN28" s="34">
        <f t="shared" si="139"/>
        <v>2.2661626224083572E-4</v>
      </c>
      <c r="EO28" s="34">
        <f t="shared" si="140"/>
        <v>4.2743511567706682E-4</v>
      </c>
      <c r="EP28" s="34">
        <f t="shared" si="141"/>
        <v>2.5988918711413041E-4</v>
      </c>
      <c r="EQ28" s="34">
        <f t="shared" si="142"/>
        <v>8.289252797784568E-4</v>
      </c>
      <c r="ER28" s="34">
        <f t="shared" si="143"/>
        <v>6.6518936120405425E-5</v>
      </c>
      <c r="ES28" s="34">
        <f t="shared" si="144"/>
        <v>2.7796188889679478E-4</v>
      </c>
      <c r="ET28" s="34">
        <f t="shared" si="145"/>
        <v>1.1855722250240884E-4</v>
      </c>
      <c r="EU28" s="34">
        <f t="shared" si="146"/>
        <v>3.1933002811848193E-4</v>
      </c>
      <c r="EV28" s="34">
        <f t="shared" si="147"/>
        <v>1.3023166243735559E-4</v>
      </c>
      <c r="EW28" s="34">
        <f t="shared" si="148"/>
        <v>4.2871580390278254E-4</v>
      </c>
      <c r="EX28" s="34">
        <f t="shared" si="149"/>
        <v>4.6049684764253599E-4</v>
      </c>
      <c r="EY28" s="34">
        <f t="shared" si="150"/>
        <v>2.5203661031631451E-3</v>
      </c>
      <c r="EZ28" s="34">
        <f t="shared" si="151"/>
        <v>8.0321004166858962E-5</v>
      </c>
      <c r="FA28" s="34">
        <f t="shared" si="152"/>
        <v>3.5495017207495106E-4</v>
      </c>
      <c r="FB28" s="34">
        <f t="shared" si="153"/>
        <v>1.9710553208822365E-4</v>
      </c>
      <c r="FC28" s="34">
        <f t="shared" si="154"/>
        <v>5.8694108403799239E-4</v>
      </c>
      <c r="FD28" s="34">
        <f t="shared" si="155"/>
        <v>2.28918032559864E-4</v>
      </c>
      <c r="FE28" s="34">
        <f t="shared" si="156"/>
        <v>1.2567031086611307E-3</v>
      </c>
      <c r="FF28" s="34">
        <f t="shared" si="157"/>
        <v>8.4208254186635652E-5</v>
      </c>
      <c r="FG28" s="34">
        <f t="shared" si="158"/>
        <v>4.8711610694907297E-4</v>
      </c>
      <c r="FH28" s="34">
        <f t="shared" si="159"/>
        <v>-1.3049922847755931E-4</v>
      </c>
      <c r="FI28" s="34">
        <f t="shared" si="160"/>
        <v>1.5841373589202593E-4</v>
      </c>
      <c r="FJ28" s="34">
        <f t="shared" si="161"/>
        <v>-1.3858171552718495E-4</v>
      </c>
      <c r="FK28" s="34">
        <f t="shared" si="162"/>
        <v>2.0626823212511409E-4</v>
      </c>
      <c r="FL28" s="34">
        <f t="shared" si="163"/>
        <v>-5.0967007589207067E-4</v>
      </c>
      <c r="FM28" s="34">
        <f t="shared" si="164"/>
        <v>1.3813275296731128E-3</v>
      </c>
      <c r="FN28" s="34">
        <f t="shared" si="165"/>
        <v>-8.9700971826337501E-5</v>
      </c>
      <c r="FO28" s="34">
        <f t="shared" si="166"/>
        <v>1.6170389829233976E-4</v>
      </c>
      <c r="FP28" s="34">
        <f t="shared" si="167"/>
        <v>-2.1522549415810876E-4</v>
      </c>
      <c r="FQ28" s="34">
        <f t="shared" si="168"/>
        <v>3.1370634425359283E-4</v>
      </c>
      <c r="FR28" s="34">
        <f t="shared" si="169"/>
        <v>-2.3102201729118075E-4</v>
      </c>
      <c r="FS28" s="34">
        <f t="shared" si="170"/>
        <v>5.9267595310332128E-4</v>
      </c>
      <c r="FT28" s="34">
        <f t="shared" si="171"/>
        <v>-7.6344922585179896E-5</v>
      </c>
      <c r="FU28" s="34">
        <f t="shared" si="172"/>
        <v>2.2662687126923762E-4</v>
      </c>
    </row>
    <row r="29" spans="1:177" x14ac:dyDescent="0.2">
      <c r="A29" s="4"/>
      <c r="B29" s="12"/>
      <c r="D29" s="15">
        <f t="shared" si="174"/>
        <v>0</v>
      </c>
      <c r="E29" s="15">
        <f t="shared" si="175"/>
        <v>0</v>
      </c>
      <c r="F29" s="15">
        <f t="shared" si="176"/>
        <v>-3.5596660605807479E-6</v>
      </c>
      <c r="G29" s="15">
        <f t="shared" si="177"/>
        <v>-4.5676814712526629E-6</v>
      </c>
      <c r="H29" s="15">
        <f t="shared" si="178"/>
        <v>0</v>
      </c>
      <c r="I29" s="15"/>
      <c r="J29" s="16"/>
      <c r="K29" s="18"/>
      <c r="L29" s="19"/>
      <c r="M29" s="17">
        <f t="shared" si="179"/>
        <v>0</v>
      </c>
      <c r="N29" s="17">
        <f t="shared" si="180"/>
        <v>0</v>
      </c>
      <c r="O29" s="17">
        <f t="shared" si="181"/>
        <v>0</v>
      </c>
      <c r="P29" s="4"/>
      <c r="Q29" s="3"/>
      <c r="R29" s="4"/>
      <c r="S29" s="3"/>
      <c r="T29" s="4"/>
      <c r="U29" s="3"/>
      <c r="V29" s="4"/>
      <c r="W29" s="13"/>
    </row>
    <row r="30" spans="1:177" x14ac:dyDescent="0.2">
      <c r="A30" s="4"/>
      <c r="B30" s="12"/>
      <c r="D30" s="15">
        <f t="shared" si="174"/>
        <v>0</v>
      </c>
      <c r="E30" s="15">
        <f t="shared" si="175"/>
        <v>0</v>
      </c>
      <c r="F30" s="15">
        <f t="shared" si="176"/>
        <v>-2.5928487185787402E-5</v>
      </c>
      <c r="G30" s="15">
        <f t="shared" si="177"/>
        <v>-3.3270837342762217E-5</v>
      </c>
      <c r="H30" s="15">
        <f t="shared" si="178"/>
        <v>0</v>
      </c>
      <c r="I30" s="15"/>
      <c r="J30" s="55"/>
      <c r="K30" s="55"/>
      <c r="L30" s="55"/>
      <c r="M30" s="55"/>
      <c r="N30" s="55"/>
      <c r="O30" s="55"/>
      <c r="P30" s="4"/>
      <c r="Q30" s="3"/>
      <c r="R30" s="3"/>
      <c r="S30" s="3"/>
      <c r="T30" s="4"/>
      <c r="U30" s="3"/>
      <c r="V30" s="4"/>
      <c r="W30" s="13"/>
      <c r="BZ30">
        <v>0</v>
      </c>
      <c r="CA30">
        <v>2.7375640084760658E-9</v>
      </c>
      <c r="CB30">
        <v>-3.0018624226493705E-3</v>
      </c>
      <c r="CC30">
        <v>1.3682476484477607E-3</v>
      </c>
      <c r="CD30">
        <v>1.4847993893683347E-4</v>
      </c>
      <c r="CE30">
        <v>2.4552795889537982E-4</v>
      </c>
      <c r="CF30">
        <v>7.2198904053344111E-4</v>
      </c>
      <c r="CG30">
        <v>1.2941741556142224E-4</v>
      </c>
      <c r="CH30">
        <v>-2.2345459298314295E-2</v>
      </c>
      <c r="CI30">
        <v>1.1838446194587963E-2</v>
      </c>
      <c r="CJ30">
        <v>0</v>
      </c>
      <c r="CK30">
        <v>1.8749590733125723E-9</v>
      </c>
      <c r="CL30">
        <v>2.2018048554861068E-3</v>
      </c>
      <c r="CM30">
        <v>1.4547445976637614E-3</v>
      </c>
      <c r="CN30">
        <v>2.145738357619892E-4</v>
      </c>
      <c r="CO30">
        <v>2.6072414541071283E-5</v>
      </c>
      <c r="CP30">
        <v>2.2147153872583854E-4</v>
      </c>
      <c r="CQ30">
        <v>1.5580273885808417E-4</v>
      </c>
      <c r="CR30">
        <v>1.7737862926792903E-2</v>
      </c>
      <c r="CS30">
        <v>1.0135804887461618E-2</v>
      </c>
      <c r="CT30">
        <v>0</v>
      </c>
      <c r="CU30">
        <v>1.3139145387388284E-9</v>
      </c>
      <c r="CV30">
        <v>1.5256786304543809E-4</v>
      </c>
      <c r="CW30">
        <v>3.504173933700679E-5</v>
      </c>
      <c r="CX30">
        <v>1.2792834700331691E-3</v>
      </c>
      <c r="CY30">
        <v>2.2432434305363769E-4</v>
      </c>
      <c r="CZ30">
        <v>4.3730859842577201E-5</v>
      </c>
      <c r="DA30">
        <v>1.040548835371983E-4</v>
      </c>
      <c r="DB30">
        <v>4.0366480380369532E-3</v>
      </c>
      <c r="DC30">
        <v>1.0679538413890307E-3</v>
      </c>
      <c r="DD30">
        <v>0</v>
      </c>
      <c r="DE30">
        <v>1.1813342961728289E-9</v>
      </c>
      <c r="DF30">
        <v>0</v>
      </c>
      <c r="DG30">
        <v>1.4061733631539876E-9</v>
      </c>
      <c r="DH30">
        <v>0</v>
      </c>
      <c r="DI30">
        <v>1.8669737853143208E-9</v>
      </c>
      <c r="DJ30">
        <v>0</v>
      </c>
      <c r="DK30">
        <v>1.2796317433048014E-9</v>
      </c>
      <c r="DL30">
        <v>0</v>
      </c>
      <c r="DM30">
        <v>1.3492825717886509E-9</v>
      </c>
      <c r="DN30">
        <v>0</v>
      </c>
      <c r="DO30">
        <v>2.0867540020123982E-9</v>
      </c>
      <c r="DP30">
        <v>0</v>
      </c>
      <c r="DQ30">
        <v>1.5577566233839839E-9</v>
      </c>
      <c r="DR30">
        <v>9.9600223331089942E-3</v>
      </c>
      <c r="DS30">
        <v>5.8878908878865262E-3</v>
      </c>
      <c r="DT30">
        <v>1.1288100753556558E-2</v>
      </c>
      <c r="DU30">
        <v>6.9067492188220822E-3</v>
      </c>
      <c r="DV30">
        <v>1.519595454730727E-2</v>
      </c>
      <c r="DW30">
        <v>9.8428448735236925E-3</v>
      </c>
      <c r="DX30">
        <v>1.1398127183884952E-2</v>
      </c>
      <c r="DY30">
        <v>5.8973478909593452E-3</v>
      </c>
      <c r="DZ30">
        <v>1.1711384498562179E-2</v>
      </c>
      <c r="EA30">
        <v>7.3372534815075363E-3</v>
      </c>
      <c r="EB30">
        <v>7.0207954881334553E-3</v>
      </c>
      <c r="EC30">
        <v>3.1801144853224102E-3</v>
      </c>
      <c r="ED30">
        <v>7.0770833758934601E-3</v>
      </c>
      <c r="EE30">
        <v>6.2415677653795748E-3</v>
      </c>
      <c r="EF30">
        <v>1.1864945083967207E-3</v>
      </c>
      <c r="EG30">
        <v>2.1866057836250665E-4</v>
      </c>
      <c r="EH30">
        <v>1.2401088804418646E-3</v>
      </c>
      <c r="EI30">
        <v>2.7827854474194098E-4</v>
      </c>
      <c r="EJ30">
        <v>5.1691238291133711E-3</v>
      </c>
      <c r="EK30">
        <v>1.9455597993974607E-3</v>
      </c>
      <c r="EL30">
        <v>7.3356997492052137E-4</v>
      </c>
      <c r="EM30">
        <v>2.0673113555330364E-4</v>
      </c>
      <c r="EN30">
        <v>2.0710871489450704E-3</v>
      </c>
      <c r="EO30">
        <v>4.365107521703305E-4</v>
      </c>
      <c r="EP30">
        <v>2.3751744480271651E-3</v>
      </c>
      <c r="EQ30">
        <v>8.4652566927249603E-4</v>
      </c>
      <c r="ER30">
        <v>6.0792862964997082E-4</v>
      </c>
      <c r="ES30">
        <v>2.8386379299892334E-4</v>
      </c>
      <c r="ET30">
        <v>1.0835159732641385E-3</v>
      </c>
      <c r="EU30">
        <v>3.2611029288918589E-4</v>
      </c>
      <c r="EV30">
        <v>1.1902107986103588E-3</v>
      </c>
      <c r="EW30">
        <v>4.3781863296954231E-4</v>
      </c>
      <c r="EX30">
        <v>4.2085642656509792E-3</v>
      </c>
      <c r="EY30">
        <v>2.5738804863836688E-3</v>
      </c>
      <c r="EZ30">
        <v>7.3406823444804306E-4</v>
      </c>
      <c r="FA30">
        <v>3.6248675158567019E-4</v>
      </c>
      <c r="FB30">
        <v>1.8013832302117084E-3</v>
      </c>
      <c r="FC30">
        <v>5.9940347593401852E-4</v>
      </c>
      <c r="FD30">
        <v>2.0921234456363312E-3</v>
      </c>
      <c r="FE30">
        <v>1.2833864114031065E-3</v>
      </c>
      <c r="FF30">
        <v>7.6959451787133953E-4</v>
      </c>
      <c r="FG30">
        <v>4.9745893690042301E-4</v>
      </c>
      <c r="FH30">
        <v>-1.1926561332120352E-3</v>
      </c>
      <c r="FI30">
        <v>1.6177730016123326E-4</v>
      </c>
      <c r="FJ30">
        <v>-1.2665234492398882E-3</v>
      </c>
      <c r="FK30">
        <v>2.1064788046521444E-4</v>
      </c>
      <c r="FL30">
        <v>-4.6579673230163939E-3</v>
      </c>
      <c r="FM30">
        <v>1.410656955538353E-3</v>
      </c>
      <c r="FN30">
        <v>-8.1979346124761289E-4</v>
      </c>
      <c r="FO30">
        <v>1.651373218614826E-4</v>
      </c>
      <c r="FP30">
        <v>-1.966984852139567E-3</v>
      </c>
      <c r="FQ30">
        <v>3.2036720257255991E-4</v>
      </c>
      <c r="FR30">
        <v>-2.1113521439456158E-3</v>
      </c>
      <c r="FS30">
        <v>6.052601122221717E-4</v>
      </c>
      <c r="FT30">
        <v>-6.9773010325858292E-4</v>
      </c>
      <c r="FU30">
        <v>2.3143879014957401E-4</v>
      </c>
    </row>
    <row r="31" spans="1:177" x14ac:dyDescent="0.2">
      <c r="A31" s="4"/>
      <c r="B31" s="12"/>
      <c r="D31" s="15">
        <f t="shared" si="174"/>
        <v>0</v>
      </c>
      <c r="E31" s="15">
        <f t="shared" si="175"/>
        <v>0</v>
      </c>
      <c r="F31" s="15">
        <f t="shared" si="176"/>
        <v>-9.2788502672885921E-6</v>
      </c>
      <c r="G31" s="15">
        <f t="shared" si="177"/>
        <v>-1.1906406870510573E-5</v>
      </c>
      <c r="H31" s="15">
        <f t="shared" si="178"/>
        <v>0</v>
      </c>
      <c r="I31" s="15"/>
      <c r="J31" s="55"/>
      <c r="K31" s="55"/>
      <c r="L31" s="55"/>
      <c r="M31" s="55"/>
      <c r="N31" s="55"/>
      <c r="O31" s="55"/>
      <c r="P31" s="4"/>
      <c r="Q31" s="3"/>
      <c r="R31" s="3"/>
      <c r="S31" s="3"/>
      <c r="T31" s="4"/>
      <c r="U31" s="3"/>
      <c r="V31" s="4"/>
      <c r="W31" s="13"/>
    </row>
    <row r="32" spans="1:177" x14ac:dyDescent="0.2">
      <c r="A32" s="4"/>
      <c r="B32" s="12"/>
      <c r="D32" s="12"/>
      <c r="E32" s="12"/>
      <c r="F32" s="12"/>
      <c r="G32" s="12"/>
      <c r="H32" s="12"/>
      <c r="I32" s="6"/>
      <c r="P32" s="4"/>
      <c r="Q32" s="3"/>
      <c r="R32" s="3"/>
      <c r="S32" s="3"/>
      <c r="T32" s="4"/>
      <c r="U32" s="3"/>
      <c r="V32" s="4"/>
      <c r="W32" s="13"/>
    </row>
    <row r="33" spans="1:23" x14ac:dyDescent="0.2">
      <c r="A33" s="4"/>
      <c r="B33" s="12"/>
      <c r="D33" s="12"/>
      <c r="E33" s="12"/>
      <c r="F33" s="12"/>
      <c r="G33" s="12"/>
      <c r="H33" s="12"/>
      <c r="I33" s="6"/>
      <c r="P33" s="4"/>
      <c r="Q33" s="3"/>
      <c r="R33" s="3"/>
      <c r="S33" s="3"/>
      <c r="T33" s="4"/>
      <c r="U33" s="3"/>
      <c r="V33" s="4"/>
      <c r="W33" s="13"/>
    </row>
    <row r="34" spans="1:23" x14ac:dyDescent="0.2">
      <c r="A34" s="4"/>
      <c r="B34" s="12"/>
      <c r="D34" s="88" t="s">
        <v>216</v>
      </c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4"/>
      <c r="Q34" s="3"/>
      <c r="R34" s="3"/>
      <c r="S34" s="3"/>
      <c r="T34" s="4"/>
      <c r="U34" s="3"/>
      <c r="V34" s="4"/>
      <c r="W34" s="13"/>
    </row>
    <row r="35" spans="1:23" x14ac:dyDescent="0.2">
      <c r="A35" s="4"/>
      <c r="B35" s="12"/>
      <c r="D35" s="70" t="s">
        <v>217</v>
      </c>
      <c r="E35" s="70" t="s">
        <v>218</v>
      </c>
      <c r="F35" s="70" t="s">
        <v>219</v>
      </c>
      <c r="G35" s="70" t="s">
        <v>220</v>
      </c>
      <c r="H35" s="70" t="s">
        <v>221</v>
      </c>
      <c r="I35" s="71"/>
      <c r="J35" s="71"/>
      <c r="K35" s="71"/>
      <c r="L35" s="71"/>
      <c r="M35" s="70" t="s">
        <v>222</v>
      </c>
      <c r="N35" s="70" t="s">
        <v>223</v>
      </c>
      <c r="O35" s="70" t="s">
        <v>224</v>
      </c>
      <c r="P35" s="4"/>
      <c r="Q35" s="3"/>
      <c r="R35" s="3"/>
      <c r="S35" s="3"/>
      <c r="T35" s="4"/>
      <c r="U35" s="3"/>
      <c r="V35" s="4"/>
      <c r="W35" s="13"/>
    </row>
    <row r="36" spans="1:23" x14ac:dyDescent="0.2">
      <c r="A36" s="4"/>
      <c r="B36" s="12"/>
      <c r="D36" s="63">
        <f>D4-($B$15*DD4)/(SQRT(DE4))+$B$18</f>
        <v>-0.31910574650253481</v>
      </c>
      <c r="E36" s="63">
        <f>E4-($B$15*DR4)/(SQRT(DS4))+$B$18</f>
        <v>1.1671775653252952</v>
      </c>
      <c r="F36" s="63">
        <f>F4-($B$15*EF4)/(SQRT(EG4))+$B$18</f>
        <v>-0.86977600960527279</v>
      </c>
      <c r="G36" s="63">
        <f>G4-($B$15*ET4)/(SQRT(EU4))+$B$18</f>
        <v>-1.068554095335263</v>
      </c>
      <c r="H36" s="63">
        <f>H4-($B$15*FH4)/(SQRT(FI4))+$B$18</f>
        <v>1.7684773768100812</v>
      </c>
      <c r="I36" s="64"/>
      <c r="J36" s="65"/>
      <c r="K36" s="65"/>
      <c r="L36" s="65"/>
      <c r="M36" s="66">
        <f>M5-($B$15*BZ4)/(SQRT(CA4))+$B$18</f>
        <v>0.41295280018944519</v>
      </c>
      <c r="N36" s="66">
        <f>N5-($B$15*CJ4)/(SQRT(CK4))+$B$18</f>
        <v>0.62834689242775943</v>
      </c>
      <c r="O36" s="66">
        <f>O5-($B$15*CT4)/(SQRT(CU4))+$B$18</f>
        <v>0.62603599660897691</v>
      </c>
      <c r="P36" s="4"/>
      <c r="Q36" s="3"/>
      <c r="R36" s="3"/>
      <c r="S36" s="3"/>
      <c r="T36" s="4"/>
      <c r="U36" s="3"/>
      <c r="V36" s="4"/>
      <c r="W36" s="13"/>
    </row>
    <row r="37" spans="1:23" x14ac:dyDescent="0.2">
      <c r="A37" s="4"/>
      <c r="B37" s="12"/>
      <c r="D37" s="63">
        <f>D5-($B$15*DF4)/(SQRT(DG4))+$B$18</f>
        <v>-8.082620537210787E-2</v>
      </c>
      <c r="E37" s="63">
        <f>E5-($B$15*DT4)/(SQRT(DU4))+$B$18</f>
        <v>0.50655329960583406</v>
      </c>
      <c r="F37" s="63">
        <f>F5-($B$15*EH4)/(SQRT(EI4))+$B$18</f>
        <v>-0.35525385432415763</v>
      </c>
      <c r="G37" s="63">
        <f>G5-($B$15*EV4)/(SQRT(EW4))+$B$18</f>
        <v>-0.34844119443693372</v>
      </c>
      <c r="H37" s="63">
        <f>H5-($B$15*FJ4)/(SQRT(FK4))+$B$18</f>
        <v>2.1514257068294733</v>
      </c>
      <c r="I37" s="64"/>
      <c r="J37" s="65"/>
      <c r="K37" s="65"/>
      <c r="L37" s="65"/>
      <c r="M37" s="66">
        <f>M6-($B$15*CB4)/(SQRT(CC4))+$B$18</f>
        <v>-3.3069389875988975</v>
      </c>
      <c r="N37" s="66">
        <f>N6-($B$15*CL4)/(SQRT(CM4))+$B$18</f>
        <v>3.5231047657276884</v>
      </c>
      <c r="O37" s="66">
        <f>O6-($B$15*CV4)/(SQRT(CW4))+$B$18</f>
        <v>-0.8068407482786577</v>
      </c>
      <c r="P37" s="4"/>
      <c r="Q37" s="3"/>
      <c r="R37" s="3"/>
      <c r="S37" s="3"/>
      <c r="T37" s="4"/>
      <c r="U37" s="3"/>
      <c r="V37" s="4"/>
      <c r="W37" s="13"/>
    </row>
    <row r="38" spans="1:23" x14ac:dyDescent="0.2">
      <c r="A38" s="4"/>
      <c r="B38" s="12"/>
      <c r="D38" s="63">
        <f>D6-($B$15*DH4)/(SQRT(DI4))+$B$18</f>
        <v>-0.30009827849931892</v>
      </c>
      <c r="E38" s="63">
        <f>E6-($B$15*DV4)/(SQRT(DW4))+$B$18</f>
        <v>-1.9643405598558745</v>
      </c>
      <c r="F38" s="63">
        <f>F6-($B$15*EJ4)/(SQRT(EK4))+$B$18</f>
        <v>0.28052136427206464</v>
      </c>
      <c r="G38" s="63">
        <f>G6-($B$15*EX4)/(SQRT(EY4))+$B$18</f>
        <v>-0.35613217896218335</v>
      </c>
      <c r="H38" s="63">
        <f>H6-($B$15*FL4)/(SQRT(FM4))+$B$18</f>
        <v>0.84631193468835364</v>
      </c>
      <c r="I38" s="64"/>
      <c r="J38" s="65"/>
      <c r="K38" s="65"/>
      <c r="L38" s="65"/>
      <c r="M38" s="66">
        <f>M7-($B$15*CD4)/(SQRT(CE4))+$B$18</f>
        <v>-1.0234443001415454</v>
      </c>
      <c r="N38" s="66">
        <f>N7-($B$15*CN4)/(SQRT(CO4))+$B$18</f>
        <v>-3.8955434469118884</v>
      </c>
      <c r="O38" s="66">
        <f>O7-($B$15*CX4)/(SQRT(CY4))+$B$18</f>
        <v>2.1090661962059105</v>
      </c>
      <c r="P38" s="4"/>
      <c r="Q38" s="3"/>
      <c r="R38" s="3"/>
      <c r="S38" s="3"/>
      <c r="T38" s="4"/>
      <c r="U38" s="3"/>
      <c r="V38" s="4"/>
      <c r="W38" s="13"/>
    </row>
    <row r="39" spans="1:23" x14ac:dyDescent="0.2">
      <c r="A39" s="4"/>
      <c r="B39" s="12"/>
      <c r="D39" s="63">
        <f>D7-($B$15*DJ4)/(SQRT(DK4))+$B$18</f>
        <v>-0.4746567616597705</v>
      </c>
      <c r="E39" s="63">
        <f>E7-($B$15*DX4)/(SQRT(DY4))+$B$18</f>
        <v>-0.43828943711907947</v>
      </c>
      <c r="F39" s="63">
        <f>F7-($B$15*EL4)/(SQRT(EM4))+$B$18</f>
        <v>-1.3133930824512483</v>
      </c>
      <c r="G39" s="63">
        <f>G7-($B$15*EZ4)/(SQRT(FA4))+$B$18</f>
        <v>9.5761854607553602E-3</v>
      </c>
      <c r="H39" s="63">
        <f>H7-($B$15*FN4)/(SQRT(FO4))+$B$18</f>
        <v>0.97320297912466314</v>
      </c>
      <c r="I39" s="64"/>
      <c r="J39" s="65"/>
      <c r="K39" s="65"/>
      <c r="L39" s="65"/>
      <c r="M39" s="66">
        <f>M8-($B$15*CF4)/(SQRT(CG4))+$B$18</f>
        <v>-2.1717568438004924</v>
      </c>
      <c r="N39" s="66">
        <f>N8-($B$15*CP4)/(SQRT(CQ4))+$B$18</f>
        <v>-1.3346804906106362</v>
      </c>
      <c r="O39" s="66">
        <f>O8-($B$15*CZ4)/(SQRT(DA4))+$B$18</f>
        <v>2.7083399789058604</v>
      </c>
      <c r="P39" s="4"/>
      <c r="Q39" s="3"/>
      <c r="R39" s="3"/>
      <c r="S39" s="3"/>
      <c r="T39" s="4"/>
      <c r="U39" s="3"/>
      <c r="V39" s="4"/>
      <c r="W39" s="13"/>
    </row>
    <row r="40" spans="1:23" x14ac:dyDescent="0.2">
      <c r="A40" s="4"/>
      <c r="B40" s="12"/>
      <c r="D40" s="63">
        <f>D8-($B$15*DL4)/(SQRT(DM4))+$B$18</f>
        <v>1.0872062224944795E-2</v>
      </c>
      <c r="E40" s="63">
        <f>E8-($B$15*DZ4)/(SQRT(EA4))+$B$18</f>
        <v>1.1737637825801903</v>
      </c>
      <c r="F40" s="63">
        <f>F8-($B$15*EN4)/(SQRT(EO4))+$B$18</f>
        <v>-0.77162770390211133</v>
      </c>
      <c r="G40" s="63">
        <f>G8-($B$15*FB4)/(SQRT(FC4))+$B$18</f>
        <v>-0.85913259778079665</v>
      </c>
      <c r="H40" s="63">
        <f>H8-($B$15*FP4)/(SQRT(FQ4))+$B$18</f>
        <v>0.74050375128139545</v>
      </c>
      <c r="I40" s="64"/>
      <c r="J40" s="65"/>
      <c r="K40" s="65"/>
      <c r="L40" s="65"/>
      <c r="M40" s="66">
        <f>M9-($B$15*CH4)/(SQRT(CI4))+$B$18</f>
        <v>1.1464098444871698</v>
      </c>
      <c r="N40" s="66">
        <f>N9-($B$15*CR4)/(SQRT(CS4))+$B$18</f>
        <v>-1.1697656270445185</v>
      </c>
      <c r="O40" s="66">
        <f>O9-($B$15*DB4)/(SQRT(DC4))+$B$18</f>
        <v>-1.7996967216489077</v>
      </c>
      <c r="P40" s="4"/>
      <c r="Q40" s="3"/>
      <c r="R40" s="3"/>
      <c r="S40" s="3"/>
      <c r="T40" s="4"/>
      <c r="U40" s="3"/>
      <c r="V40" s="4"/>
      <c r="W40" s="13"/>
    </row>
    <row r="41" spans="1:23" x14ac:dyDescent="0.2">
      <c r="A41" s="4"/>
      <c r="B41" s="12"/>
      <c r="D41" s="63">
        <f>D9-($B$15*DN4)/(SQRT(DO4))+$B$18</f>
        <v>3.3223480316108132E-2</v>
      </c>
      <c r="E41" s="63">
        <f>E9-($B$15*EB4)/(SQRT(EC4))+$B$18</f>
        <v>-3.0498714298417454E-2</v>
      </c>
      <c r="F41" s="63">
        <f>F9-($B$15*EP4)/(SQRT(EQ4))+$B$18</f>
        <v>1.8949654155026965</v>
      </c>
      <c r="G41" s="63">
        <f>G9-($B$15*FD4)/(SQRT(FE4))+$B$18</f>
        <v>1.5816052729937269</v>
      </c>
      <c r="H41" s="63">
        <f>H9-($B$15*FR4)/(SQRT(FS4))+$B$18</f>
        <v>-1.1200739038666752</v>
      </c>
      <c r="I41" s="64"/>
      <c r="J41" s="65"/>
      <c r="K41" s="65"/>
      <c r="L41" s="65"/>
      <c r="M41" s="65"/>
      <c r="N41" s="65"/>
      <c r="O41" s="65"/>
      <c r="P41" s="4"/>
      <c r="Q41" s="3"/>
      <c r="R41" s="3"/>
      <c r="S41" s="3"/>
      <c r="T41" s="4"/>
      <c r="U41" s="3"/>
      <c r="V41" s="4"/>
      <c r="W41" s="13"/>
    </row>
    <row r="42" spans="1:23" x14ac:dyDescent="0.2">
      <c r="A42" s="4"/>
      <c r="B42" s="12"/>
      <c r="D42" s="63">
        <f>D10-($B$15*DP4)/(SQRT(DQ4))+$B$18</f>
        <v>0.12720248886036542</v>
      </c>
      <c r="E42" s="63">
        <f>E10-($B$15*ED4)/(SQRT(EE4))+$B$18</f>
        <v>1.5046815712132664</v>
      </c>
      <c r="F42" s="63">
        <f>F10-($B$15*ER4)/(SQRT(ES4))+$B$18</f>
        <v>0.93112169272845824</v>
      </c>
      <c r="G42" s="63">
        <f>G10-($B$15*FF4)/(SQRT(FG4))+$B$18</f>
        <v>1.5667482188610251</v>
      </c>
      <c r="H42" s="63">
        <f>H10-($B$15*FT4)/(SQRT(FU4))+$B$18</f>
        <v>-1.7844036858186521</v>
      </c>
      <c r="I42" s="64"/>
      <c r="J42" s="65"/>
      <c r="K42" s="65"/>
      <c r="L42" s="65"/>
      <c r="M42" s="65"/>
      <c r="N42" s="65"/>
      <c r="O42" s="65"/>
      <c r="P42" s="4"/>
      <c r="Q42" s="3"/>
      <c r="R42" s="3"/>
      <c r="S42" s="3"/>
      <c r="T42" s="4"/>
      <c r="U42" s="3"/>
      <c r="V42" s="4"/>
      <c r="W42" s="13"/>
    </row>
    <row r="43" spans="1:23" x14ac:dyDescent="0.2">
      <c r="A43" s="4"/>
      <c r="B43" s="12"/>
      <c r="D43" s="63"/>
      <c r="E43" s="63"/>
      <c r="F43" s="63"/>
      <c r="G43" s="63"/>
      <c r="H43" s="63"/>
      <c r="I43" s="64"/>
      <c r="J43" s="65"/>
      <c r="K43" s="65"/>
      <c r="L43" s="65"/>
      <c r="M43" s="65"/>
      <c r="N43" s="65"/>
      <c r="O43" s="65"/>
      <c r="P43" s="4"/>
      <c r="Q43" s="3"/>
      <c r="R43" s="3"/>
      <c r="S43" s="3"/>
      <c r="T43" s="4"/>
      <c r="U43" s="3"/>
      <c r="V43" s="4"/>
      <c r="W43" s="13"/>
    </row>
    <row r="44" spans="1:23" x14ac:dyDescent="0.2">
      <c r="A44" s="4"/>
      <c r="B44" s="12"/>
      <c r="D44" s="12"/>
      <c r="E44" s="12"/>
      <c r="F44" s="12"/>
      <c r="G44" s="12"/>
      <c r="H44" s="12"/>
      <c r="I44" s="6"/>
      <c r="P44" s="4"/>
      <c r="Q44" s="3"/>
      <c r="R44" s="3"/>
      <c r="S44" s="3"/>
      <c r="T44" s="4"/>
      <c r="U44" s="3"/>
      <c r="V44" s="4"/>
      <c r="W44" s="13"/>
    </row>
    <row r="45" spans="1:23" ht="15" x14ac:dyDescent="0.2">
      <c r="A45" s="40"/>
      <c r="B45" s="13"/>
      <c r="D45" s="13"/>
      <c r="E45" s="13"/>
      <c r="F45" s="13"/>
      <c r="G45" s="13"/>
      <c r="H45" s="13"/>
      <c r="W45" s="13"/>
    </row>
    <row r="46" spans="1:23" ht="15" x14ac:dyDescent="0.2">
      <c r="A46" s="40"/>
      <c r="B46" s="13"/>
      <c r="D46" s="92" t="s">
        <v>215</v>
      </c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W46" s="13"/>
    </row>
    <row r="47" spans="1:23" ht="15" x14ac:dyDescent="0.2">
      <c r="A47" s="40"/>
      <c r="B47" s="13"/>
      <c r="D47" s="72" t="s">
        <v>102</v>
      </c>
      <c r="E47" s="72" t="s">
        <v>103</v>
      </c>
      <c r="F47" s="72" t="s">
        <v>104</v>
      </c>
      <c r="G47" s="72" t="s">
        <v>152</v>
      </c>
      <c r="H47" s="72" t="s">
        <v>153</v>
      </c>
      <c r="I47" s="73"/>
      <c r="J47" s="73"/>
      <c r="K47" s="73"/>
      <c r="L47" s="73"/>
      <c r="M47" s="72" t="s">
        <v>105</v>
      </c>
      <c r="N47" s="72" t="s">
        <v>106</v>
      </c>
      <c r="O47" s="72" t="s">
        <v>107</v>
      </c>
      <c r="W47" s="13"/>
    </row>
    <row r="48" spans="1:23" ht="15" x14ac:dyDescent="0.2">
      <c r="A48" s="40"/>
      <c r="B48" s="13"/>
      <c r="D48" s="74"/>
      <c r="E48" s="74"/>
      <c r="F48" s="74"/>
      <c r="G48" s="74"/>
      <c r="H48" s="74"/>
      <c r="I48" s="73"/>
      <c r="J48" s="73"/>
      <c r="K48" s="73"/>
      <c r="L48" s="73"/>
      <c r="M48" s="75"/>
      <c r="N48" s="75"/>
      <c r="O48" s="75"/>
      <c r="W48" s="13"/>
    </row>
    <row r="49" spans="1:23" ht="15" x14ac:dyDescent="0.2">
      <c r="A49" s="40"/>
      <c r="B49" s="13"/>
      <c r="D49" s="74"/>
      <c r="E49" s="74"/>
      <c r="F49" s="74"/>
      <c r="G49" s="74"/>
      <c r="H49" s="74"/>
      <c r="I49" s="73"/>
      <c r="J49" s="73"/>
      <c r="K49" s="73"/>
      <c r="L49" s="73"/>
      <c r="M49" s="75"/>
      <c r="N49" s="75"/>
      <c r="O49" s="75"/>
      <c r="W49" s="13"/>
    </row>
    <row r="50" spans="1:23" ht="15" x14ac:dyDescent="0.2">
      <c r="A50" s="40"/>
      <c r="B50" s="13"/>
      <c r="D50" s="74"/>
      <c r="E50" s="74"/>
      <c r="F50" s="74"/>
      <c r="G50" s="74"/>
      <c r="H50" s="74"/>
      <c r="I50" s="76"/>
      <c r="J50" s="77"/>
      <c r="K50" s="73"/>
      <c r="L50" s="73"/>
      <c r="M50" s="75"/>
      <c r="N50" s="75"/>
      <c r="O50" s="75"/>
      <c r="W50" s="13"/>
    </row>
    <row r="51" spans="1:23" ht="15" x14ac:dyDescent="0.2">
      <c r="A51" s="40"/>
      <c r="B51" s="13"/>
      <c r="D51" s="74"/>
      <c r="E51" s="74"/>
      <c r="F51" s="74"/>
      <c r="G51" s="74"/>
      <c r="H51" s="74"/>
      <c r="I51" s="78"/>
      <c r="J51" s="73"/>
      <c r="K51" s="76"/>
      <c r="L51" s="77"/>
      <c r="M51" s="75"/>
      <c r="N51" s="75"/>
      <c r="O51" s="75"/>
      <c r="W51" s="13"/>
    </row>
    <row r="52" spans="1:23" ht="15" x14ac:dyDescent="0.2">
      <c r="A52" s="40"/>
      <c r="B52" s="13"/>
      <c r="D52" s="74"/>
      <c r="E52" s="74"/>
      <c r="F52" s="74"/>
      <c r="G52" s="74"/>
      <c r="H52" s="74"/>
      <c r="I52" s="78"/>
      <c r="J52" s="73"/>
      <c r="K52" s="76"/>
      <c r="L52" s="77"/>
      <c r="M52" s="75"/>
      <c r="N52" s="75"/>
      <c r="O52" s="75"/>
      <c r="W52" s="13"/>
    </row>
    <row r="53" spans="1:23" ht="15" x14ac:dyDescent="0.2">
      <c r="A53" s="40"/>
      <c r="B53" s="13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W53" s="13"/>
    </row>
    <row r="54" spans="1:23" ht="15" x14ac:dyDescent="0.2">
      <c r="A54" s="40"/>
      <c r="B54" s="13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W54" s="13"/>
    </row>
    <row r="55" spans="1:23" ht="15" x14ac:dyDescent="0.2">
      <c r="A55" s="40"/>
      <c r="B55" s="13"/>
      <c r="D55" s="13"/>
      <c r="E55" s="13"/>
      <c r="F55" s="13"/>
      <c r="G55" s="13"/>
      <c r="H55" s="13"/>
      <c r="W55" s="13"/>
    </row>
    <row r="56" spans="1:23" ht="15" x14ac:dyDescent="0.2">
      <c r="A56" s="40"/>
      <c r="B56" s="13"/>
      <c r="D56" s="13"/>
      <c r="E56" s="13"/>
      <c r="F56" s="13"/>
      <c r="G56" s="13"/>
      <c r="H56" s="13"/>
      <c r="W56" s="13"/>
    </row>
    <row r="57" spans="1:23" ht="15" x14ac:dyDescent="0.2">
      <c r="A57" s="40"/>
      <c r="B57" s="13"/>
      <c r="D57" s="90" t="s">
        <v>58</v>
      </c>
      <c r="E57" s="90"/>
      <c r="F57" s="90"/>
      <c r="G57" s="90"/>
      <c r="H57" s="90"/>
      <c r="I57" s="90"/>
      <c r="J57" s="90"/>
      <c r="K57" s="90"/>
      <c r="W57" s="13"/>
    </row>
    <row r="58" spans="1:23" ht="15" x14ac:dyDescent="0.2">
      <c r="A58" s="40"/>
      <c r="B58" s="12"/>
      <c r="D58" s="46" t="s">
        <v>56</v>
      </c>
      <c r="E58" s="46" t="s">
        <v>57</v>
      </c>
      <c r="F58" s="46" t="s">
        <v>66</v>
      </c>
      <c r="G58" s="49" t="s">
        <v>113</v>
      </c>
      <c r="H58" s="49" t="s">
        <v>114</v>
      </c>
      <c r="I58" s="46" t="s">
        <v>50</v>
      </c>
      <c r="J58" s="46" t="s">
        <v>51</v>
      </c>
      <c r="K58" s="46" t="s">
        <v>69</v>
      </c>
      <c r="P58" s="4"/>
      <c r="Q58" s="3"/>
      <c r="R58" s="3"/>
      <c r="S58" s="3"/>
      <c r="T58" s="4"/>
      <c r="U58" s="3"/>
      <c r="V58" s="4"/>
      <c r="W58" s="13"/>
    </row>
    <row r="59" spans="1:23" ht="15" x14ac:dyDescent="0.2">
      <c r="A59" s="40"/>
      <c r="B59" s="12"/>
      <c r="D59" s="47">
        <v>2.1758034700000001E-2</v>
      </c>
      <c r="E59" s="47">
        <v>2.91431911E-2</v>
      </c>
      <c r="F59" s="47">
        <v>0.54874346900000004</v>
      </c>
      <c r="G59" s="47">
        <v>0.31989869799999998</v>
      </c>
      <c r="H59" s="47">
        <v>2.96844182E-2</v>
      </c>
      <c r="I59" s="47">
        <v>0.78872335113551295</v>
      </c>
      <c r="J59" s="47">
        <v>0.99254341217606501</v>
      </c>
      <c r="K59" s="47">
        <v>0.88247900083185704</v>
      </c>
      <c r="P59" s="4"/>
      <c r="Q59" s="3"/>
      <c r="R59" s="4"/>
      <c r="S59" s="11"/>
      <c r="T59" s="4"/>
      <c r="U59" s="3"/>
      <c r="V59" s="4"/>
      <c r="W59" s="13"/>
    </row>
    <row r="60" spans="1:23" ht="15" x14ac:dyDescent="0.2">
      <c r="A60" s="40"/>
      <c r="B60" s="12"/>
      <c r="D60" s="47">
        <v>0.28531795999999998</v>
      </c>
      <c r="E60" s="47">
        <v>0.25230323399999999</v>
      </c>
      <c r="F60" s="47">
        <v>0.59764839800000003</v>
      </c>
      <c r="G60" s="47">
        <v>0.463906602</v>
      </c>
      <c r="H60" s="47">
        <v>0.85171414899999998</v>
      </c>
      <c r="I60" s="47">
        <v>0.72154003234078201</v>
      </c>
      <c r="J60" s="47">
        <v>0.85994652879528899</v>
      </c>
      <c r="K60" s="47">
        <v>0.84619741842831198</v>
      </c>
      <c r="L60" s="11"/>
      <c r="P60" s="4"/>
      <c r="Q60" s="3"/>
      <c r="R60" s="4"/>
      <c r="S60" s="11"/>
      <c r="T60" s="4"/>
      <c r="U60" s="3"/>
      <c r="V60" s="4"/>
      <c r="W60" s="13"/>
    </row>
    <row r="61" spans="1:23" x14ac:dyDescent="0.2">
      <c r="A61" s="4"/>
      <c r="B61" s="12"/>
      <c r="D61" s="47">
        <v>5.71973046E-3</v>
      </c>
      <c r="E61" s="47">
        <v>0.120440388</v>
      </c>
      <c r="F61" s="47">
        <v>-2.23373298E-2</v>
      </c>
      <c r="G61" s="47">
        <v>-0.852317836</v>
      </c>
      <c r="H61" s="47">
        <v>0.78810368200000003</v>
      </c>
      <c r="I61" s="47">
        <v>0.38120423768821199</v>
      </c>
      <c r="J61" s="47">
        <v>0.120889959805806</v>
      </c>
      <c r="K61" s="47">
        <v>0.50528382057959997</v>
      </c>
      <c r="L61" s="11"/>
      <c r="P61" s="4"/>
      <c r="Q61" s="3"/>
      <c r="R61" s="3"/>
      <c r="S61" s="3"/>
      <c r="T61" s="4"/>
      <c r="U61" s="3"/>
      <c r="V61" s="4"/>
      <c r="W61" s="13"/>
    </row>
    <row r="62" spans="1:23" x14ac:dyDescent="0.2">
      <c r="A62" s="4"/>
      <c r="B62" s="12"/>
      <c r="D62" s="47">
        <v>-8.3582749900000003E-2</v>
      </c>
      <c r="E62" s="47">
        <v>0.15527687000000001</v>
      </c>
      <c r="F62" s="47">
        <v>-0.70558628800000001</v>
      </c>
      <c r="G62" s="47">
        <v>0.29214612299999998</v>
      </c>
      <c r="H62" s="47">
        <v>-3.6814927400000003E-2</v>
      </c>
      <c r="I62" s="47">
        <v>0.23086654154098399</v>
      </c>
      <c r="J62" s="47">
        <v>0.33269518536012899</v>
      </c>
      <c r="K62" s="47">
        <v>0.58900225798255101</v>
      </c>
      <c r="W62" s="13"/>
    </row>
    <row r="63" spans="1:23" x14ac:dyDescent="0.2">
      <c r="A63" s="4"/>
      <c r="B63" s="12"/>
      <c r="D63" s="47">
        <v>0.33506995699999997</v>
      </c>
      <c r="E63" s="47">
        <v>0.53216930799999995</v>
      </c>
      <c r="F63" s="47">
        <v>0.27110440400000002</v>
      </c>
      <c r="G63" s="47">
        <v>0.268113977</v>
      </c>
      <c r="H63" s="47">
        <v>-0.59951114500000002</v>
      </c>
      <c r="I63" s="47">
        <v>0.18590626589471701</v>
      </c>
      <c r="J63" s="47">
        <v>0.72148440758326804</v>
      </c>
      <c r="K63" s="47">
        <v>3.4525830151341502E-2</v>
      </c>
      <c r="W63" s="13"/>
    </row>
    <row r="64" spans="1:23" x14ac:dyDescent="0.2">
      <c r="B64" s="13"/>
      <c r="D64" s="47">
        <v>0.452345045</v>
      </c>
      <c r="E64" s="47">
        <v>0.65545898300000005</v>
      </c>
      <c r="F64" s="47">
        <v>0.65806732499999998</v>
      </c>
      <c r="G64" s="47">
        <v>0.30568668199999999</v>
      </c>
      <c r="H64" s="47">
        <v>-0.44420270899999997</v>
      </c>
    </row>
    <row r="65" spans="1:25" x14ac:dyDescent="0.2">
      <c r="A65" s="4"/>
      <c r="B65" s="23"/>
      <c r="D65" s="47">
        <v>0.57043294700000002</v>
      </c>
      <c r="E65" s="47">
        <v>0.90306336600000003</v>
      </c>
      <c r="F65" s="47">
        <v>-0.75299149399999998</v>
      </c>
      <c r="G65" s="47">
        <v>-4.1171491099999999E-2</v>
      </c>
      <c r="H65" s="47">
        <v>-0.59298159699999997</v>
      </c>
      <c r="Y65" s="9"/>
    </row>
    <row r="66" spans="1:25" x14ac:dyDescent="0.2">
      <c r="A66" s="4"/>
      <c r="B66" s="23"/>
      <c r="D66"/>
      <c r="Y66" s="9"/>
    </row>
    <row r="67" spans="1:25" x14ac:dyDescent="0.2">
      <c r="A67" s="4"/>
      <c r="B67" s="23"/>
      <c r="D67"/>
      <c r="Y67" s="9"/>
    </row>
    <row r="68" spans="1:25" ht="15" x14ac:dyDescent="0.2">
      <c r="A68" s="7"/>
      <c r="B68" s="23" t="s">
        <v>109</v>
      </c>
      <c r="C68" s="6"/>
      <c r="D68" s="23" t="s">
        <v>110</v>
      </c>
      <c r="E68" s="36">
        <f>COUNT(D70:D50012)</f>
        <v>500</v>
      </c>
    </row>
    <row r="69" spans="1:25" ht="15" x14ac:dyDescent="0.2">
      <c r="A69" s="7"/>
      <c r="B69" s="26">
        <v>0</v>
      </c>
      <c r="D69" s="35">
        <v>0</v>
      </c>
    </row>
    <row r="70" spans="1:25" ht="15" x14ac:dyDescent="0.2">
      <c r="A70" s="7"/>
      <c r="D70" s="37">
        <v>2944.9137360220816</v>
      </c>
    </row>
    <row r="71" spans="1:25" ht="15" x14ac:dyDescent="0.2">
      <c r="A71" s="7"/>
      <c r="D71" s="37">
        <v>1859.797561221143</v>
      </c>
    </row>
    <row r="72" spans="1:25" ht="15" x14ac:dyDescent="0.2">
      <c r="A72" s="7"/>
      <c r="D72" s="37">
        <v>1607.0752702487971</v>
      </c>
    </row>
    <row r="73" spans="1:25" ht="15" x14ac:dyDescent="0.2">
      <c r="A73" s="7"/>
      <c r="D73" s="37">
        <v>1596.1767302157202</v>
      </c>
    </row>
    <row r="74" spans="1:25" ht="15" x14ac:dyDescent="0.2">
      <c r="A74" s="7"/>
      <c r="D74" s="37">
        <v>1589.0630539077636</v>
      </c>
    </row>
    <row r="75" spans="1:25" ht="15" x14ac:dyDescent="0.2">
      <c r="A75" s="7"/>
      <c r="D75" s="37">
        <v>1584.0095340160854</v>
      </c>
    </row>
    <row r="76" spans="1:25" ht="15" x14ac:dyDescent="0.2">
      <c r="A76" s="7"/>
      <c r="D76" s="37">
        <v>1605.0339578825719</v>
      </c>
    </row>
    <row r="77" spans="1:25" ht="15" x14ac:dyDescent="0.2">
      <c r="A77" s="7"/>
      <c r="D77" s="37">
        <v>1605.0913760386384</v>
      </c>
      <c r="E77" s="34"/>
    </row>
    <row r="78" spans="1:25" ht="15" x14ac:dyDescent="0.2">
      <c r="A78" s="7"/>
      <c r="D78" s="37">
        <v>1613.7358674848472</v>
      </c>
      <c r="E78" s="34"/>
    </row>
    <row r="79" spans="1:25" ht="15" x14ac:dyDescent="0.2">
      <c r="A79" s="7"/>
      <c r="D79" s="37">
        <v>1568.8073960141985</v>
      </c>
    </row>
    <row r="80" spans="1:25" ht="15" x14ac:dyDescent="0.2">
      <c r="A80" s="7"/>
      <c r="D80" s="37">
        <v>1584.6663903963367</v>
      </c>
    </row>
    <row r="81" spans="1:4" ht="15" x14ac:dyDescent="0.2">
      <c r="A81" s="7"/>
      <c r="D81" s="37">
        <v>1548.3271264921968</v>
      </c>
    </row>
    <row r="82" spans="1:4" ht="15" x14ac:dyDescent="0.2">
      <c r="A82" s="7"/>
      <c r="D82" s="37">
        <v>1559.4654597875287</v>
      </c>
    </row>
    <row r="83" spans="1:4" ht="15" x14ac:dyDescent="0.2">
      <c r="A83" s="7"/>
      <c r="D83" s="37">
        <v>1497.2190205406396</v>
      </c>
    </row>
    <row r="84" spans="1:4" ht="15" x14ac:dyDescent="0.2">
      <c r="A84" s="7"/>
      <c r="D84" s="37">
        <v>1480.1666531747644</v>
      </c>
    </row>
    <row r="85" spans="1:4" ht="15" x14ac:dyDescent="0.2">
      <c r="A85" s="7"/>
      <c r="D85" s="37">
        <v>1452.1122256105318</v>
      </c>
    </row>
    <row r="86" spans="1:4" ht="15" x14ac:dyDescent="0.2">
      <c r="A86" s="7"/>
      <c r="D86" s="37">
        <v>1423.125175682085</v>
      </c>
    </row>
    <row r="87" spans="1:4" ht="15" x14ac:dyDescent="0.2">
      <c r="A87" s="7"/>
      <c r="D87" s="37">
        <v>1516.0096561448304</v>
      </c>
    </row>
    <row r="88" spans="1:4" x14ac:dyDescent="0.2">
      <c r="D88" s="37">
        <v>1286.6083234579837</v>
      </c>
    </row>
    <row r="89" spans="1:4" x14ac:dyDescent="0.2">
      <c r="D89" s="37">
        <v>1362.6240480384347</v>
      </c>
    </row>
    <row r="90" spans="1:4" x14ac:dyDescent="0.2">
      <c r="D90" s="37">
        <v>1153.7128911676318</v>
      </c>
    </row>
    <row r="91" spans="1:4" x14ac:dyDescent="0.2">
      <c r="D91" s="37">
        <v>1205.1569816610668</v>
      </c>
    </row>
    <row r="92" spans="1:4" x14ac:dyDescent="0.2">
      <c r="D92" s="37">
        <v>1096.590928864445</v>
      </c>
    </row>
    <row r="93" spans="1:4" x14ac:dyDescent="0.2">
      <c r="D93" s="37">
        <v>1181.7155692118661</v>
      </c>
    </row>
    <row r="94" spans="1:4" x14ac:dyDescent="0.2">
      <c r="D94" s="37">
        <v>942.93239154997445</v>
      </c>
    </row>
    <row r="95" spans="1:4" x14ac:dyDescent="0.2">
      <c r="D95" s="37">
        <v>1100.3599091421311</v>
      </c>
    </row>
    <row r="96" spans="1:4" x14ac:dyDescent="0.2">
      <c r="D96" s="37">
        <v>1179.0343032194749</v>
      </c>
    </row>
    <row r="97" spans="4:4" x14ac:dyDescent="0.2">
      <c r="D97" s="37">
        <v>734.38729298257294</v>
      </c>
    </row>
    <row r="98" spans="4:4" x14ac:dyDescent="0.2">
      <c r="D98" s="37">
        <v>1005.9519916363918</v>
      </c>
    </row>
    <row r="99" spans="4:4" x14ac:dyDescent="0.2">
      <c r="D99" s="37">
        <v>925.15485770593421</v>
      </c>
    </row>
    <row r="100" spans="4:4" x14ac:dyDescent="0.2">
      <c r="D100" s="37">
        <v>934.3915150895258</v>
      </c>
    </row>
    <row r="101" spans="4:4" x14ac:dyDescent="0.2">
      <c r="D101" s="37">
        <v>835.9363765537604</v>
      </c>
    </row>
    <row r="102" spans="4:4" x14ac:dyDescent="0.2">
      <c r="D102" s="37">
        <v>801.52482968514767</v>
      </c>
    </row>
    <row r="103" spans="4:4" x14ac:dyDescent="0.2">
      <c r="D103" s="37">
        <v>735.14272886870003</v>
      </c>
    </row>
    <row r="104" spans="4:4" x14ac:dyDescent="0.2">
      <c r="D104" s="37">
        <v>924.31286807849654</v>
      </c>
    </row>
    <row r="105" spans="4:4" x14ac:dyDescent="0.2">
      <c r="D105" s="37">
        <v>1071.1611079680772</v>
      </c>
    </row>
    <row r="106" spans="4:4" x14ac:dyDescent="0.2">
      <c r="D106" s="37">
        <v>597.00672684131223</v>
      </c>
    </row>
    <row r="107" spans="4:4" x14ac:dyDescent="0.2">
      <c r="D107" s="37">
        <v>923.20318329787153</v>
      </c>
    </row>
    <row r="108" spans="4:4" x14ac:dyDescent="0.2">
      <c r="D108" s="37">
        <v>863.49099097066528</v>
      </c>
    </row>
    <row r="109" spans="4:4" x14ac:dyDescent="0.2">
      <c r="D109" s="37">
        <v>816.13807326159474</v>
      </c>
    </row>
    <row r="110" spans="4:4" x14ac:dyDescent="0.2">
      <c r="D110" s="37">
        <v>747.50372772546484</v>
      </c>
    </row>
    <row r="111" spans="4:4" x14ac:dyDescent="0.2">
      <c r="D111" s="37">
        <v>709.02505270826146</v>
      </c>
    </row>
    <row r="112" spans="4:4" x14ac:dyDescent="0.2">
      <c r="D112" s="37">
        <v>670.53982205697559</v>
      </c>
    </row>
    <row r="113" spans="4:4" x14ac:dyDescent="0.2">
      <c r="D113" s="37">
        <v>843.23156880311183</v>
      </c>
    </row>
    <row r="114" spans="4:4" x14ac:dyDescent="0.2">
      <c r="D114" s="37">
        <v>1008.6443149952364</v>
      </c>
    </row>
    <row r="115" spans="4:4" x14ac:dyDescent="0.2">
      <c r="D115" s="37">
        <v>528.48265738678697</v>
      </c>
    </row>
    <row r="116" spans="4:4" x14ac:dyDescent="0.2">
      <c r="D116" s="37">
        <v>878.84229194205841</v>
      </c>
    </row>
    <row r="117" spans="4:4" x14ac:dyDescent="0.2">
      <c r="D117" s="37">
        <v>810.24970954886783</v>
      </c>
    </row>
    <row r="118" spans="4:4" x14ac:dyDescent="0.2">
      <c r="D118" s="37">
        <v>737.85283936657402</v>
      </c>
    </row>
    <row r="119" spans="4:4" x14ac:dyDescent="0.2">
      <c r="D119" s="37">
        <v>689.25235124364315</v>
      </c>
    </row>
    <row r="120" spans="4:4" x14ac:dyDescent="0.2">
      <c r="D120" s="37">
        <v>665.50148032436732</v>
      </c>
    </row>
    <row r="121" spans="4:4" x14ac:dyDescent="0.2">
      <c r="D121" s="37">
        <v>633.4320572751401</v>
      </c>
    </row>
    <row r="122" spans="4:4" x14ac:dyDescent="0.2">
      <c r="D122" s="37">
        <v>791.06995377911664</v>
      </c>
    </row>
    <row r="123" spans="4:4" x14ac:dyDescent="0.2">
      <c r="D123" s="37">
        <v>965.06576603898782</v>
      </c>
    </row>
    <row r="124" spans="4:4" x14ac:dyDescent="0.2">
      <c r="D124" s="37">
        <v>485.15814333189229</v>
      </c>
    </row>
    <row r="125" spans="4:4" x14ac:dyDescent="0.2">
      <c r="D125" s="37">
        <v>843.21272902544342</v>
      </c>
    </row>
    <row r="126" spans="4:4" x14ac:dyDescent="0.2">
      <c r="D126" s="37">
        <v>773.09467858730454</v>
      </c>
    </row>
    <row r="127" spans="4:4" x14ac:dyDescent="0.2">
      <c r="D127" s="37">
        <v>682.74512767743795</v>
      </c>
    </row>
    <row r="128" spans="4:4" x14ac:dyDescent="0.2">
      <c r="D128" s="37">
        <v>647.66945974912733</v>
      </c>
    </row>
    <row r="129" spans="4:4" x14ac:dyDescent="0.2">
      <c r="D129" s="37">
        <v>632.0324552711902</v>
      </c>
    </row>
    <row r="130" spans="4:4" x14ac:dyDescent="0.2">
      <c r="D130" s="37">
        <v>603.74328836947961</v>
      </c>
    </row>
    <row r="131" spans="4:4" x14ac:dyDescent="0.2">
      <c r="D131" s="37">
        <v>746.85020190393641</v>
      </c>
    </row>
    <row r="132" spans="4:4" x14ac:dyDescent="0.2">
      <c r="D132" s="37">
        <v>929.81496079953513</v>
      </c>
    </row>
    <row r="133" spans="4:4" x14ac:dyDescent="0.2">
      <c r="D133" s="37">
        <v>453.57829715929392</v>
      </c>
    </row>
    <row r="134" spans="4:4" x14ac:dyDescent="0.2">
      <c r="D134" s="37">
        <v>812.74034719999895</v>
      </c>
    </row>
    <row r="135" spans="4:4" x14ac:dyDescent="0.2">
      <c r="D135" s="37">
        <v>741.58193393642409</v>
      </c>
    </row>
    <row r="136" spans="4:4" x14ac:dyDescent="0.2">
      <c r="D136" s="37">
        <v>641.74507933691336</v>
      </c>
    </row>
    <row r="137" spans="4:4" x14ac:dyDescent="0.2">
      <c r="D137" s="37">
        <v>615.01754099104221</v>
      </c>
    </row>
    <row r="138" spans="4:4" x14ac:dyDescent="0.2">
      <c r="D138" s="37">
        <v>605.97186463625621</v>
      </c>
    </row>
    <row r="139" spans="4:4" x14ac:dyDescent="0.2">
      <c r="D139" s="37">
        <v>578.04403427783802</v>
      </c>
    </row>
    <row r="140" spans="4:4" x14ac:dyDescent="0.2">
      <c r="D140" s="37">
        <v>710.03770526167682</v>
      </c>
    </row>
    <row r="141" spans="4:4" x14ac:dyDescent="0.2">
      <c r="D141" s="37">
        <v>899.92927844968358</v>
      </c>
    </row>
    <row r="142" spans="4:4" x14ac:dyDescent="0.2">
      <c r="D142" s="37">
        <v>428.28151905173956</v>
      </c>
    </row>
    <row r="143" spans="4:4" x14ac:dyDescent="0.2">
      <c r="D143" s="37">
        <v>786.24616887742673</v>
      </c>
    </row>
    <row r="144" spans="4:4" x14ac:dyDescent="0.2">
      <c r="D144" s="37">
        <v>714.38293982096457</v>
      </c>
    </row>
    <row r="145" spans="4:4" x14ac:dyDescent="0.2">
      <c r="D145" s="37">
        <v>609.56298328794071</v>
      </c>
    </row>
    <row r="146" spans="4:4" x14ac:dyDescent="0.2">
      <c r="D146" s="37">
        <v>587.08924890226626</v>
      </c>
    </row>
    <row r="147" spans="4:4" x14ac:dyDescent="0.2">
      <c r="D147" s="37">
        <v>581.81576341024163</v>
      </c>
    </row>
    <row r="148" spans="4:4" x14ac:dyDescent="0.2">
      <c r="D148" s="37">
        <v>553.80859706495551</v>
      </c>
    </row>
    <row r="149" spans="4:4" x14ac:dyDescent="0.2">
      <c r="D149" s="37">
        <v>681.79229558268912</v>
      </c>
    </row>
    <row r="150" spans="4:4" x14ac:dyDescent="0.2">
      <c r="D150" s="37">
        <v>871.9313155030876</v>
      </c>
    </row>
    <row r="151" spans="4:4" x14ac:dyDescent="0.2">
      <c r="D151" s="37">
        <v>407.98658662915238</v>
      </c>
    </row>
    <row r="152" spans="4:4" x14ac:dyDescent="0.2">
      <c r="D152" s="37">
        <v>762.98933484650843</v>
      </c>
    </row>
    <row r="153" spans="4:4" x14ac:dyDescent="0.2">
      <c r="D153" s="37">
        <v>690.85209224856158</v>
      </c>
    </row>
    <row r="154" spans="4:4" x14ac:dyDescent="0.2">
      <c r="D154" s="37">
        <v>582.08503953591571</v>
      </c>
    </row>
    <row r="155" spans="4:4" x14ac:dyDescent="0.2">
      <c r="D155" s="37">
        <v>562.24949490504912</v>
      </c>
    </row>
    <row r="156" spans="4:4" x14ac:dyDescent="0.2">
      <c r="D156" s="37">
        <v>560.44926377592935</v>
      </c>
    </row>
    <row r="157" spans="4:4" x14ac:dyDescent="0.2">
      <c r="D157" s="37">
        <v>533.31235053517742</v>
      </c>
    </row>
    <row r="158" spans="4:4" x14ac:dyDescent="0.2">
      <c r="D158" s="37">
        <v>656.1028419959971</v>
      </c>
    </row>
    <row r="159" spans="4:4" x14ac:dyDescent="0.2">
      <c r="D159" s="37">
        <v>847.06900801297581</v>
      </c>
    </row>
    <row r="160" spans="4:4" x14ac:dyDescent="0.2">
      <c r="D160" s="37">
        <v>389.64133440474797</v>
      </c>
    </row>
    <row r="161" spans="4:4" x14ac:dyDescent="0.2">
      <c r="D161" s="37">
        <v>740.56309695556843</v>
      </c>
    </row>
    <row r="162" spans="4:4" x14ac:dyDescent="0.2">
      <c r="D162" s="37">
        <v>668.34682790051284</v>
      </c>
    </row>
    <row r="163" spans="4:4" x14ac:dyDescent="0.2">
      <c r="D163" s="37">
        <v>557.79446007263539</v>
      </c>
    </row>
    <row r="164" spans="4:4" x14ac:dyDescent="0.2">
      <c r="D164" s="37">
        <v>539.68653021441582</v>
      </c>
    </row>
    <row r="165" spans="4:4" x14ac:dyDescent="0.2">
      <c r="D165" s="37">
        <v>542.14024741875562</v>
      </c>
    </row>
    <row r="166" spans="4:4" x14ac:dyDescent="0.2">
      <c r="D166" s="37">
        <v>514.35926541621939</v>
      </c>
    </row>
    <row r="167" spans="4:4" x14ac:dyDescent="0.2">
      <c r="D167" s="37">
        <v>634.86476672058359</v>
      </c>
    </row>
    <row r="168" spans="4:4" x14ac:dyDescent="0.2">
      <c r="D168" s="37">
        <v>823.49495856848625</v>
      </c>
    </row>
    <row r="169" spans="4:4" x14ac:dyDescent="0.2">
      <c r="D169" s="37">
        <v>373.43180174109915</v>
      </c>
    </row>
    <row r="170" spans="4:4" x14ac:dyDescent="0.2">
      <c r="D170" s="37">
        <v>719.2509148098876</v>
      </c>
    </row>
    <row r="171" spans="4:4" x14ac:dyDescent="0.2">
      <c r="D171" s="37">
        <v>648.00299848051679</v>
      </c>
    </row>
    <row r="172" spans="4:4" x14ac:dyDescent="0.2">
      <c r="D172" s="37">
        <v>536.6613660897483</v>
      </c>
    </row>
    <row r="173" spans="4:4" x14ac:dyDescent="0.2">
      <c r="D173" s="37">
        <v>519.14340397943909</v>
      </c>
    </row>
    <row r="174" spans="4:4" x14ac:dyDescent="0.2">
      <c r="D174" s="37">
        <v>524.37723103954613</v>
      </c>
    </row>
    <row r="175" spans="4:4" x14ac:dyDescent="0.2">
      <c r="D175" s="37">
        <v>496.76464214379257</v>
      </c>
    </row>
    <row r="176" spans="4:4" x14ac:dyDescent="0.2">
      <c r="D176" s="37">
        <v>616.60143148887892</v>
      </c>
    </row>
    <row r="177" spans="4:4" x14ac:dyDescent="0.2">
      <c r="D177" s="37">
        <v>801.40451204806459</v>
      </c>
    </row>
    <row r="178" spans="4:4" x14ac:dyDescent="0.2">
      <c r="D178" s="37">
        <v>359.00232063228106</v>
      </c>
    </row>
    <row r="179" spans="4:4" x14ac:dyDescent="0.2">
      <c r="D179" s="37">
        <v>699.67843945779771</v>
      </c>
    </row>
    <row r="180" spans="4:4" x14ac:dyDescent="0.2">
      <c r="D180" s="37">
        <v>629.57014716605067</v>
      </c>
    </row>
    <row r="181" spans="4:4" x14ac:dyDescent="0.2">
      <c r="D181" s="37">
        <v>518.35056241543361</v>
      </c>
    </row>
    <row r="182" spans="4:4" x14ac:dyDescent="0.2">
      <c r="D182" s="37">
        <v>500.12643562490956</v>
      </c>
    </row>
    <row r="183" spans="4:4" x14ac:dyDescent="0.2">
      <c r="D183" s="37">
        <v>506.24579920103713</v>
      </c>
    </row>
    <row r="184" spans="4:4" x14ac:dyDescent="0.2">
      <c r="D184" s="37">
        <v>481.55191665242882</v>
      </c>
    </row>
    <row r="185" spans="4:4" x14ac:dyDescent="0.2">
      <c r="D185" s="37">
        <v>600.87411949124623</v>
      </c>
    </row>
    <row r="186" spans="4:4" x14ac:dyDescent="0.2">
      <c r="D186" s="37">
        <v>781.49216085099533</v>
      </c>
    </row>
    <row r="187" spans="4:4" x14ac:dyDescent="0.2">
      <c r="D187" s="37">
        <v>345.63793152806335</v>
      </c>
    </row>
    <row r="188" spans="4:4" x14ac:dyDescent="0.2">
      <c r="D188" s="37">
        <v>681.2344892805387</v>
      </c>
    </row>
    <row r="189" spans="4:4" x14ac:dyDescent="0.2">
      <c r="D189" s="37">
        <v>612.69961260938021</v>
      </c>
    </row>
    <row r="190" spans="4:4" x14ac:dyDescent="0.2">
      <c r="D190" s="37">
        <v>501.11483323928974</v>
      </c>
    </row>
    <row r="191" spans="4:4" x14ac:dyDescent="0.2">
      <c r="D191" s="37">
        <v>481.74645732624327</v>
      </c>
    </row>
    <row r="192" spans="4:4" x14ac:dyDescent="0.2">
      <c r="D192" s="37">
        <v>491.16694259925515</v>
      </c>
    </row>
    <row r="193" spans="4:4" x14ac:dyDescent="0.2">
      <c r="D193" s="37">
        <v>467.95257080264764</v>
      </c>
    </row>
    <row r="194" spans="4:4" x14ac:dyDescent="0.2">
      <c r="D194" s="37">
        <v>586.45641807083052</v>
      </c>
    </row>
    <row r="195" spans="4:4" x14ac:dyDescent="0.2">
      <c r="D195" s="37">
        <v>762.94466448297271</v>
      </c>
    </row>
    <row r="196" spans="4:4" x14ac:dyDescent="0.2">
      <c r="D196" s="37">
        <v>333.29979072256589</v>
      </c>
    </row>
    <row r="197" spans="4:4" x14ac:dyDescent="0.2">
      <c r="D197" s="37">
        <v>663.70464827718047</v>
      </c>
    </row>
    <row r="198" spans="4:4" x14ac:dyDescent="0.2">
      <c r="D198" s="37">
        <v>596.96731880209393</v>
      </c>
    </row>
    <row r="199" spans="4:4" x14ac:dyDescent="0.2">
      <c r="D199" s="37">
        <v>485.82599391014639</v>
      </c>
    </row>
    <row r="200" spans="4:4" x14ac:dyDescent="0.2">
      <c r="D200" s="37">
        <v>464.24210249816008</v>
      </c>
    </row>
    <row r="201" spans="4:4" x14ac:dyDescent="0.2">
      <c r="D201" s="37">
        <v>476.96405998895415</v>
      </c>
    </row>
    <row r="202" spans="4:4" x14ac:dyDescent="0.2">
      <c r="D202" s="37">
        <v>455.3277129249314</v>
      </c>
    </row>
    <row r="203" spans="4:4" x14ac:dyDescent="0.2">
      <c r="D203" s="37">
        <v>574.39156523844792</v>
      </c>
    </row>
    <row r="204" spans="4:4" x14ac:dyDescent="0.2">
      <c r="D204" s="37">
        <v>745.82899002233557</v>
      </c>
    </row>
    <row r="205" spans="4:4" x14ac:dyDescent="0.2">
      <c r="D205" s="37">
        <v>321.67316531768972</v>
      </c>
    </row>
    <row r="206" spans="4:4" x14ac:dyDescent="0.2">
      <c r="D206" s="37">
        <v>646.904727457072</v>
      </c>
    </row>
    <row r="207" spans="4:4" x14ac:dyDescent="0.2">
      <c r="D207" s="37">
        <v>582.77110844829519</v>
      </c>
    </row>
    <row r="208" spans="4:4" x14ac:dyDescent="0.2">
      <c r="D208" s="37">
        <v>472.84009707846371</v>
      </c>
    </row>
    <row r="209" spans="4:4" x14ac:dyDescent="0.2">
      <c r="D209" s="37">
        <v>448.40681762626815</v>
      </c>
    </row>
    <row r="210" spans="4:4" x14ac:dyDescent="0.2">
      <c r="D210" s="37">
        <v>462.14359868034251</v>
      </c>
    </row>
    <row r="211" spans="4:4" x14ac:dyDescent="0.2">
      <c r="D211" s="37">
        <v>443.61251105958445</v>
      </c>
    </row>
    <row r="212" spans="4:4" x14ac:dyDescent="0.2">
      <c r="D212" s="37">
        <v>563.67066040999634</v>
      </c>
    </row>
    <row r="213" spans="4:4" x14ac:dyDescent="0.2">
      <c r="D213" s="37">
        <v>730.09116974149185</v>
      </c>
    </row>
    <row r="214" spans="4:4" x14ac:dyDescent="0.2">
      <c r="D214" s="37">
        <v>311.39231208256393</v>
      </c>
    </row>
    <row r="215" spans="4:4" x14ac:dyDescent="0.2">
      <c r="D215" s="37">
        <v>631.39793163690979</v>
      </c>
    </row>
    <row r="216" spans="4:4" x14ac:dyDescent="0.2">
      <c r="D216" s="37">
        <v>570.18566958205531</v>
      </c>
    </row>
    <row r="217" spans="4:4" x14ac:dyDescent="0.2">
      <c r="D217" s="37">
        <v>461.5269390286893</v>
      </c>
    </row>
    <row r="218" spans="4:4" x14ac:dyDescent="0.2">
      <c r="D218" s="37">
        <v>433.77625377468212</v>
      </c>
    </row>
    <row r="219" spans="4:4" x14ac:dyDescent="0.2">
      <c r="D219" s="37">
        <v>448.24266285583445</v>
      </c>
    </row>
    <row r="220" spans="4:4" x14ac:dyDescent="0.2">
      <c r="D220" s="37">
        <v>432.78645606045228</v>
      </c>
    </row>
    <row r="221" spans="4:4" x14ac:dyDescent="0.2">
      <c r="D221" s="37">
        <v>554.0884476697737</v>
      </c>
    </row>
    <row r="222" spans="4:4" x14ac:dyDescent="0.2">
      <c r="D222" s="37">
        <v>715.55821023912347</v>
      </c>
    </row>
    <row r="223" spans="4:4" x14ac:dyDescent="0.2">
      <c r="D223" s="37">
        <v>301.80470565550775</v>
      </c>
    </row>
    <row r="224" spans="4:4" x14ac:dyDescent="0.2">
      <c r="D224" s="37">
        <v>616.46693795963563</v>
      </c>
    </row>
    <row r="225" spans="4:4" x14ac:dyDescent="0.2">
      <c r="D225" s="37">
        <v>558.92431377334333</v>
      </c>
    </row>
    <row r="226" spans="4:4" x14ac:dyDescent="0.2">
      <c r="D226" s="37">
        <v>450.04809332853955</v>
      </c>
    </row>
    <row r="227" spans="4:4" x14ac:dyDescent="0.2">
      <c r="D227" s="37">
        <v>419.17093645972926</v>
      </c>
    </row>
    <row r="228" spans="4:4" x14ac:dyDescent="0.2">
      <c r="D228" s="37">
        <v>435.91633093012445</v>
      </c>
    </row>
    <row r="229" spans="4:4" x14ac:dyDescent="0.2">
      <c r="D229" s="37">
        <v>422.64825938636852</v>
      </c>
    </row>
    <row r="230" spans="4:4" x14ac:dyDescent="0.2">
      <c r="D230" s="37">
        <v>545.49982175141713</v>
      </c>
    </row>
    <row r="231" spans="4:4" x14ac:dyDescent="0.2">
      <c r="D231" s="37">
        <v>702.39065680279214</v>
      </c>
    </row>
    <row r="232" spans="4:4" x14ac:dyDescent="0.2">
      <c r="D232" s="37">
        <v>293.14100901643206</v>
      </c>
    </row>
    <row r="233" spans="4:4" x14ac:dyDescent="0.2">
      <c r="D233" s="37">
        <v>602.46714853075059</v>
      </c>
    </row>
    <row r="234" spans="4:4" x14ac:dyDescent="0.2">
      <c r="D234" s="37">
        <v>548.47606392435546</v>
      </c>
    </row>
    <row r="235" spans="4:4" x14ac:dyDescent="0.2">
      <c r="D235" s="37">
        <v>440.35542832716561</v>
      </c>
    </row>
    <row r="236" spans="4:4" x14ac:dyDescent="0.2">
      <c r="D236" s="37">
        <v>405.78930749813787</v>
      </c>
    </row>
    <row r="237" spans="4:4" x14ac:dyDescent="0.2">
      <c r="D237" s="37">
        <v>423.75756037828313</v>
      </c>
    </row>
    <row r="238" spans="4:4" x14ac:dyDescent="0.2">
      <c r="D238" s="37">
        <v>413.31880719988294</v>
      </c>
    </row>
    <row r="239" spans="4:4" x14ac:dyDescent="0.2">
      <c r="D239" s="37">
        <v>537.87287779680707</v>
      </c>
    </row>
    <row r="240" spans="4:4" x14ac:dyDescent="0.2">
      <c r="D240" s="37">
        <v>689.9418734942833</v>
      </c>
    </row>
    <row r="241" spans="4:4" x14ac:dyDescent="0.2">
      <c r="D241" s="37">
        <v>285.47397616661118</v>
      </c>
    </row>
    <row r="242" spans="4:4" x14ac:dyDescent="0.2">
      <c r="D242" s="37">
        <v>590.07978600072363</v>
      </c>
    </row>
    <row r="243" spans="4:4" x14ac:dyDescent="0.2">
      <c r="D243" s="37">
        <v>541.14045995824483</v>
      </c>
    </row>
    <row r="244" spans="4:4" x14ac:dyDescent="0.2">
      <c r="D244" s="37">
        <v>430.45491638614271</v>
      </c>
    </row>
    <row r="245" spans="4:4" x14ac:dyDescent="0.2">
      <c r="D245" s="37">
        <v>394.46973772341443</v>
      </c>
    </row>
    <row r="246" spans="4:4" x14ac:dyDescent="0.2">
      <c r="D246" s="37">
        <v>415.57400805468126</v>
      </c>
    </row>
    <row r="247" spans="4:4" x14ac:dyDescent="0.2">
      <c r="D247" s="37">
        <v>406.50806891087018</v>
      </c>
    </row>
    <row r="248" spans="4:4" x14ac:dyDescent="0.2">
      <c r="D248" s="37">
        <v>526.75245925682668</v>
      </c>
    </row>
    <row r="249" spans="4:4" x14ac:dyDescent="0.2">
      <c r="D249" s="37">
        <v>678.07221387997549</v>
      </c>
    </row>
    <row r="250" spans="4:4" x14ac:dyDescent="0.2">
      <c r="D250" s="37">
        <v>277.66585824873454</v>
      </c>
    </row>
    <row r="251" spans="4:4" x14ac:dyDescent="0.2">
      <c r="D251" s="37">
        <v>578.00983248419061</v>
      </c>
    </row>
    <row r="252" spans="4:4" x14ac:dyDescent="0.2">
      <c r="D252" s="37">
        <v>529.98447933447301</v>
      </c>
    </row>
    <row r="253" spans="4:4" x14ac:dyDescent="0.2">
      <c r="D253" s="37">
        <v>421.31845799101472</v>
      </c>
    </row>
    <row r="254" spans="4:4" x14ac:dyDescent="0.2">
      <c r="D254" s="37">
        <v>380.88221503807262</v>
      </c>
    </row>
    <row r="255" spans="4:4" x14ac:dyDescent="0.2">
      <c r="D255" s="37">
        <v>405.17581137291069</v>
      </c>
    </row>
    <row r="256" spans="4:4" x14ac:dyDescent="0.2">
      <c r="D256" s="37">
        <v>397.84776902005024</v>
      </c>
    </row>
    <row r="257" spans="4:4" x14ac:dyDescent="0.2">
      <c r="D257" s="37">
        <v>523.21912918755936</v>
      </c>
    </row>
    <row r="258" spans="4:4" x14ac:dyDescent="0.2">
      <c r="D258" s="37">
        <v>667.70329361371421</v>
      </c>
    </row>
    <row r="259" spans="4:4" x14ac:dyDescent="0.2">
      <c r="D259" s="37">
        <v>270.79821175183372</v>
      </c>
    </row>
    <row r="260" spans="4:4" x14ac:dyDescent="0.2">
      <c r="D260" s="37">
        <v>567.14565111698698</v>
      </c>
    </row>
    <row r="261" spans="4:4" x14ac:dyDescent="0.2">
      <c r="D261" s="37">
        <v>523.7925556315123</v>
      </c>
    </row>
    <row r="262" spans="4:4" x14ac:dyDescent="0.2">
      <c r="D262" s="37">
        <v>413.28254898089142</v>
      </c>
    </row>
    <row r="263" spans="4:4" x14ac:dyDescent="0.2">
      <c r="D263" s="37">
        <v>371.21069125699995</v>
      </c>
    </row>
    <row r="264" spans="4:4" x14ac:dyDescent="0.2">
      <c r="D264" s="37">
        <v>396.74039430823416</v>
      </c>
    </row>
    <row r="265" spans="4:4" x14ac:dyDescent="0.2">
      <c r="D265" s="37">
        <v>391.8351258368117</v>
      </c>
    </row>
    <row r="266" spans="4:4" x14ac:dyDescent="0.2">
      <c r="D266" s="37">
        <v>514.04690624191539</v>
      </c>
    </row>
    <row r="267" spans="4:4" x14ac:dyDescent="0.2">
      <c r="D267" s="37">
        <v>657.04919445914322</v>
      </c>
    </row>
    <row r="268" spans="4:4" x14ac:dyDescent="0.2">
      <c r="D268" s="37">
        <v>264.64791471369182</v>
      </c>
    </row>
    <row r="269" spans="4:4" x14ac:dyDescent="0.2">
      <c r="D269" s="37">
        <v>556.63864612370003</v>
      </c>
    </row>
    <row r="270" spans="4:4" x14ac:dyDescent="0.2">
      <c r="D270" s="37">
        <v>515.700248803195</v>
      </c>
    </row>
    <row r="271" spans="4:4" x14ac:dyDescent="0.2">
      <c r="D271" s="37">
        <v>405.58505838709704</v>
      </c>
    </row>
    <row r="272" spans="4:4" x14ac:dyDescent="0.2">
      <c r="D272" s="37">
        <v>360.95465760679286</v>
      </c>
    </row>
    <row r="273" spans="4:4" x14ac:dyDescent="0.2">
      <c r="D273" s="37">
        <v>389.83308759173707</v>
      </c>
    </row>
    <row r="274" spans="4:4" x14ac:dyDescent="0.2">
      <c r="D274" s="37">
        <v>385.69546897879081</v>
      </c>
    </row>
    <row r="275" spans="4:4" x14ac:dyDescent="0.2">
      <c r="D275" s="37">
        <v>507.38818128854683</v>
      </c>
    </row>
    <row r="276" spans="4:4" x14ac:dyDescent="0.2">
      <c r="D276" s="37">
        <v>648.02567483171674</v>
      </c>
    </row>
    <row r="277" spans="4:4" x14ac:dyDescent="0.2">
      <c r="D277" s="37">
        <v>258.51305230827944</v>
      </c>
    </row>
    <row r="278" spans="4:4" x14ac:dyDescent="0.2">
      <c r="D278" s="37">
        <v>546.3791869935759</v>
      </c>
    </row>
    <row r="279" spans="4:4" x14ac:dyDescent="0.2">
      <c r="D279" s="37">
        <v>508.18369483212655</v>
      </c>
    </row>
    <row r="280" spans="4:4" x14ac:dyDescent="0.2">
      <c r="D280" s="37">
        <v>399.79425575980588</v>
      </c>
    </row>
    <row r="281" spans="4:4" x14ac:dyDescent="0.2">
      <c r="D281" s="37">
        <v>352.11707212661048</v>
      </c>
    </row>
    <row r="282" spans="4:4" x14ac:dyDescent="0.2">
      <c r="D282" s="37">
        <v>381.42181256558615</v>
      </c>
    </row>
    <row r="283" spans="4:4" x14ac:dyDescent="0.2">
      <c r="D283" s="37">
        <v>380.00900567940459</v>
      </c>
    </row>
    <row r="284" spans="4:4" x14ac:dyDescent="0.2">
      <c r="D284" s="37">
        <v>501.30883300509407</v>
      </c>
    </row>
    <row r="285" spans="4:4" x14ac:dyDescent="0.2">
      <c r="D285" s="37">
        <v>638.19170026241568</v>
      </c>
    </row>
    <row r="286" spans="4:4" x14ac:dyDescent="0.2">
      <c r="D286" s="37">
        <v>254.4978788072909</v>
      </c>
    </row>
    <row r="287" spans="4:4" x14ac:dyDescent="0.2">
      <c r="D287" s="37">
        <v>538.27894756190597</v>
      </c>
    </row>
    <row r="288" spans="4:4" x14ac:dyDescent="0.2">
      <c r="D288" s="37">
        <v>499.93446521943855</v>
      </c>
    </row>
    <row r="289" spans="4:4" x14ac:dyDescent="0.2">
      <c r="D289" s="37">
        <v>393.70731264354578</v>
      </c>
    </row>
    <row r="290" spans="4:4" x14ac:dyDescent="0.2">
      <c r="D290" s="37">
        <v>342.32052268562927</v>
      </c>
    </row>
    <row r="291" spans="4:4" x14ac:dyDescent="0.2">
      <c r="D291" s="37">
        <v>373.47614108983527</v>
      </c>
    </row>
    <row r="292" spans="4:4" x14ac:dyDescent="0.2">
      <c r="D292" s="37">
        <v>374.11767623622245</v>
      </c>
    </row>
    <row r="293" spans="4:4" x14ac:dyDescent="0.2">
      <c r="D293" s="37">
        <v>498.08757751863226</v>
      </c>
    </row>
    <row r="294" spans="4:4" x14ac:dyDescent="0.2">
      <c r="D294" s="37">
        <v>630.52221605711657</v>
      </c>
    </row>
    <row r="295" spans="4:4" x14ac:dyDescent="0.2">
      <c r="D295" s="37">
        <v>249.10416451514359</v>
      </c>
    </row>
    <row r="296" spans="4:4" x14ac:dyDescent="0.2">
      <c r="D296" s="37">
        <v>528.62285550578292</v>
      </c>
    </row>
    <row r="297" spans="4:4" x14ac:dyDescent="0.2">
      <c r="D297" s="37">
        <v>495.21021376770238</v>
      </c>
    </row>
    <row r="298" spans="4:4" x14ac:dyDescent="0.2">
      <c r="D298" s="37">
        <v>387.95533900340803</v>
      </c>
    </row>
    <row r="299" spans="4:4" x14ac:dyDescent="0.2">
      <c r="D299" s="37">
        <v>335.20213820341854</v>
      </c>
    </row>
    <row r="300" spans="4:4" x14ac:dyDescent="0.2">
      <c r="D300" s="37">
        <v>368.76167866714752</v>
      </c>
    </row>
    <row r="301" spans="4:4" x14ac:dyDescent="0.2">
      <c r="D301" s="37">
        <v>369.78827180231866</v>
      </c>
    </row>
    <row r="302" spans="4:4" x14ac:dyDescent="0.2">
      <c r="D302" s="37">
        <v>488.72553330168012</v>
      </c>
    </row>
    <row r="303" spans="4:4" x14ac:dyDescent="0.2">
      <c r="D303" s="37">
        <v>622.89515756619141</v>
      </c>
    </row>
    <row r="304" spans="4:4" x14ac:dyDescent="0.2">
      <c r="D304" s="37">
        <v>244.66168867147667</v>
      </c>
    </row>
    <row r="305" spans="4:4" x14ac:dyDescent="0.2">
      <c r="D305" s="37">
        <v>520.33368269628534</v>
      </c>
    </row>
    <row r="306" spans="4:4" x14ac:dyDescent="0.2">
      <c r="D306" s="37">
        <v>487.13965594358524</v>
      </c>
    </row>
    <row r="307" spans="4:4" x14ac:dyDescent="0.2">
      <c r="D307" s="37">
        <v>382.63676416141772</v>
      </c>
    </row>
    <row r="308" spans="4:4" x14ac:dyDescent="0.2">
      <c r="D308" s="37">
        <v>326.1626760577189</v>
      </c>
    </row>
    <row r="309" spans="4:4" x14ac:dyDescent="0.2">
      <c r="D309" s="37">
        <v>361.36812195515995</v>
      </c>
    </row>
    <row r="310" spans="4:4" x14ac:dyDescent="0.2">
      <c r="D310" s="37">
        <v>364.22693650894115</v>
      </c>
    </row>
    <row r="311" spans="4:4" x14ac:dyDescent="0.2">
      <c r="D311" s="37">
        <v>486.9585679163585</v>
      </c>
    </row>
    <row r="312" spans="4:4" x14ac:dyDescent="0.2">
      <c r="D312" s="37">
        <v>616.30917535647382</v>
      </c>
    </row>
    <row r="313" spans="4:4" x14ac:dyDescent="0.2">
      <c r="D313" s="37">
        <v>239.85808530774361</v>
      </c>
    </row>
    <row r="314" spans="4:4" x14ac:dyDescent="0.2">
      <c r="D314" s="37">
        <v>511.69815412966682</v>
      </c>
    </row>
    <row r="315" spans="4:4" x14ac:dyDescent="0.2">
      <c r="D315" s="37">
        <v>483.43412811536086</v>
      </c>
    </row>
    <row r="316" spans="4:4" x14ac:dyDescent="0.2">
      <c r="D316" s="37">
        <v>377.88700688501132</v>
      </c>
    </row>
    <row r="317" spans="4:4" x14ac:dyDescent="0.2">
      <c r="D317" s="37">
        <v>320.16789052056254</v>
      </c>
    </row>
    <row r="318" spans="4:4" x14ac:dyDescent="0.2">
      <c r="D318" s="37">
        <v>356.86622421183853</v>
      </c>
    </row>
    <row r="319" spans="4:4" x14ac:dyDescent="0.2">
      <c r="D319" s="37">
        <v>360.25533115171044</v>
      </c>
    </row>
    <row r="320" spans="4:4" x14ac:dyDescent="0.2">
      <c r="D320" s="37">
        <v>478.66769581325832</v>
      </c>
    </row>
    <row r="321" spans="4:4" x14ac:dyDescent="0.2">
      <c r="D321" s="37">
        <v>609.56052247014213</v>
      </c>
    </row>
    <row r="322" spans="4:4" x14ac:dyDescent="0.2">
      <c r="D322" s="37">
        <v>236.0452900761471</v>
      </c>
    </row>
    <row r="323" spans="4:4" x14ac:dyDescent="0.2">
      <c r="D323" s="37">
        <v>504.01333026401187</v>
      </c>
    </row>
    <row r="324" spans="4:4" x14ac:dyDescent="0.2">
      <c r="D324" s="37">
        <v>478.1749062552517</v>
      </c>
    </row>
    <row r="325" spans="4:4" x14ac:dyDescent="0.2">
      <c r="D325" s="37">
        <v>373.33015483450373</v>
      </c>
    </row>
    <row r="326" spans="4:4" x14ac:dyDescent="0.2">
      <c r="D326" s="37">
        <v>313.90010535857726</v>
      </c>
    </row>
    <row r="327" spans="4:4" x14ac:dyDescent="0.2">
      <c r="D327" s="37">
        <v>351.9969973659139</v>
      </c>
    </row>
    <row r="328" spans="4:4" x14ac:dyDescent="0.2">
      <c r="D328" s="37">
        <v>356.2499423564297</v>
      </c>
    </row>
    <row r="329" spans="4:4" x14ac:dyDescent="0.2">
      <c r="D329" s="37">
        <v>473.11362646644085</v>
      </c>
    </row>
    <row r="330" spans="4:4" x14ac:dyDescent="0.2">
      <c r="D330" s="37">
        <v>603.87828091897268</v>
      </c>
    </row>
    <row r="331" spans="4:4" x14ac:dyDescent="0.2">
      <c r="D331" s="37">
        <v>232.13096802889581</v>
      </c>
    </row>
    <row r="332" spans="4:4" x14ac:dyDescent="0.2">
      <c r="D332" s="37">
        <v>496.39959725622379</v>
      </c>
    </row>
    <row r="333" spans="4:4" x14ac:dyDescent="0.2">
      <c r="D333" s="37">
        <v>473.18444991558556</v>
      </c>
    </row>
    <row r="334" spans="4:4" x14ac:dyDescent="0.2">
      <c r="D334" s="37">
        <v>368.98894873948257</v>
      </c>
    </row>
    <row r="335" spans="4:4" x14ac:dyDescent="0.2">
      <c r="D335" s="37">
        <v>307.85152139910321</v>
      </c>
    </row>
    <row r="336" spans="4:4" x14ac:dyDescent="0.2">
      <c r="D336" s="37">
        <v>347.14814760664109</v>
      </c>
    </row>
    <row r="337" spans="4:4" x14ac:dyDescent="0.2">
      <c r="D337" s="37">
        <v>352.27469094239319</v>
      </c>
    </row>
    <row r="338" spans="4:4" x14ac:dyDescent="0.2">
      <c r="D338" s="37">
        <v>468.05043207636737</v>
      </c>
    </row>
    <row r="339" spans="4:4" x14ac:dyDescent="0.2">
      <c r="D339" s="37">
        <v>598.55213525299632</v>
      </c>
    </row>
    <row r="340" spans="4:4" x14ac:dyDescent="0.2">
      <c r="D340" s="37">
        <v>228.4999652510684</v>
      </c>
    </row>
    <row r="341" spans="4:4" x14ac:dyDescent="0.2">
      <c r="D341" s="37">
        <v>488.84342198205053</v>
      </c>
    </row>
    <row r="342" spans="4:4" x14ac:dyDescent="0.2">
      <c r="D342" s="37">
        <v>467.26114549343157</v>
      </c>
    </row>
    <row r="343" spans="4:4" x14ac:dyDescent="0.2">
      <c r="D343" s="37">
        <v>365.27110821001475</v>
      </c>
    </row>
    <row r="344" spans="4:4" x14ac:dyDescent="0.2">
      <c r="D344" s="37">
        <v>300.72190759776345</v>
      </c>
    </row>
    <row r="345" spans="4:4" x14ac:dyDescent="0.2">
      <c r="D345" s="37">
        <v>340.08823712305053</v>
      </c>
    </row>
    <row r="346" spans="4:4" x14ac:dyDescent="0.2">
      <c r="D346" s="37">
        <v>347.16240889654995</v>
      </c>
    </row>
    <row r="347" spans="4:4" x14ac:dyDescent="0.2">
      <c r="D347" s="37">
        <v>467.45742038577515</v>
      </c>
    </row>
    <row r="348" spans="4:4" x14ac:dyDescent="0.2">
      <c r="D348" s="37">
        <v>593.30937947256689</v>
      </c>
    </row>
    <row r="349" spans="4:4" x14ac:dyDescent="0.2">
      <c r="D349" s="37">
        <v>224.77257832773446</v>
      </c>
    </row>
    <row r="350" spans="4:4" x14ac:dyDescent="0.2">
      <c r="D350" s="37">
        <v>481.52201792388513</v>
      </c>
    </row>
    <row r="351" spans="4:4" x14ac:dyDescent="0.2">
      <c r="D351" s="37">
        <v>465.59744615885057</v>
      </c>
    </row>
    <row r="352" spans="4:4" x14ac:dyDescent="0.2">
      <c r="D352" s="37">
        <v>361.83646555572011</v>
      </c>
    </row>
    <row r="353" spans="4:4" x14ac:dyDescent="0.2">
      <c r="D353" s="37">
        <v>296.12779502068935</v>
      </c>
    </row>
    <row r="354" spans="4:4" x14ac:dyDescent="0.2">
      <c r="D354" s="37">
        <v>336.14453916907064</v>
      </c>
    </row>
    <row r="355" spans="4:4" x14ac:dyDescent="0.2">
      <c r="D355" s="37">
        <v>343.68642923355043</v>
      </c>
    </row>
    <row r="356" spans="4:4" x14ac:dyDescent="0.2">
      <c r="D356" s="37">
        <v>460.6242477418304</v>
      </c>
    </row>
    <row r="357" spans="4:4" x14ac:dyDescent="0.2">
      <c r="D357" s="37">
        <v>587.91684442290807</v>
      </c>
    </row>
    <row r="358" spans="4:4" x14ac:dyDescent="0.2">
      <c r="D358" s="37">
        <v>221.90064488166695</v>
      </c>
    </row>
    <row r="359" spans="4:4" x14ac:dyDescent="0.2">
      <c r="D359" s="37">
        <v>474.78382441672011</v>
      </c>
    </row>
    <row r="360" spans="4:4" x14ac:dyDescent="0.2">
      <c r="D360" s="37">
        <v>462.51354114119664</v>
      </c>
    </row>
    <row r="361" spans="4:4" x14ac:dyDescent="0.2">
      <c r="D361" s="37">
        <v>358.55167003398827</v>
      </c>
    </row>
    <row r="362" spans="4:4" x14ac:dyDescent="0.2">
      <c r="D362" s="37">
        <v>291.12990080639781</v>
      </c>
    </row>
    <row r="363" spans="4:4" x14ac:dyDescent="0.2">
      <c r="D363" s="37">
        <v>331.89195506065749</v>
      </c>
    </row>
    <row r="364" spans="4:4" x14ac:dyDescent="0.2">
      <c r="D364" s="37">
        <v>340.08299956735465</v>
      </c>
    </row>
    <row r="365" spans="4:4" x14ac:dyDescent="0.2">
      <c r="D365" s="37">
        <v>456.01473599141201</v>
      </c>
    </row>
    <row r="366" spans="4:4" x14ac:dyDescent="0.2">
      <c r="D366" s="37">
        <v>583.3067651293178</v>
      </c>
    </row>
    <row r="367" spans="4:4" x14ac:dyDescent="0.2">
      <c r="D367" s="37">
        <v>218.88450455884484</v>
      </c>
    </row>
    <row r="368" spans="4:4" x14ac:dyDescent="0.2">
      <c r="D368" s="37">
        <v>468.08332674102496</v>
      </c>
    </row>
    <row r="369" spans="4:4" x14ac:dyDescent="0.2">
      <c r="D369" s="37">
        <v>459.42516984050786</v>
      </c>
    </row>
    <row r="370" spans="4:4" x14ac:dyDescent="0.2">
      <c r="D370" s="37">
        <v>355.45699998909737</v>
      </c>
    </row>
    <row r="371" spans="4:4" x14ac:dyDescent="0.2">
      <c r="D371" s="37">
        <v>286.21032156507874</v>
      </c>
    </row>
    <row r="372" spans="4:4" x14ac:dyDescent="0.2">
      <c r="D372" s="37">
        <v>327.64797841124016</v>
      </c>
    </row>
    <row r="373" spans="4:4" x14ac:dyDescent="0.2">
      <c r="D373" s="37">
        <v>336.45469621710203</v>
      </c>
    </row>
    <row r="374" spans="4:4" x14ac:dyDescent="0.2">
      <c r="D374" s="37">
        <v>451.91086833989453</v>
      </c>
    </row>
    <row r="375" spans="4:4" x14ac:dyDescent="0.2">
      <c r="D375" s="37">
        <v>578.94658412905073</v>
      </c>
    </row>
    <row r="376" spans="4:4" x14ac:dyDescent="0.2">
      <c r="D376" s="37">
        <v>216.00836323973783</v>
      </c>
    </row>
    <row r="377" spans="4:4" x14ac:dyDescent="0.2">
      <c r="D377" s="37">
        <v>461.62393897761439</v>
      </c>
    </row>
    <row r="378" spans="4:4" x14ac:dyDescent="0.2">
      <c r="D378" s="37">
        <v>456.54581874244786</v>
      </c>
    </row>
    <row r="379" spans="4:4" x14ac:dyDescent="0.2">
      <c r="D379" s="37">
        <v>352.58299395368977</v>
      </c>
    </row>
    <row r="380" spans="4:4" x14ac:dyDescent="0.2">
      <c r="D380" s="37">
        <v>281.51152143371689</v>
      </c>
    </row>
    <row r="381" spans="4:4" x14ac:dyDescent="0.2">
      <c r="D381" s="37">
        <v>323.53142129318121</v>
      </c>
    </row>
    <row r="382" spans="4:4" x14ac:dyDescent="0.2">
      <c r="D382" s="37">
        <v>332.88525979120629</v>
      </c>
    </row>
    <row r="383" spans="4:4" x14ac:dyDescent="0.2">
      <c r="D383" s="37">
        <v>447.99502675514498</v>
      </c>
    </row>
    <row r="384" spans="4:4" x14ac:dyDescent="0.2">
      <c r="D384" s="37">
        <v>574.61599276653874</v>
      </c>
    </row>
    <row r="385" spans="4:4" x14ac:dyDescent="0.2">
      <c r="D385" s="37">
        <v>214.93160614112622</v>
      </c>
    </row>
    <row r="386" spans="4:4" x14ac:dyDescent="0.2">
      <c r="D386" s="37">
        <v>457.66213538996095</v>
      </c>
    </row>
    <row r="387" spans="4:4" x14ac:dyDescent="0.2">
      <c r="D387" s="37">
        <v>454.18361707348095</v>
      </c>
    </row>
    <row r="388" spans="4:4" x14ac:dyDescent="0.2">
      <c r="D388" s="37">
        <v>350.08696287915706</v>
      </c>
    </row>
    <row r="389" spans="4:4" x14ac:dyDescent="0.2">
      <c r="D389" s="37">
        <v>277.32257993867756</v>
      </c>
    </row>
    <row r="390" spans="4:4" x14ac:dyDescent="0.2">
      <c r="D390" s="37">
        <v>319.92513880462747</v>
      </c>
    </row>
    <row r="391" spans="4:4" x14ac:dyDescent="0.2">
      <c r="D391" s="37">
        <v>329.62710116487909</v>
      </c>
    </row>
    <row r="392" spans="4:4" x14ac:dyDescent="0.2">
      <c r="D392" s="37">
        <v>443.10984863543194</v>
      </c>
    </row>
    <row r="393" spans="4:4" x14ac:dyDescent="0.2">
      <c r="D393" s="37">
        <v>570.24364596161001</v>
      </c>
    </row>
    <row r="394" spans="4:4" x14ac:dyDescent="0.2">
      <c r="D394" s="37">
        <v>212.30873803421321</v>
      </c>
    </row>
    <row r="395" spans="4:4" x14ac:dyDescent="0.2">
      <c r="D395" s="37">
        <v>451.43997438591373</v>
      </c>
    </row>
    <row r="396" spans="4:4" x14ac:dyDescent="0.2">
      <c r="D396" s="37">
        <v>451.11142895692785</v>
      </c>
    </row>
    <row r="397" spans="4:4" x14ac:dyDescent="0.2">
      <c r="D397" s="37">
        <v>347.57455507126838</v>
      </c>
    </row>
    <row r="398" spans="4:4" x14ac:dyDescent="0.2">
      <c r="D398" s="37">
        <v>273.23532344565615</v>
      </c>
    </row>
    <row r="399" spans="4:4" x14ac:dyDescent="0.2">
      <c r="D399" s="37">
        <v>316.48199431467538</v>
      </c>
    </row>
    <row r="400" spans="4:4" x14ac:dyDescent="0.2">
      <c r="D400" s="37">
        <v>326.19325939854912</v>
      </c>
    </row>
    <row r="401" spans="4:4" x14ac:dyDescent="0.2">
      <c r="D401" s="37">
        <v>438.52901401841933</v>
      </c>
    </row>
    <row r="402" spans="4:4" x14ac:dyDescent="0.2">
      <c r="D402" s="37">
        <v>566.34270292282304</v>
      </c>
    </row>
    <row r="403" spans="4:4" x14ac:dyDescent="0.2">
      <c r="D403" s="37">
        <v>209.8544809069605</v>
      </c>
    </row>
    <row r="404" spans="4:4" x14ac:dyDescent="0.2">
      <c r="D404" s="37">
        <v>445.36590496939726</v>
      </c>
    </row>
    <row r="405" spans="4:4" x14ac:dyDescent="0.2">
      <c r="D405" s="37">
        <v>448.08368969693498</v>
      </c>
    </row>
    <row r="406" spans="4:4" x14ac:dyDescent="0.2">
      <c r="D406" s="37">
        <v>345.39796461157988</v>
      </c>
    </row>
    <row r="407" spans="4:4" x14ac:dyDescent="0.2">
      <c r="D407" s="37">
        <v>269.43575320241939</v>
      </c>
    </row>
    <row r="408" spans="4:4" x14ac:dyDescent="0.2">
      <c r="D408" s="37">
        <v>313.1928066182823</v>
      </c>
    </row>
    <row r="409" spans="4:4" x14ac:dyDescent="0.2">
      <c r="D409" s="37">
        <v>322.91927788028033</v>
      </c>
    </row>
    <row r="410" spans="4:4" x14ac:dyDescent="0.2">
      <c r="D410" s="37">
        <v>433.6457794081519</v>
      </c>
    </row>
    <row r="411" spans="4:4" x14ac:dyDescent="0.2">
      <c r="D411" s="37">
        <v>562.3850399194198</v>
      </c>
    </row>
    <row r="412" spans="4:4" x14ac:dyDescent="0.2">
      <c r="D412" s="37">
        <v>207.64297812914614</v>
      </c>
    </row>
    <row r="413" spans="4:4" x14ac:dyDescent="0.2">
      <c r="D413" s="37">
        <v>439.59876542037574</v>
      </c>
    </row>
    <row r="414" spans="4:4" x14ac:dyDescent="0.2">
      <c r="D414" s="37">
        <v>445.23153675499447</v>
      </c>
    </row>
    <row r="415" spans="4:4" x14ac:dyDescent="0.2">
      <c r="D415" s="37">
        <v>343.3205388501338</v>
      </c>
    </row>
    <row r="416" spans="4:4" x14ac:dyDescent="0.2">
      <c r="D416" s="37">
        <v>265.87352674148963</v>
      </c>
    </row>
    <row r="417" spans="4:4" x14ac:dyDescent="0.2">
      <c r="D417" s="37">
        <v>309.9102859996807</v>
      </c>
    </row>
    <row r="418" spans="4:4" x14ac:dyDescent="0.2">
      <c r="D418" s="37">
        <v>319.72087397415407</v>
      </c>
    </row>
    <row r="419" spans="4:4" x14ac:dyDescent="0.2">
      <c r="D419" s="37">
        <v>428.94929558461837</v>
      </c>
    </row>
    <row r="420" spans="4:4" x14ac:dyDescent="0.2">
      <c r="D420" s="37">
        <v>558.45921935457568</v>
      </c>
    </row>
    <row r="421" spans="4:4" x14ac:dyDescent="0.2">
      <c r="D421" s="37">
        <v>205.57239584951972</v>
      </c>
    </row>
    <row r="422" spans="4:4" x14ac:dyDescent="0.2">
      <c r="D422" s="37">
        <v>434.05452743408006</v>
      </c>
    </row>
    <row r="423" spans="4:4" x14ac:dyDescent="0.2">
      <c r="D423" s="37">
        <v>442.65471612250792</v>
      </c>
    </row>
    <row r="424" spans="4:4" x14ac:dyDescent="0.2">
      <c r="D424" s="37">
        <v>341.36425325294618</v>
      </c>
    </row>
    <row r="425" spans="4:4" x14ac:dyDescent="0.2">
      <c r="D425" s="37">
        <v>262.41922625237123</v>
      </c>
    </row>
    <row r="426" spans="4:4" x14ac:dyDescent="0.2">
      <c r="D426" s="37">
        <v>306.68437512495893</v>
      </c>
    </row>
    <row r="427" spans="4:4" x14ac:dyDescent="0.2">
      <c r="D427" s="37">
        <v>316.53374372510007</v>
      </c>
    </row>
    <row r="428" spans="4:4" x14ac:dyDescent="0.2">
      <c r="D428" s="37">
        <v>424.67519037346955</v>
      </c>
    </row>
    <row r="429" spans="4:4" x14ac:dyDescent="0.2">
      <c r="D429" s="37">
        <v>554.85250204895567</v>
      </c>
    </row>
    <row r="430" spans="4:4" x14ac:dyDescent="0.2">
      <c r="D430" s="37">
        <v>203.51354888810775</v>
      </c>
    </row>
    <row r="431" spans="4:4" x14ac:dyDescent="0.2">
      <c r="D431" s="37">
        <v>428.62114360789508</v>
      </c>
    </row>
    <row r="432" spans="4:4" x14ac:dyDescent="0.2">
      <c r="D432" s="37">
        <v>440.12688842889469</v>
      </c>
    </row>
    <row r="433" spans="4:4" x14ac:dyDescent="0.2">
      <c r="D433" s="37">
        <v>339.46942464095673</v>
      </c>
    </row>
    <row r="434" spans="4:4" x14ac:dyDescent="0.2">
      <c r="D434" s="37">
        <v>259.06129809947697</v>
      </c>
    </row>
    <row r="435" spans="4:4" x14ac:dyDescent="0.2">
      <c r="D435" s="37">
        <v>303.60534615127762</v>
      </c>
    </row>
    <row r="436" spans="4:4" x14ac:dyDescent="0.2">
      <c r="D436" s="37">
        <v>313.38975878446143</v>
      </c>
    </row>
    <row r="437" spans="4:4" x14ac:dyDescent="0.2">
      <c r="D437" s="37">
        <v>420.57306072219183</v>
      </c>
    </row>
    <row r="438" spans="4:4" x14ac:dyDescent="0.2">
      <c r="D438" s="37">
        <v>551.31788837217357</v>
      </c>
    </row>
    <row r="439" spans="4:4" x14ac:dyDescent="0.2">
      <c r="D439" s="37">
        <v>201.39763683550095</v>
      </c>
    </row>
    <row r="440" spans="4:4" x14ac:dyDescent="0.2">
      <c r="D440" s="37">
        <v>423.11342398777691</v>
      </c>
    </row>
    <row r="441" spans="4:4" x14ac:dyDescent="0.2">
      <c r="D441" s="37">
        <v>437.53669803576508</v>
      </c>
    </row>
    <row r="442" spans="4:4" x14ac:dyDescent="0.2">
      <c r="D442" s="37">
        <v>337.64826197969529</v>
      </c>
    </row>
    <row r="443" spans="4:4" x14ac:dyDescent="0.2">
      <c r="D443" s="37">
        <v>255.66624661970059</v>
      </c>
    </row>
    <row r="444" spans="4:4" x14ac:dyDescent="0.2">
      <c r="D444" s="37">
        <v>300.47527256089523</v>
      </c>
    </row>
    <row r="445" spans="4:4" x14ac:dyDescent="0.2">
      <c r="D445" s="37">
        <v>310.1698707843056</v>
      </c>
    </row>
    <row r="446" spans="4:4" x14ac:dyDescent="0.2">
      <c r="D446" s="37">
        <v>416.86255636341872</v>
      </c>
    </row>
    <row r="447" spans="4:4" x14ac:dyDescent="0.2">
      <c r="D447" s="37">
        <v>547.84024272408806</v>
      </c>
    </row>
    <row r="448" spans="4:4" x14ac:dyDescent="0.2">
      <c r="D448" s="37">
        <v>199.50746506381128</v>
      </c>
    </row>
    <row r="449" spans="4:4" x14ac:dyDescent="0.2">
      <c r="D449" s="37">
        <v>417.98798722327314</v>
      </c>
    </row>
    <row r="450" spans="4:4" x14ac:dyDescent="0.2">
      <c r="D450" s="37">
        <v>435.28183137060796</v>
      </c>
    </row>
    <row r="451" spans="4:4" x14ac:dyDescent="0.2">
      <c r="D451" s="37">
        <v>335.96424922540098</v>
      </c>
    </row>
    <row r="452" spans="4:4" x14ac:dyDescent="0.2">
      <c r="D452" s="37">
        <v>252.47355018333599</v>
      </c>
    </row>
    <row r="453" spans="4:4" x14ac:dyDescent="0.2">
      <c r="D453" s="37">
        <v>297.52353470690946</v>
      </c>
    </row>
    <row r="454" spans="4:4" x14ac:dyDescent="0.2">
      <c r="D454" s="37">
        <v>307.03637574978927</v>
      </c>
    </row>
    <row r="455" spans="4:4" x14ac:dyDescent="0.2">
      <c r="D455" s="37">
        <v>413.05477057168747</v>
      </c>
    </row>
    <row r="456" spans="4:4" x14ac:dyDescent="0.2">
      <c r="D456" s="37">
        <v>544.39375191473096</v>
      </c>
    </row>
    <row r="457" spans="4:4" x14ac:dyDescent="0.2">
      <c r="D457" s="37">
        <v>197.73654796218068</v>
      </c>
    </row>
    <row r="458" spans="4:4" x14ac:dyDescent="0.2">
      <c r="D458" s="37">
        <v>413.07635164696325</v>
      </c>
    </row>
    <row r="459" spans="4:4" x14ac:dyDescent="0.2">
      <c r="D459" s="37">
        <v>433.23790648852741</v>
      </c>
    </row>
    <row r="460" spans="4:4" x14ac:dyDescent="0.2">
      <c r="D460" s="37">
        <v>334.36882846273915</v>
      </c>
    </row>
    <row r="461" spans="4:4" x14ac:dyDescent="0.2">
      <c r="D461" s="37">
        <v>249.39932444465495</v>
      </c>
    </row>
    <row r="462" spans="4:4" x14ac:dyDescent="0.2">
      <c r="D462" s="37">
        <v>294.6793380095786</v>
      </c>
    </row>
    <row r="463" spans="4:4" x14ac:dyDescent="0.2">
      <c r="D463" s="37">
        <v>303.96220872024747</v>
      </c>
    </row>
    <row r="464" spans="4:4" x14ac:dyDescent="0.2">
      <c r="D464" s="37">
        <v>409.24822766892885</v>
      </c>
    </row>
    <row r="465" spans="4:4" x14ac:dyDescent="0.2">
      <c r="D465" s="37">
        <v>540.9923291294017</v>
      </c>
    </row>
    <row r="466" spans="4:4" x14ac:dyDescent="0.2">
      <c r="D466" s="37">
        <v>196.11824374036001</v>
      </c>
    </row>
    <row r="467" spans="4:4" x14ac:dyDescent="0.2">
      <c r="D467" s="37">
        <v>408.41284028638728</v>
      </c>
    </row>
    <row r="468" spans="4:4" x14ac:dyDescent="0.2">
      <c r="D468" s="37">
        <v>431.55647196937139</v>
      </c>
    </row>
    <row r="469" spans="4:4" x14ac:dyDescent="0.2">
      <c r="D469" s="37">
        <v>332.90170993119096</v>
      </c>
    </row>
    <row r="470" spans="4:4" x14ac:dyDescent="0.2">
      <c r="D470" s="37">
        <v>246.44589404791725</v>
      </c>
    </row>
    <row r="471" spans="4:4" x14ac:dyDescent="0.2">
      <c r="D471" s="37">
        <v>291.80677957533828</v>
      </c>
    </row>
    <row r="472" spans="4:4" x14ac:dyDescent="0.2">
      <c r="D472" s="37">
        <v>300.96652727084199</v>
      </c>
    </row>
    <row r="473" spans="4:4" x14ac:dyDescent="0.2">
      <c r="D473" s="37">
        <v>405.36436118472528</v>
      </c>
    </row>
    <row r="474" spans="4:4" x14ac:dyDescent="0.2">
      <c r="D474" s="37">
        <v>537.49893175113402</v>
      </c>
    </row>
    <row r="475" spans="4:4" x14ac:dyDescent="0.2">
      <c r="D475" s="37">
        <v>194.60563831770367</v>
      </c>
    </row>
    <row r="476" spans="4:4" x14ac:dyDescent="0.2">
      <c r="D476" s="37">
        <v>404.01790225860816</v>
      </c>
    </row>
    <row r="477" spans="4:4" x14ac:dyDescent="0.2">
      <c r="D477" s="37">
        <v>429.97977296539443</v>
      </c>
    </row>
    <row r="478" spans="4:4" x14ac:dyDescent="0.2">
      <c r="D478" s="37">
        <v>332.44030884713669</v>
      </c>
    </row>
    <row r="479" spans="4:4" x14ac:dyDescent="0.2">
      <c r="D479" s="37">
        <v>244.17597440211179</v>
      </c>
    </row>
    <row r="480" spans="4:4" x14ac:dyDescent="0.2">
      <c r="D480" s="37">
        <v>287.55834749480914</v>
      </c>
    </row>
    <row r="481" spans="4:4" x14ac:dyDescent="0.2">
      <c r="D481" s="37">
        <v>298.21019688638546</v>
      </c>
    </row>
    <row r="482" spans="4:4" x14ac:dyDescent="0.2">
      <c r="D482" s="37">
        <v>401.94866293592145</v>
      </c>
    </row>
    <row r="483" spans="4:4" x14ac:dyDescent="0.2">
      <c r="D483" s="37">
        <v>533.91463114809335</v>
      </c>
    </row>
    <row r="484" spans="4:4" x14ac:dyDescent="0.2">
      <c r="D484" s="37">
        <v>193.31129115451063</v>
      </c>
    </row>
    <row r="485" spans="4:4" x14ac:dyDescent="0.2">
      <c r="D485" s="37">
        <v>399.94389841603333</v>
      </c>
    </row>
    <row r="486" spans="4:4" x14ac:dyDescent="0.2">
      <c r="D486" s="37">
        <v>428.28119454827095</v>
      </c>
    </row>
    <row r="487" spans="4:4" x14ac:dyDescent="0.2">
      <c r="D487" s="37">
        <v>331.20940569309255</v>
      </c>
    </row>
    <row r="488" spans="4:4" x14ac:dyDescent="0.2">
      <c r="D488" s="37">
        <v>241.0349467441975</v>
      </c>
    </row>
    <row r="489" spans="4:4" x14ac:dyDescent="0.2">
      <c r="D489" s="37">
        <v>284.85860693917698</v>
      </c>
    </row>
    <row r="490" spans="4:4" x14ac:dyDescent="0.2">
      <c r="D490" s="37">
        <v>295.51928663520073</v>
      </c>
    </row>
    <row r="491" spans="4:4" x14ac:dyDescent="0.2">
      <c r="D491" s="37">
        <v>398.07527329783341</v>
      </c>
    </row>
    <row r="492" spans="4:4" x14ac:dyDescent="0.2">
      <c r="D492" s="37">
        <v>530.58983989654644</v>
      </c>
    </row>
    <row r="493" spans="4:4" x14ac:dyDescent="0.2">
      <c r="D493" s="37">
        <v>191.74186866793781</v>
      </c>
    </row>
    <row r="494" spans="4:4" x14ac:dyDescent="0.2">
      <c r="D494" s="37">
        <v>395.63125889715684</v>
      </c>
    </row>
    <row r="495" spans="4:4" x14ac:dyDescent="0.2">
      <c r="D495" s="37">
        <v>426.33156748173917</v>
      </c>
    </row>
    <row r="496" spans="4:4" x14ac:dyDescent="0.2">
      <c r="D496" s="37">
        <v>330.32925073172635</v>
      </c>
    </row>
    <row r="497" spans="4:4" x14ac:dyDescent="0.2">
      <c r="D497" s="37">
        <v>237.55925848050833</v>
      </c>
    </row>
    <row r="498" spans="4:4" x14ac:dyDescent="0.2">
      <c r="D498" s="37">
        <v>279.78851582303696</v>
      </c>
    </row>
    <row r="499" spans="4:4" x14ac:dyDescent="0.2">
      <c r="D499" s="37">
        <v>291.35320606536385</v>
      </c>
    </row>
    <row r="500" spans="4:4" x14ac:dyDescent="0.2">
      <c r="D500" s="37">
        <v>400.91284869941563</v>
      </c>
    </row>
    <row r="501" spans="4:4" x14ac:dyDescent="0.2">
      <c r="D501" s="37">
        <v>528.56320557805168</v>
      </c>
    </row>
    <row r="502" spans="4:4" x14ac:dyDescent="0.2">
      <c r="D502" s="37">
        <v>189.86774824320904</v>
      </c>
    </row>
    <row r="503" spans="4:4" x14ac:dyDescent="0.2">
      <c r="D503" s="37">
        <v>390.95114832650677</v>
      </c>
    </row>
    <row r="504" spans="4:4" x14ac:dyDescent="0.2">
      <c r="D504" s="37">
        <v>426.01037652059841</v>
      </c>
    </row>
    <row r="505" spans="4:4" x14ac:dyDescent="0.2">
      <c r="D505" s="37">
        <v>329.37582232876207</v>
      </c>
    </row>
    <row r="506" spans="4:4" x14ac:dyDescent="0.2">
      <c r="D506" s="37">
        <v>234.96638803442733</v>
      </c>
    </row>
    <row r="507" spans="4:4" x14ac:dyDescent="0.2">
      <c r="D507" s="37">
        <v>277.17388037058015</v>
      </c>
    </row>
    <row r="508" spans="4:4" x14ac:dyDescent="0.2">
      <c r="D508" s="37">
        <v>288.7920485100064</v>
      </c>
    </row>
    <row r="509" spans="4:4" x14ac:dyDescent="0.2">
      <c r="D509" s="37">
        <v>396.99103243958018</v>
      </c>
    </row>
    <row r="510" spans="4:4" x14ac:dyDescent="0.2">
      <c r="D510" s="37">
        <v>524.93016529529166</v>
      </c>
    </row>
    <row r="511" spans="4:4" x14ac:dyDescent="0.2">
      <c r="D511" s="37">
        <v>188.67788408141868</v>
      </c>
    </row>
    <row r="512" spans="4:4" x14ac:dyDescent="0.2">
      <c r="D512" s="37">
        <v>387.34228081367002</v>
      </c>
    </row>
    <row r="513" spans="4:4" x14ac:dyDescent="0.2">
      <c r="D513" s="37">
        <v>424.53723014400776</v>
      </c>
    </row>
    <row r="514" spans="4:4" x14ac:dyDescent="0.2">
      <c r="D514" s="37">
        <v>328.47954642498638</v>
      </c>
    </row>
    <row r="515" spans="4:4" x14ac:dyDescent="0.2">
      <c r="D515" s="37">
        <v>231.95165726360787</v>
      </c>
    </row>
    <row r="516" spans="4:4" x14ac:dyDescent="0.2">
      <c r="D516" s="37">
        <v>274.35446686677511</v>
      </c>
    </row>
    <row r="517" spans="4:4" x14ac:dyDescent="0.2">
      <c r="D517" s="37">
        <v>286.04590277507066</v>
      </c>
    </row>
    <row r="518" spans="4:4" x14ac:dyDescent="0.2">
      <c r="D518" s="37">
        <v>394.31113093105455</v>
      </c>
    </row>
    <row r="519" spans="4:4" x14ac:dyDescent="0.2">
      <c r="D519" s="37">
        <v>521.79583198669843</v>
      </c>
    </row>
    <row r="520" spans="4:4" x14ac:dyDescent="0.2">
      <c r="D520" s="37">
        <v>187.35072304493355</v>
      </c>
    </row>
    <row r="521" spans="4:4" x14ac:dyDescent="0.2">
      <c r="D521" s="37">
        <v>383.72839812640547</v>
      </c>
    </row>
    <row r="522" spans="4:4" x14ac:dyDescent="0.2">
      <c r="D522" s="37">
        <v>422.87914532500503</v>
      </c>
    </row>
    <row r="523" spans="4:4" x14ac:dyDescent="0.2">
      <c r="D523" s="37">
        <v>327.54038452534866</v>
      </c>
    </row>
    <row r="524" spans="4:4" x14ac:dyDescent="0.2">
      <c r="D524" s="37">
        <v>228.87425959506416</v>
      </c>
    </row>
    <row r="525" spans="4:4" x14ac:dyDescent="0.2">
      <c r="D525" s="37">
        <v>271.6500674664079</v>
      </c>
    </row>
    <row r="526" spans="4:4" x14ac:dyDescent="0.2">
      <c r="D526" s="37">
        <v>283.30222207858498</v>
      </c>
    </row>
    <row r="527" spans="4:4" x14ac:dyDescent="0.2">
      <c r="D527" s="37">
        <v>391.80573602509554</v>
      </c>
    </row>
    <row r="528" spans="4:4" x14ac:dyDescent="0.2">
      <c r="D528" s="37">
        <v>518.75334099410134</v>
      </c>
    </row>
    <row r="529" spans="4:4" x14ac:dyDescent="0.2">
      <c r="D529" s="37">
        <v>186.02039085184069</v>
      </c>
    </row>
    <row r="530" spans="4:4" x14ac:dyDescent="0.2">
      <c r="D530" s="37">
        <v>380.20699190799036</v>
      </c>
    </row>
    <row r="531" spans="4:4" x14ac:dyDescent="0.2">
      <c r="D531" s="37">
        <v>421.23341162639127</v>
      </c>
    </row>
    <row r="532" spans="4:4" x14ac:dyDescent="0.2">
      <c r="D532" s="37">
        <v>326.64062646158118</v>
      </c>
    </row>
    <row r="533" spans="4:4" x14ac:dyDescent="0.2">
      <c r="D533" s="37">
        <v>225.82920288433351</v>
      </c>
    </row>
    <row r="534" spans="4:4" x14ac:dyDescent="0.2">
      <c r="D534" s="37">
        <v>269.04525516667877</v>
      </c>
    </row>
    <row r="535" spans="4:4" x14ac:dyDescent="0.2">
      <c r="D535" s="37">
        <v>280.58575304062055</v>
      </c>
    </row>
    <row r="536" spans="4:4" x14ac:dyDescent="0.2">
      <c r="D536" s="37">
        <v>389.23227223831822</v>
      </c>
    </row>
    <row r="537" spans="4:4" x14ac:dyDescent="0.2">
      <c r="D537" s="37">
        <v>515.5368272018768</v>
      </c>
    </row>
    <row r="538" spans="4:4" x14ac:dyDescent="0.2">
      <c r="D538" s="37">
        <v>184.85387245994568</v>
      </c>
    </row>
    <row r="539" spans="4:4" x14ac:dyDescent="0.2">
      <c r="D539" s="37">
        <v>376.88925800136138</v>
      </c>
    </row>
    <row r="540" spans="4:4" x14ac:dyDescent="0.2">
      <c r="D540" s="37">
        <v>420.21497308146155</v>
      </c>
    </row>
    <row r="541" spans="4:4" x14ac:dyDescent="0.2">
      <c r="D541" s="37">
        <v>325.79367279793553</v>
      </c>
    </row>
    <row r="542" spans="4:4" x14ac:dyDescent="0.2">
      <c r="D542" s="37">
        <v>223.07945549143969</v>
      </c>
    </row>
    <row r="543" spans="4:4" x14ac:dyDescent="0.2">
      <c r="D543" s="37">
        <v>266.2392027726741</v>
      </c>
    </row>
    <row r="544" spans="4:4" x14ac:dyDescent="0.2">
      <c r="D544" s="37">
        <v>277.98521559705671</v>
      </c>
    </row>
    <row r="545" spans="4:4" x14ac:dyDescent="0.2">
      <c r="D545" s="37">
        <v>386.41795578974205</v>
      </c>
    </row>
    <row r="546" spans="4:4" x14ac:dyDescent="0.2">
      <c r="D546" s="37">
        <v>512.28531323622587</v>
      </c>
    </row>
    <row r="547" spans="4:4" x14ac:dyDescent="0.2">
      <c r="D547" s="37">
        <v>183.61809912010048</v>
      </c>
    </row>
    <row r="548" spans="4:4" x14ac:dyDescent="0.2">
      <c r="D548" s="37">
        <v>373.66656296317603</v>
      </c>
    </row>
    <row r="549" spans="4:4" x14ac:dyDescent="0.2">
      <c r="D549" s="37">
        <v>419.05587183857159</v>
      </c>
    </row>
    <row r="550" spans="4:4" x14ac:dyDescent="0.2">
      <c r="D550" s="37">
        <v>324.92543638195974</v>
      </c>
    </row>
    <row r="551" spans="4:4" x14ac:dyDescent="0.2">
      <c r="D551" s="37">
        <v>220.3324338852149</v>
      </c>
    </row>
    <row r="552" spans="4:4" x14ac:dyDescent="0.2">
      <c r="D552" s="37">
        <v>263.29551368073834</v>
      </c>
    </row>
    <row r="553" spans="4:4" x14ac:dyDescent="0.2">
      <c r="D553" s="37">
        <v>275.46375433529369</v>
      </c>
    </row>
    <row r="554" spans="4:4" x14ac:dyDescent="0.2">
      <c r="D554" s="37">
        <v>383.05182919045507</v>
      </c>
    </row>
    <row r="555" spans="4:4" x14ac:dyDescent="0.2">
      <c r="D555" s="37">
        <v>508.65634243467474</v>
      </c>
    </row>
    <row r="556" spans="4:4" x14ac:dyDescent="0.2">
      <c r="D556" s="37">
        <v>182.51059442305171</v>
      </c>
    </row>
    <row r="557" spans="4:4" x14ac:dyDescent="0.2">
      <c r="D557" s="37">
        <v>370.65360391256252</v>
      </c>
    </row>
    <row r="558" spans="4:4" x14ac:dyDescent="0.2">
      <c r="D558" s="37">
        <v>418.53870318717782</v>
      </c>
    </row>
    <row r="559" spans="4:4" x14ac:dyDescent="0.2">
      <c r="D559" s="37">
        <v>324.25644459745001</v>
      </c>
    </row>
    <row r="560" spans="4:4" x14ac:dyDescent="0.2">
      <c r="D560" s="37">
        <v>217.83195839917889</v>
      </c>
    </row>
    <row r="561" spans="4:4" x14ac:dyDescent="0.2">
      <c r="D561" s="37">
        <v>259.98827130992993</v>
      </c>
    </row>
    <row r="562" spans="4:4" x14ac:dyDescent="0.2">
      <c r="D562" s="37">
        <v>272.95658615370814</v>
      </c>
    </row>
    <row r="563" spans="4:4" x14ac:dyDescent="0.2">
      <c r="D563" s="37">
        <v>380.58235851514291</v>
      </c>
    </row>
    <row r="564" spans="4:4" x14ac:dyDescent="0.2">
      <c r="D564" s="37">
        <v>505.36702065447537</v>
      </c>
    </row>
    <row r="565" spans="4:4" x14ac:dyDescent="0.2">
      <c r="D565" s="37">
        <v>181.30576334380055</v>
      </c>
    </row>
    <row r="566" spans="4:4" x14ac:dyDescent="0.2">
      <c r="D566" s="37">
        <v>367.61501358071428</v>
      </c>
    </row>
    <row r="567" spans="4:4" x14ac:dyDescent="0.2">
      <c r="D567" s="37">
        <v>418.85378635135226</v>
      </c>
    </row>
    <row r="568" spans="4:4" x14ac:dyDescent="0.2">
      <c r="D568" s="37">
        <v>323.48029362747604</v>
      </c>
    </row>
    <row r="569" spans="4:4" x14ac:dyDescent="0.2">
      <c r="D569" s="37">
        <v>215.57607975044453</v>
      </c>
    </row>
  </sheetData>
  <mergeCells count="7">
    <mergeCell ref="BZ2:FU2"/>
    <mergeCell ref="D34:O34"/>
    <mergeCell ref="A14:C14"/>
    <mergeCell ref="D57:K57"/>
    <mergeCell ref="D23:O23"/>
    <mergeCell ref="D46:O46"/>
    <mergeCell ref="Z2:BX2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10"/>
  <sheetViews>
    <sheetView showGridLines="0" workbookViewId="0"/>
  </sheetViews>
  <sheetFormatPr defaultRowHeight="15" x14ac:dyDescent="0.25"/>
  <cols>
    <col min="1" max="16384" width="9.140625" style="82"/>
  </cols>
  <sheetData>
    <row r="1" spans="1:11" x14ac:dyDescent="0.25">
      <c r="A1" s="82">
        <v>15.26</v>
      </c>
      <c r="B1" s="82">
        <v>14.84</v>
      </c>
      <c r="C1" s="82">
        <v>0.871</v>
      </c>
      <c r="D1" s="82">
        <v>5.7629999999999999</v>
      </c>
      <c r="E1" s="82">
        <v>3.3119999999999998</v>
      </c>
      <c r="F1" s="82">
        <v>2.2210000000000001</v>
      </c>
      <c r="G1" s="82">
        <v>5.22</v>
      </c>
      <c r="H1" s="82">
        <v>1</v>
      </c>
      <c r="K1" s="79" t="s">
        <v>237</v>
      </c>
    </row>
    <row r="2" spans="1:11" x14ac:dyDescent="0.25">
      <c r="A2" s="82">
        <v>14.88</v>
      </c>
      <c r="B2" s="82">
        <v>14.57</v>
      </c>
      <c r="C2" s="82">
        <v>0.88109999999999999</v>
      </c>
      <c r="D2" s="82">
        <v>5.5540000000000003</v>
      </c>
      <c r="E2" s="82">
        <v>3.3330000000000002</v>
      </c>
      <c r="F2" s="82">
        <v>1.018</v>
      </c>
      <c r="G2" s="82">
        <v>4.9560000000000004</v>
      </c>
      <c r="H2" s="82">
        <v>1</v>
      </c>
      <c r="K2" s="79" t="s">
        <v>238</v>
      </c>
    </row>
    <row r="3" spans="1:11" x14ac:dyDescent="0.25">
      <c r="A3" s="82">
        <v>14.29</v>
      </c>
      <c r="B3" s="82">
        <v>14.09</v>
      </c>
      <c r="C3" s="82">
        <v>0.90500000000000003</v>
      </c>
      <c r="D3" s="82">
        <v>5.2910000000000004</v>
      </c>
      <c r="E3" s="82">
        <v>3.3370000000000002</v>
      </c>
      <c r="F3" s="82">
        <v>2.6989999999999998</v>
      </c>
      <c r="G3" s="82">
        <v>4.8250000000000002</v>
      </c>
      <c r="H3" s="82">
        <v>1</v>
      </c>
    </row>
    <row r="4" spans="1:11" x14ac:dyDescent="0.25">
      <c r="A4" s="82">
        <v>13.84</v>
      </c>
      <c r="B4" s="82">
        <v>13.94</v>
      </c>
      <c r="C4" s="82">
        <v>0.89549999999999996</v>
      </c>
      <c r="D4" s="82">
        <v>5.3239999999999998</v>
      </c>
      <c r="E4" s="82">
        <v>3.379</v>
      </c>
      <c r="F4" s="82">
        <v>2.2589999999999999</v>
      </c>
      <c r="G4" s="82">
        <v>4.8049999999999997</v>
      </c>
      <c r="H4" s="82">
        <v>1</v>
      </c>
    </row>
    <row r="5" spans="1:11" x14ac:dyDescent="0.25">
      <c r="A5" s="82">
        <v>16.14</v>
      </c>
      <c r="B5" s="82">
        <v>14.99</v>
      </c>
      <c r="C5" s="82">
        <v>0.90339999999999998</v>
      </c>
      <c r="D5" s="82">
        <v>5.6580000000000004</v>
      </c>
      <c r="E5" s="82">
        <v>3.5619999999999998</v>
      </c>
      <c r="F5" s="82">
        <v>1.355</v>
      </c>
      <c r="G5" s="82">
        <v>5.1749999999999998</v>
      </c>
      <c r="H5" s="82">
        <v>1</v>
      </c>
    </row>
    <row r="6" spans="1:11" x14ac:dyDescent="0.25">
      <c r="A6" s="82">
        <v>14.38</v>
      </c>
      <c r="B6" s="82">
        <v>14.21</v>
      </c>
      <c r="C6" s="82">
        <v>0.89510000000000001</v>
      </c>
      <c r="D6" s="82">
        <v>5.3860000000000001</v>
      </c>
      <c r="E6" s="82">
        <v>3.3119999999999998</v>
      </c>
      <c r="F6" s="82">
        <v>2.4620000000000002</v>
      </c>
      <c r="G6" s="82">
        <v>4.9560000000000004</v>
      </c>
      <c r="H6" s="82">
        <v>1</v>
      </c>
    </row>
    <row r="7" spans="1:11" x14ac:dyDescent="0.25">
      <c r="A7" s="82">
        <v>14.69</v>
      </c>
      <c r="B7" s="82">
        <v>14.49</v>
      </c>
      <c r="C7" s="82">
        <v>0.87990000000000002</v>
      </c>
      <c r="D7" s="82">
        <v>5.5629999999999997</v>
      </c>
      <c r="E7" s="82">
        <v>3.2589999999999999</v>
      </c>
      <c r="F7" s="82">
        <v>3.5859999999999999</v>
      </c>
      <c r="G7" s="82">
        <v>5.2190000000000003</v>
      </c>
      <c r="H7" s="82">
        <v>1</v>
      </c>
    </row>
    <row r="8" spans="1:11" x14ac:dyDescent="0.25">
      <c r="A8" s="82">
        <v>14.11</v>
      </c>
      <c r="B8" s="82">
        <v>14.1</v>
      </c>
      <c r="C8" s="82">
        <v>0.8911</v>
      </c>
      <c r="D8" s="82">
        <v>5.42</v>
      </c>
      <c r="E8" s="82">
        <v>3.302</v>
      </c>
      <c r="F8" s="82">
        <v>2.7</v>
      </c>
      <c r="G8" s="82">
        <v>5</v>
      </c>
      <c r="H8" s="82">
        <v>1</v>
      </c>
    </row>
    <row r="9" spans="1:11" x14ac:dyDescent="0.25">
      <c r="A9" s="82">
        <v>16.63</v>
      </c>
      <c r="B9" s="82">
        <v>15.46</v>
      </c>
      <c r="C9" s="82">
        <v>0.87470000000000003</v>
      </c>
      <c r="D9" s="82">
        <v>6.0529999999999999</v>
      </c>
      <c r="E9" s="82">
        <v>3.4649999999999999</v>
      </c>
      <c r="F9" s="82">
        <v>2.04</v>
      </c>
      <c r="G9" s="82">
        <v>5.8769999999999998</v>
      </c>
      <c r="H9" s="82">
        <v>1</v>
      </c>
    </row>
    <row r="10" spans="1:11" x14ac:dyDescent="0.25">
      <c r="A10" s="82">
        <v>16.440000000000001</v>
      </c>
      <c r="B10" s="82">
        <v>15.25</v>
      </c>
      <c r="C10" s="82">
        <v>0.88800000000000001</v>
      </c>
      <c r="D10" s="82">
        <v>5.8840000000000003</v>
      </c>
      <c r="E10" s="82">
        <v>3.5049999999999999</v>
      </c>
      <c r="F10" s="82">
        <v>1.9690000000000001</v>
      </c>
      <c r="G10" s="82">
        <v>5.5330000000000004</v>
      </c>
      <c r="H10" s="82">
        <v>1</v>
      </c>
    </row>
    <row r="11" spans="1:11" x14ac:dyDescent="0.25">
      <c r="A11" s="82">
        <v>15.26</v>
      </c>
      <c r="B11" s="82">
        <v>14.85</v>
      </c>
      <c r="C11" s="82">
        <v>0.86960000000000004</v>
      </c>
      <c r="D11" s="82">
        <v>5.7140000000000004</v>
      </c>
      <c r="E11" s="82">
        <v>3.242</v>
      </c>
      <c r="F11" s="82">
        <v>4.5430000000000001</v>
      </c>
      <c r="G11" s="82">
        <v>5.3140000000000001</v>
      </c>
      <c r="H11" s="82">
        <v>1</v>
      </c>
    </row>
    <row r="12" spans="1:11" x14ac:dyDescent="0.25">
      <c r="A12" s="82">
        <v>14.03</v>
      </c>
      <c r="B12" s="82">
        <v>14.16</v>
      </c>
      <c r="C12" s="82">
        <v>0.87960000000000005</v>
      </c>
      <c r="D12" s="82">
        <v>5.4379999999999997</v>
      </c>
      <c r="E12" s="82">
        <v>3.2010000000000001</v>
      </c>
      <c r="F12" s="82">
        <v>1.7170000000000001</v>
      </c>
      <c r="G12" s="82">
        <v>5.0010000000000003</v>
      </c>
      <c r="H12" s="82">
        <v>1</v>
      </c>
    </row>
    <row r="13" spans="1:11" x14ac:dyDescent="0.25">
      <c r="A13" s="82">
        <v>13.89</v>
      </c>
      <c r="B13" s="82">
        <v>14.02</v>
      </c>
      <c r="C13" s="82">
        <v>0.88800000000000001</v>
      </c>
      <c r="D13" s="82">
        <v>5.4390000000000001</v>
      </c>
      <c r="E13" s="82">
        <v>3.1989999999999998</v>
      </c>
      <c r="F13" s="82">
        <v>3.9860000000000002</v>
      </c>
      <c r="G13" s="82">
        <v>4.7380000000000004</v>
      </c>
      <c r="H13" s="82">
        <v>1</v>
      </c>
    </row>
    <row r="14" spans="1:11" x14ac:dyDescent="0.25">
      <c r="A14" s="82">
        <v>13.78</v>
      </c>
      <c r="B14" s="82">
        <v>14.06</v>
      </c>
      <c r="C14" s="82">
        <v>0.87590000000000001</v>
      </c>
      <c r="D14" s="82">
        <v>5.4790000000000001</v>
      </c>
      <c r="E14" s="82">
        <v>3.1560000000000001</v>
      </c>
      <c r="F14" s="82">
        <v>3.1360000000000001</v>
      </c>
      <c r="G14" s="82">
        <v>4.8719999999999999</v>
      </c>
      <c r="H14" s="82">
        <v>1</v>
      </c>
    </row>
    <row r="15" spans="1:11" x14ac:dyDescent="0.25">
      <c r="A15" s="82">
        <v>13.74</v>
      </c>
      <c r="B15" s="82">
        <v>14.05</v>
      </c>
      <c r="C15" s="82">
        <v>0.87439999999999996</v>
      </c>
      <c r="D15" s="82">
        <v>5.4820000000000002</v>
      </c>
      <c r="E15" s="82">
        <v>3.1139999999999999</v>
      </c>
      <c r="F15" s="82">
        <v>2.9319999999999999</v>
      </c>
      <c r="G15" s="82">
        <v>4.8250000000000002</v>
      </c>
      <c r="H15" s="82">
        <v>1</v>
      </c>
    </row>
    <row r="16" spans="1:11" x14ac:dyDescent="0.25">
      <c r="A16" s="82">
        <v>14.59</v>
      </c>
      <c r="B16" s="82">
        <v>14.28</v>
      </c>
      <c r="C16" s="82">
        <v>0.89929999999999999</v>
      </c>
      <c r="D16" s="82">
        <v>5.351</v>
      </c>
      <c r="E16" s="82">
        <v>3.3330000000000002</v>
      </c>
      <c r="F16" s="82">
        <v>4.1849999999999996</v>
      </c>
      <c r="G16" s="82">
        <v>4.7809999999999997</v>
      </c>
      <c r="H16" s="82">
        <v>1</v>
      </c>
    </row>
    <row r="17" spans="1:8" x14ac:dyDescent="0.25">
      <c r="A17" s="82">
        <v>13.99</v>
      </c>
      <c r="B17" s="82">
        <v>13.83</v>
      </c>
      <c r="C17" s="82">
        <v>0.91830000000000001</v>
      </c>
      <c r="D17" s="82">
        <v>5.1189999999999998</v>
      </c>
      <c r="E17" s="82">
        <v>3.383</v>
      </c>
      <c r="F17" s="82">
        <v>5.234</v>
      </c>
      <c r="G17" s="82">
        <v>4.7809999999999997</v>
      </c>
      <c r="H17" s="82">
        <v>1</v>
      </c>
    </row>
    <row r="18" spans="1:8" x14ac:dyDescent="0.25">
      <c r="A18" s="82">
        <v>15.69</v>
      </c>
      <c r="B18" s="82">
        <v>14.75</v>
      </c>
      <c r="C18" s="82">
        <v>0.90580000000000005</v>
      </c>
      <c r="D18" s="82">
        <v>5.5270000000000001</v>
      </c>
      <c r="E18" s="82">
        <v>3.5139999999999998</v>
      </c>
      <c r="F18" s="82">
        <v>1.599</v>
      </c>
      <c r="G18" s="82">
        <v>5.0460000000000003</v>
      </c>
      <c r="H18" s="82">
        <v>1</v>
      </c>
    </row>
    <row r="19" spans="1:8" x14ac:dyDescent="0.25">
      <c r="A19" s="82">
        <v>14.7</v>
      </c>
      <c r="B19" s="82">
        <v>14.21</v>
      </c>
      <c r="C19" s="82">
        <v>0.9153</v>
      </c>
      <c r="D19" s="82">
        <v>5.2050000000000001</v>
      </c>
      <c r="E19" s="82">
        <v>3.4660000000000002</v>
      </c>
      <c r="F19" s="82">
        <v>1.7669999999999999</v>
      </c>
      <c r="G19" s="82">
        <v>4.649</v>
      </c>
      <c r="H19" s="82">
        <v>1</v>
      </c>
    </row>
    <row r="20" spans="1:8" x14ac:dyDescent="0.25">
      <c r="A20" s="82">
        <v>12.72</v>
      </c>
      <c r="B20" s="82">
        <v>13.57</v>
      </c>
      <c r="C20" s="82">
        <v>0.86860000000000004</v>
      </c>
      <c r="D20" s="82">
        <v>5.226</v>
      </c>
      <c r="E20" s="82">
        <v>3.0489999999999999</v>
      </c>
      <c r="F20" s="82">
        <v>4.1020000000000003</v>
      </c>
      <c r="G20" s="82">
        <v>4.9139999999999997</v>
      </c>
      <c r="H20" s="82">
        <v>1</v>
      </c>
    </row>
    <row r="21" spans="1:8" x14ac:dyDescent="0.25">
      <c r="A21" s="82">
        <v>14.16</v>
      </c>
      <c r="B21" s="82">
        <v>14.4</v>
      </c>
      <c r="C21" s="82">
        <v>0.85840000000000005</v>
      </c>
      <c r="D21" s="82">
        <v>5.6580000000000004</v>
      </c>
      <c r="E21" s="82">
        <v>3.129</v>
      </c>
      <c r="F21" s="82">
        <v>3.0720000000000001</v>
      </c>
      <c r="G21" s="82">
        <v>5.1760000000000002</v>
      </c>
      <c r="H21" s="82">
        <v>1</v>
      </c>
    </row>
    <row r="22" spans="1:8" x14ac:dyDescent="0.25">
      <c r="A22" s="82">
        <v>14.11</v>
      </c>
      <c r="B22" s="82">
        <v>14.26</v>
      </c>
      <c r="C22" s="82">
        <v>0.87219999999999998</v>
      </c>
      <c r="D22" s="82">
        <v>5.52</v>
      </c>
      <c r="E22" s="82">
        <v>3.1680000000000001</v>
      </c>
      <c r="F22" s="82">
        <v>2.6880000000000002</v>
      </c>
      <c r="G22" s="82">
        <v>5.2190000000000003</v>
      </c>
      <c r="H22" s="82">
        <v>1</v>
      </c>
    </row>
    <row r="23" spans="1:8" x14ac:dyDescent="0.25">
      <c r="A23" s="82">
        <v>15.88</v>
      </c>
      <c r="B23" s="82">
        <v>14.9</v>
      </c>
      <c r="C23" s="82">
        <v>0.89880000000000004</v>
      </c>
      <c r="D23" s="82">
        <v>5.6180000000000003</v>
      </c>
      <c r="E23" s="82">
        <v>3.5070000000000001</v>
      </c>
      <c r="F23" s="82">
        <v>0.7651</v>
      </c>
      <c r="G23" s="82">
        <v>5.0910000000000002</v>
      </c>
      <c r="H23" s="82">
        <v>1</v>
      </c>
    </row>
    <row r="24" spans="1:8" x14ac:dyDescent="0.25">
      <c r="A24" s="82">
        <v>12.08</v>
      </c>
      <c r="B24" s="82">
        <v>13.23</v>
      </c>
      <c r="C24" s="82">
        <v>0.86639999999999995</v>
      </c>
      <c r="D24" s="82">
        <v>5.0990000000000002</v>
      </c>
      <c r="E24" s="82">
        <v>2.9359999999999999</v>
      </c>
      <c r="F24" s="82">
        <v>1.415</v>
      </c>
      <c r="G24" s="82">
        <v>4.9610000000000003</v>
      </c>
      <c r="H24" s="82">
        <v>1</v>
      </c>
    </row>
    <row r="25" spans="1:8" x14ac:dyDescent="0.25">
      <c r="A25" s="82">
        <v>15.01</v>
      </c>
      <c r="B25" s="82">
        <v>14.76</v>
      </c>
      <c r="C25" s="82">
        <v>0.86570000000000003</v>
      </c>
      <c r="D25" s="82">
        <v>5.7889999999999997</v>
      </c>
      <c r="E25" s="82">
        <v>3.2450000000000001</v>
      </c>
      <c r="F25" s="82">
        <v>1.7909999999999999</v>
      </c>
      <c r="G25" s="82">
        <v>5.0010000000000003</v>
      </c>
      <c r="H25" s="82">
        <v>1</v>
      </c>
    </row>
    <row r="26" spans="1:8" x14ac:dyDescent="0.25">
      <c r="A26" s="82">
        <v>16.190000000000001</v>
      </c>
      <c r="B26" s="82">
        <v>15.16</v>
      </c>
      <c r="C26" s="82">
        <v>0.88490000000000002</v>
      </c>
      <c r="D26" s="82">
        <v>5.8330000000000002</v>
      </c>
      <c r="E26" s="82">
        <v>3.4209999999999998</v>
      </c>
      <c r="F26" s="82">
        <v>0.90300000000000002</v>
      </c>
      <c r="G26" s="82">
        <v>5.3070000000000004</v>
      </c>
      <c r="H26" s="82">
        <v>1</v>
      </c>
    </row>
    <row r="27" spans="1:8" x14ac:dyDescent="0.25">
      <c r="A27" s="82">
        <v>13.02</v>
      </c>
      <c r="B27" s="82">
        <v>13.76</v>
      </c>
      <c r="C27" s="82">
        <v>0.86409999999999998</v>
      </c>
      <c r="D27" s="82">
        <v>5.3949999999999996</v>
      </c>
      <c r="E27" s="82">
        <v>3.0259999999999998</v>
      </c>
      <c r="F27" s="82">
        <v>3.3730000000000002</v>
      </c>
      <c r="G27" s="82">
        <v>4.8250000000000002</v>
      </c>
      <c r="H27" s="82">
        <v>1</v>
      </c>
    </row>
    <row r="28" spans="1:8" x14ac:dyDescent="0.25">
      <c r="A28" s="82">
        <v>12.74</v>
      </c>
      <c r="B28" s="82">
        <v>13.67</v>
      </c>
      <c r="C28" s="82">
        <v>0.85640000000000005</v>
      </c>
      <c r="D28" s="82">
        <v>5.3949999999999996</v>
      </c>
      <c r="E28" s="82">
        <v>2.956</v>
      </c>
      <c r="F28" s="82">
        <v>2.504</v>
      </c>
      <c r="G28" s="82">
        <v>4.8689999999999998</v>
      </c>
      <c r="H28" s="82">
        <v>1</v>
      </c>
    </row>
    <row r="29" spans="1:8" x14ac:dyDescent="0.25">
      <c r="A29" s="82">
        <v>14.11</v>
      </c>
      <c r="B29" s="82">
        <v>14.18</v>
      </c>
      <c r="C29" s="82">
        <v>0.88200000000000001</v>
      </c>
      <c r="D29" s="82">
        <v>5.5410000000000004</v>
      </c>
      <c r="E29" s="82">
        <v>3.2210000000000001</v>
      </c>
      <c r="F29" s="82">
        <v>2.754</v>
      </c>
      <c r="G29" s="82">
        <v>5.0380000000000003</v>
      </c>
      <c r="H29" s="82">
        <v>1</v>
      </c>
    </row>
    <row r="30" spans="1:8" x14ac:dyDescent="0.25">
      <c r="A30" s="82">
        <v>13.45</v>
      </c>
      <c r="B30" s="82">
        <v>14.02</v>
      </c>
      <c r="C30" s="82">
        <v>0.86040000000000005</v>
      </c>
      <c r="D30" s="82">
        <v>5.516</v>
      </c>
      <c r="E30" s="82">
        <v>3.0649999999999999</v>
      </c>
      <c r="F30" s="82">
        <v>3.5310000000000001</v>
      </c>
      <c r="G30" s="82">
        <v>5.0970000000000004</v>
      </c>
      <c r="H30" s="82">
        <v>1</v>
      </c>
    </row>
    <row r="31" spans="1:8" x14ac:dyDescent="0.25">
      <c r="A31" s="82">
        <v>13.16</v>
      </c>
      <c r="B31" s="82">
        <v>13.82</v>
      </c>
      <c r="C31" s="82">
        <v>0.86619999999999997</v>
      </c>
      <c r="D31" s="82">
        <v>5.4539999999999997</v>
      </c>
      <c r="E31" s="82">
        <v>2.9750000000000001</v>
      </c>
      <c r="F31" s="82">
        <v>0.85509999999999997</v>
      </c>
      <c r="G31" s="82">
        <v>5.056</v>
      </c>
      <c r="H31" s="82">
        <v>1</v>
      </c>
    </row>
    <row r="32" spans="1:8" x14ac:dyDescent="0.25">
      <c r="A32" s="82">
        <v>15.49</v>
      </c>
      <c r="B32" s="82">
        <v>14.94</v>
      </c>
      <c r="C32" s="82">
        <v>0.87239999999999995</v>
      </c>
      <c r="D32" s="82">
        <v>5.7569999999999997</v>
      </c>
      <c r="E32" s="82">
        <v>3.371</v>
      </c>
      <c r="F32" s="82">
        <v>3.4119999999999999</v>
      </c>
      <c r="G32" s="82">
        <v>5.2279999999999998</v>
      </c>
      <c r="H32" s="82">
        <v>1</v>
      </c>
    </row>
    <row r="33" spans="1:8" x14ac:dyDescent="0.25">
      <c r="A33" s="82">
        <v>14.09</v>
      </c>
      <c r="B33" s="82">
        <v>14.41</v>
      </c>
      <c r="C33" s="82">
        <v>0.85289999999999999</v>
      </c>
      <c r="D33" s="82">
        <v>5.7169999999999996</v>
      </c>
      <c r="E33" s="82">
        <v>3.1859999999999999</v>
      </c>
      <c r="F33" s="82">
        <v>3.92</v>
      </c>
      <c r="G33" s="82">
        <v>5.2990000000000004</v>
      </c>
      <c r="H33" s="82">
        <v>1</v>
      </c>
    </row>
    <row r="34" spans="1:8" x14ac:dyDescent="0.25">
      <c r="A34" s="82">
        <v>13.94</v>
      </c>
      <c r="B34" s="82">
        <v>14.17</v>
      </c>
      <c r="C34" s="82">
        <v>0.87280000000000002</v>
      </c>
      <c r="D34" s="82">
        <v>5.585</v>
      </c>
      <c r="E34" s="82">
        <v>3.15</v>
      </c>
      <c r="F34" s="82">
        <v>2.1240000000000001</v>
      </c>
      <c r="G34" s="82">
        <v>5.0119999999999996</v>
      </c>
      <c r="H34" s="82">
        <v>1</v>
      </c>
    </row>
    <row r="35" spans="1:8" x14ac:dyDescent="0.25">
      <c r="A35" s="82">
        <v>15.05</v>
      </c>
      <c r="B35" s="82">
        <v>14.68</v>
      </c>
      <c r="C35" s="82">
        <v>0.87790000000000001</v>
      </c>
      <c r="D35" s="82">
        <v>5.7119999999999997</v>
      </c>
      <c r="E35" s="82">
        <v>3.3279999999999998</v>
      </c>
      <c r="F35" s="82">
        <v>2.129</v>
      </c>
      <c r="G35" s="82">
        <v>5.36</v>
      </c>
      <c r="H35" s="82">
        <v>1</v>
      </c>
    </row>
    <row r="36" spans="1:8" x14ac:dyDescent="0.25">
      <c r="A36" s="82">
        <v>16.12</v>
      </c>
      <c r="B36" s="82">
        <v>15</v>
      </c>
      <c r="C36" s="82">
        <v>0.9</v>
      </c>
      <c r="D36" s="82">
        <v>5.7089999999999996</v>
      </c>
      <c r="E36" s="82">
        <v>3.4849999999999999</v>
      </c>
      <c r="F36" s="82">
        <v>2.27</v>
      </c>
      <c r="G36" s="82">
        <v>5.4429999999999996</v>
      </c>
      <c r="H36" s="82">
        <v>1</v>
      </c>
    </row>
    <row r="37" spans="1:8" x14ac:dyDescent="0.25">
      <c r="A37" s="82">
        <v>16.2</v>
      </c>
      <c r="B37" s="82">
        <v>15.27</v>
      </c>
      <c r="C37" s="82">
        <v>0.87339999999999995</v>
      </c>
      <c r="D37" s="82">
        <v>5.8259999999999996</v>
      </c>
      <c r="E37" s="82">
        <v>3.464</v>
      </c>
      <c r="F37" s="82">
        <v>2.823</v>
      </c>
      <c r="G37" s="82">
        <v>5.5270000000000001</v>
      </c>
      <c r="H37" s="82">
        <v>1</v>
      </c>
    </row>
    <row r="38" spans="1:8" x14ac:dyDescent="0.25">
      <c r="A38" s="82">
        <v>17.079999999999998</v>
      </c>
      <c r="B38" s="82">
        <v>15.38</v>
      </c>
      <c r="C38" s="82">
        <v>0.90790000000000004</v>
      </c>
      <c r="D38" s="82">
        <v>5.8319999999999999</v>
      </c>
      <c r="E38" s="82">
        <v>3.6829999999999998</v>
      </c>
      <c r="F38" s="82">
        <v>2.956</v>
      </c>
      <c r="G38" s="82">
        <v>5.484</v>
      </c>
      <c r="H38" s="82">
        <v>1</v>
      </c>
    </row>
    <row r="39" spans="1:8" x14ac:dyDescent="0.25">
      <c r="A39" s="82">
        <v>14.8</v>
      </c>
      <c r="B39" s="82">
        <v>14.52</v>
      </c>
      <c r="C39" s="82">
        <v>0.88229999999999997</v>
      </c>
      <c r="D39" s="82">
        <v>5.6559999999999997</v>
      </c>
      <c r="E39" s="82">
        <v>3.2879999999999998</v>
      </c>
      <c r="F39" s="82">
        <v>3.1120000000000001</v>
      </c>
      <c r="G39" s="82">
        <v>5.3090000000000002</v>
      </c>
      <c r="H39" s="82">
        <v>1</v>
      </c>
    </row>
    <row r="40" spans="1:8" x14ac:dyDescent="0.25">
      <c r="A40" s="82">
        <v>14.28</v>
      </c>
      <c r="B40" s="82">
        <v>14.17</v>
      </c>
      <c r="C40" s="82">
        <v>0.89439999999999997</v>
      </c>
      <c r="D40" s="82">
        <v>5.3970000000000002</v>
      </c>
      <c r="E40" s="82">
        <v>3.298</v>
      </c>
      <c r="F40" s="82">
        <v>6.6849999999999996</v>
      </c>
      <c r="G40" s="82">
        <v>5.0010000000000003</v>
      </c>
      <c r="H40" s="82">
        <v>1</v>
      </c>
    </row>
    <row r="41" spans="1:8" x14ac:dyDescent="0.25">
      <c r="A41" s="82">
        <v>13.54</v>
      </c>
      <c r="B41" s="82">
        <v>13.85</v>
      </c>
      <c r="C41" s="82">
        <v>0.8871</v>
      </c>
      <c r="D41" s="82">
        <v>5.3479999999999999</v>
      </c>
      <c r="E41" s="82">
        <v>3.1560000000000001</v>
      </c>
      <c r="F41" s="82">
        <v>2.5870000000000002</v>
      </c>
      <c r="G41" s="82">
        <v>5.1779999999999999</v>
      </c>
      <c r="H41" s="82">
        <v>1</v>
      </c>
    </row>
    <row r="42" spans="1:8" x14ac:dyDescent="0.25">
      <c r="A42" s="82">
        <v>13.5</v>
      </c>
      <c r="B42" s="82">
        <v>13.85</v>
      </c>
      <c r="C42" s="82">
        <v>0.88519999999999999</v>
      </c>
      <c r="D42" s="82">
        <v>5.351</v>
      </c>
      <c r="E42" s="82">
        <v>3.1579999999999999</v>
      </c>
      <c r="F42" s="82">
        <v>2.2490000000000001</v>
      </c>
      <c r="G42" s="82">
        <v>5.1760000000000002</v>
      </c>
      <c r="H42" s="82">
        <v>1</v>
      </c>
    </row>
    <row r="43" spans="1:8" x14ac:dyDescent="0.25">
      <c r="A43" s="82">
        <v>13.16</v>
      </c>
      <c r="B43" s="82">
        <v>13.55</v>
      </c>
      <c r="C43" s="82">
        <v>0.90090000000000003</v>
      </c>
      <c r="D43" s="82">
        <v>5.1379999999999999</v>
      </c>
      <c r="E43" s="82">
        <v>3.2010000000000001</v>
      </c>
      <c r="F43" s="82">
        <v>2.4609999999999999</v>
      </c>
      <c r="G43" s="82">
        <v>4.7830000000000004</v>
      </c>
      <c r="H43" s="82">
        <v>1</v>
      </c>
    </row>
    <row r="44" spans="1:8" x14ac:dyDescent="0.25">
      <c r="A44" s="82">
        <v>15.5</v>
      </c>
      <c r="B44" s="82">
        <v>14.86</v>
      </c>
      <c r="C44" s="82">
        <v>0.88200000000000001</v>
      </c>
      <c r="D44" s="82">
        <v>5.8769999999999998</v>
      </c>
      <c r="E44" s="82">
        <v>3.3959999999999999</v>
      </c>
      <c r="F44" s="82">
        <v>4.7110000000000003</v>
      </c>
      <c r="G44" s="82">
        <v>5.5279999999999996</v>
      </c>
      <c r="H44" s="82">
        <v>1</v>
      </c>
    </row>
    <row r="45" spans="1:8" x14ac:dyDescent="0.25">
      <c r="A45" s="82">
        <v>15.11</v>
      </c>
      <c r="B45" s="82">
        <v>14.54</v>
      </c>
      <c r="C45" s="82">
        <v>0.89859999999999995</v>
      </c>
      <c r="D45" s="82">
        <v>5.5789999999999997</v>
      </c>
      <c r="E45" s="82">
        <v>3.4620000000000002</v>
      </c>
      <c r="F45" s="82">
        <v>3.1280000000000001</v>
      </c>
      <c r="G45" s="82">
        <v>5.18</v>
      </c>
      <c r="H45" s="82">
        <v>1</v>
      </c>
    </row>
    <row r="46" spans="1:8" x14ac:dyDescent="0.25">
      <c r="A46" s="82">
        <v>13.8</v>
      </c>
      <c r="B46" s="82">
        <v>14.04</v>
      </c>
      <c r="C46" s="82">
        <v>0.87939999999999996</v>
      </c>
      <c r="D46" s="82">
        <v>5.3760000000000003</v>
      </c>
      <c r="E46" s="82">
        <v>3.1549999999999998</v>
      </c>
      <c r="F46" s="82">
        <v>1.56</v>
      </c>
      <c r="G46" s="82">
        <v>4.9610000000000003</v>
      </c>
      <c r="H46" s="82">
        <v>1</v>
      </c>
    </row>
    <row r="47" spans="1:8" x14ac:dyDescent="0.25">
      <c r="A47" s="82">
        <v>15.36</v>
      </c>
      <c r="B47" s="82">
        <v>14.76</v>
      </c>
      <c r="C47" s="82">
        <v>0.8861</v>
      </c>
      <c r="D47" s="82">
        <v>5.7009999999999996</v>
      </c>
      <c r="E47" s="82">
        <v>3.3929999999999998</v>
      </c>
      <c r="F47" s="82">
        <v>1.367</v>
      </c>
      <c r="G47" s="82">
        <v>5.1319999999999997</v>
      </c>
      <c r="H47" s="82">
        <v>1</v>
      </c>
    </row>
    <row r="48" spans="1:8" x14ac:dyDescent="0.25">
      <c r="A48" s="82">
        <v>14.99</v>
      </c>
      <c r="B48" s="82">
        <v>14.56</v>
      </c>
      <c r="C48" s="82">
        <v>0.88829999999999998</v>
      </c>
      <c r="D48" s="82">
        <v>5.57</v>
      </c>
      <c r="E48" s="82">
        <v>3.3769999999999998</v>
      </c>
      <c r="F48" s="82">
        <v>2.9580000000000002</v>
      </c>
      <c r="G48" s="82">
        <v>5.1749999999999998</v>
      </c>
      <c r="H48" s="82">
        <v>1</v>
      </c>
    </row>
    <row r="49" spans="1:8" x14ac:dyDescent="0.25">
      <c r="A49" s="82">
        <v>14.79</v>
      </c>
      <c r="B49" s="82">
        <v>14.52</v>
      </c>
      <c r="C49" s="82">
        <v>0.88190000000000002</v>
      </c>
      <c r="D49" s="82">
        <v>5.5449999999999999</v>
      </c>
      <c r="E49" s="82">
        <v>3.2909999999999999</v>
      </c>
      <c r="F49" s="82">
        <v>2.7040000000000002</v>
      </c>
      <c r="G49" s="82">
        <v>5.1109999999999998</v>
      </c>
      <c r="H49" s="82">
        <v>1</v>
      </c>
    </row>
    <row r="50" spans="1:8" x14ac:dyDescent="0.25">
      <c r="A50" s="82">
        <v>14.86</v>
      </c>
      <c r="B50" s="82">
        <v>14.67</v>
      </c>
      <c r="C50" s="82">
        <v>0.86760000000000004</v>
      </c>
      <c r="D50" s="82">
        <v>5.6779999999999999</v>
      </c>
      <c r="E50" s="82">
        <v>3.258</v>
      </c>
      <c r="F50" s="82">
        <v>2.129</v>
      </c>
      <c r="G50" s="82">
        <v>5.351</v>
      </c>
      <c r="H50" s="82">
        <v>1</v>
      </c>
    </row>
    <row r="51" spans="1:8" x14ac:dyDescent="0.25">
      <c r="A51" s="82">
        <v>14.43</v>
      </c>
      <c r="B51" s="82">
        <v>14.4</v>
      </c>
      <c r="C51" s="82">
        <v>0.87509999999999999</v>
      </c>
      <c r="D51" s="82">
        <v>5.585</v>
      </c>
      <c r="E51" s="82">
        <v>3.2719999999999998</v>
      </c>
      <c r="F51" s="82">
        <v>3.9750000000000001</v>
      </c>
      <c r="G51" s="82">
        <v>5.1440000000000001</v>
      </c>
      <c r="H51" s="82">
        <v>1</v>
      </c>
    </row>
    <row r="52" spans="1:8" x14ac:dyDescent="0.25">
      <c r="A52" s="82">
        <v>15.78</v>
      </c>
      <c r="B52" s="82">
        <v>14.91</v>
      </c>
      <c r="C52" s="82">
        <v>0.89229999999999998</v>
      </c>
      <c r="D52" s="82">
        <v>5.6740000000000004</v>
      </c>
      <c r="E52" s="82">
        <v>3.4340000000000002</v>
      </c>
      <c r="F52" s="82">
        <v>5.593</v>
      </c>
      <c r="G52" s="82">
        <v>5.1360000000000001</v>
      </c>
      <c r="H52" s="82">
        <v>1</v>
      </c>
    </row>
    <row r="53" spans="1:8" x14ac:dyDescent="0.25">
      <c r="A53" s="82">
        <v>14.49</v>
      </c>
      <c r="B53" s="82">
        <v>14.61</v>
      </c>
      <c r="C53" s="82">
        <v>0.8538</v>
      </c>
      <c r="D53" s="82">
        <v>5.7149999999999999</v>
      </c>
      <c r="E53" s="82">
        <v>3.113</v>
      </c>
      <c r="F53" s="82">
        <v>4.1159999999999997</v>
      </c>
      <c r="G53" s="82">
        <v>5.3959999999999999</v>
      </c>
      <c r="H53" s="82">
        <v>1</v>
      </c>
    </row>
    <row r="54" spans="1:8" x14ac:dyDescent="0.25">
      <c r="A54" s="82">
        <v>14.33</v>
      </c>
      <c r="B54" s="82">
        <v>14.28</v>
      </c>
      <c r="C54" s="82">
        <v>0.8831</v>
      </c>
      <c r="D54" s="82">
        <v>5.5039999999999996</v>
      </c>
      <c r="E54" s="82">
        <v>3.1989999999999998</v>
      </c>
      <c r="F54" s="82">
        <v>3.3279999999999998</v>
      </c>
      <c r="G54" s="82">
        <v>5.2240000000000002</v>
      </c>
      <c r="H54" s="82">
        <v>1</v>
      </c>
    </row>
    <row r="55" spans="1:8" x14ac:dyDescent="0.25">
      <c r="A55" s="82">
        <v>14.52</v>
      </c>
      <c r="B55" s="82">
        <v>14.6</v>
      </c>
      <c r="C55" s="82">
        <v>0.85570000000000002</v>
      </c>
      <c r="D55" s="82">
        <v>5.7409999999999997</v>
      </c>
      <c r="E55" s="82">
        <v>3.113</v>
      </c>
      <c r="F55" s="82">
        <v>1.4810000000000001</v>
      </c>
      <c r="G55" s="82">
        <v>5.4870000000000001</v>
      </c>
      <c r="H55" s="82">
        <v>1</v>
      </c>
    </row>
    <row r="56" spans="1:8" x14ac:dyDescent="0.25">
      <c r="A56" s="82">
        <v>15.03</v>
      </c>
      <c r="B56" s="82">
        <v>14.77</v>
      </c>
      <c r="C56" s="82">
        <v>0.86580000000000001</v>
      </c>
      <c r="D56" s="82">
        <v>5.702</v>
      </c>
      <c r="E56" s="82">
        <v>3.2120000000000002</v>
      </c>
      <c r="F56" s="82">
        <v>1.9330000000000001</v>
      </c>
      <c r="G56" s="82">
        <v>5.4390000000000001</v>
      </c>
      <c r="H56" s="82">
        <v>1</v>
      </c>
    </row>
    <row r="57" spans="1:8" x14ac:dyDescent="0.25">
      <c r="A57" s="82">
        <v>14.46</v>
      </c>
      <c r="B57" s="82">
        <v>14.35</v>
      </c>
      <c r="C57" s="82">
        <v>0.88180000000000003</v>
      </c>
      <c r="D57" s="82">
        <v>5.3879999999999999</v>
      </c>
      <c r="E57" s="82">
        <v>3.3769999999999998</v>
      </c>
      <c r="F57" s="82">
        <v>2.802</v>
      </c>
      <c r="G57" s="82">
        <v>5.0439999999999996</v>
      </c>
      <c r="H57" s="82">
        <v>1</v>
      </c>
    </row>
    <row r="58" spans="1:8" x14ac:dyDescent="0.25">
      <c r="A58" s="82">
        <v>14.92</v>
      </c>
      <c r="B58" s="82">
        <v>14.43</v>
      </c>
      <c r="C58" s="82">
        <v>0.90059999999999996</v>
      </c>
      <c r="D58" s="82">
        <v>5.3840000000000003</v>
      </c>
      <c r="E58" s="82">
        <v>3.4119999999999999</v>
      </c>
      <c r="F58" s="82">
        <v>1.1419999999999999</v>
      </c>
      <c r="G58" s="82">
        <v>5.0880000000000001</v>
      </c>
      <c r="H58" s="82">
        <v>1</v>
      </c>
    </row>
    <row r="59" spans="1:8" x14ac:dyDescent="0.25">
      <c r="A59" s="82">
        <v>15.38</v>
      </c>
      <c r="B59" s="82">
        <v>14.77</v>
      </c>
      <c r="C59" s="82">
        <v>0.88570000000000004</v>
      </c>
      <c r="D59" s="82">
        <v>5.6619999999999999</v>
      </c>
      <c r="E59" s="82">
        <v>3.419</v>
      </c>
      <c r="F59" s="82">
        <v>1.9990000000000001</v>
      </c>
      <c r="G59" s="82">
        <v>5.2220000000000004</v>
      </c>
      <c r="H59" s="82">
        <v>1</v>
      </c>
    </row>
    <row r="60" spans="1:8" x14ac:dyDescent="0.25">
      <c r="A60" s="82">
        <v>12.11</v>
      </c>
      <c r="B60" s="82">
        <v>13.47</v>
      </c>
      <c r="C60" s="82">
        <v>0.83919999999999995</v>
      </c>
      <c r="D60" s="82">
        <v>5.1589999999999998</v>
      </c>
      <c r="E60" s="82">
        <v>3.032</v>
      </c>
      <c r="F60" s="82">
        <v>1.502</v>
      </c>
      <c r="G60" s="82">
        <v>4.5190000000000001</v>
      </c>
      <c r="H60" s="82">
        <v>1</v>
      </c>
    </row>
    <row r="61" spans="1:8" x14ac:dyDescent="0.25">
      <c r="A61" s="82">
        <v>11.42</v>
      </c>
      <c r="B61" s="82">
        <v>12.86</v>
      </c>
      <c r="C61" s="82">
        <v>0.86829999999999996</v>
      </c>
      <c r="D61" s="82">
        <v>5.008</v>
      </c>
      <c r="E61" s="82">
        <v>2.85</v>
      </c>
      <c r="F61" s="82">
        <v>2.7</v>
      </c>
      <c r="G61" s="82">
        <v>4.6070000000000002</v>
      </c>
      <c r="H61" s="82">
        <v>1</v>
      </c>
    </row>
    <row r="62" spans="1:8" x14ac:dyDescent="0.25">
      <c r="A62" s="82">
        <v>11.23</v>
      </c>
      <c r="B62" s="82">
        <v>12.63</v>
      </c>
      <c r="C62" s="82">
        <v>0.88400000000000001</v>
      </c>
      <c r="D62" s="82">
        <v>4.9020000000000001</v>
      </c>
      <c r="E62" s="82">
        <v>2.879</v>
      </c>
      <c r="F62" s="82">
        <v>2.2690000000000001</v>
      </c>
      <c r="G62" s="82">
        <v>4.7030000000000003</v>
      </c>
      <c r="H62" s="82">
        <v>1</v>
      </c>
    </row>
    <row r="63" spans="1:8" x14ac:dyDescent="0.25">
      <c r="A63" s="82">
        <v>12.36</v>
      </c>
      <c r="B63" s="82">
        <v>13.19</v>
      </c>
      <c r="C63" s="82">
        <v>0.89229999999999998</v>
      </c>
      <c r="D63" s="82">
        <v>5.0759999999999996</v>
      </c>
      <c r="E63" s="82">
        <v>3.0419999999999998</v>
      </c>
      <c r="F63" s="82">
        <v>3.22</v>
      </c>
      <c r="G63" s="82">
        <v>4.6050000000000004</v>
      </c>
      <c r="H63" s="82">
        <v>1</v>
      </c>
    </row>
    <row r="64" spans="1:8" x14ac:dyDescent="0.25">
      <c r="A64" s="82">
        <v>13.22</v>
      </c>
      <c r="B64" s="82">
        <v>13.84</v>
      </c>
      <c r="C64" s="82">
        <v>0.86799999999999999</v>
      </c>
      <c r="D64" s="82">
        <v>5.3949999999999996</v>
      </c>
      <c r="E64" s="82">
        <v>3.07</v>
      </c>
      <c r="F64" s="82">
        <v>4.157</v>
      </c>
      <c r="G64" s="82">
        <v>5.0880000000000001</v>
      </c>
      <c r="H64" s="82">
        <v>1</v>
      </c>
    </row>
    <row r="65" spans="1:8" x14ac:dyDescent="0.25">
      <c r="A65" s="82">
        <v>12.78</v>
      </c>
      <c r="B65" s="82">
        <v>13.57</v>
      </c>
      <c r="C65" s="82">
        <v>0.87160000000000004</v>
      </c>
      <c r="D65" s="82">
        <v>5.2619999999999996</v>
      </c>
      <c r="E65" s="82">
        <v>3.0259999999999998</v>
      </c>
      <c r="F65" s="82">
        <v>1.1759999999999999</v>
      </c>
      <c r="G65" s="82">
        <v>4.782</v>
      </c>
      <c r="H65" s="82">
        <v>1</v>
      </c>
    </row>
    <row r="66" spans="1:8" x14ac:dyDescent="0.25">
      <c r="A66" s="82">
        <v>12.88</v>
      </c>
      <c r="B66" s="82">
        <v>13.5</v>
      </c>
      <c r="C66" s="82">
        <v>0.88790000000000002</v>
      </c>
      <c r="D66" s="82">
        <v>5.1390000000000002</v>
      </c>
      <c r="E66" s="82">
        <v>3.1190000000000002</v>
      </c>
      <c r="F66" s="82">
        <v>2.3519999999999999</v>
      </c>
      <c r="G66" s="82">
        <v>4.6070000000000002</v>
      </c>
      <c r="H66" s="82">
        <v>1</v>
      </c>
    </row>
    <row r="67" spans="1:8" x14ac:dyDescent="0.25">
      <c r="A67" s="82">
        <v>14.34</v>
      </c>
      <c r="B67" s="82">
        <v>14.37</v>
      </c>
      <c r="C67" s="82">
        <v>0.87260000000000004</v>
      </c>
      <c r="D67" s="82">
        <v>5.63</v>
      </c>
      <c r="E67" s="82">
        <v>3.19</v>
      </c>
      <c r="F67" s="82">
        <v>1.3129999999999999</v>
      </c>
      <c r="G67" s="82">
        <v>5.15</v>
      </c>
      <c r="H67" s="82">
        <v>1</v>
      </c>
    </row>
    <row r="68" spans="1:8" x14ac:dyDescent="0.25">
      <c r="A68" s="82">
        <v>14.01</v>
      </c>
      <c r="B68" s="82">
        <v>14.29</v>
      </c>
      <c r="C68" s="82">
        <v>0.86250000000000004</v>
      </c>
      <c r="D68" s="82">
        <v>5.609</v>
      </c>
      <c r="E68" s="82">
        <v>3.1579999999999999</v>
      </c>
      <c r="F68" s="82">
        <v>2.2170000000000001</v>
      </c>
      <c r="G68" s="82">
        <v>5.1319999999999997</v>
      </c>
      <c r="H68" s="82">
        <v>1</v>
      </c>
    </row>
    <row r="69" spans="1:8" x14ac:dyDescent="0.25">
      <c r="A69" s="82">
        <v>14.37</v>
      </c>
      <c r="B69" s="82">
        <v>14.39</v>
      </c>
      <c r="C69" s="82">
        <v>0.87260000000000004</v>
      </c>
      <c r="D69" s="82">
        <v>5.569</v>
      </c>
      <c r="E69" s="82">
        <v>3.153</v>
      </c>
      <c r="F69" s="82">
        <v>1.464</v>
      </c>
      <c r="G69" s="82">
        <v>5.3</v>
      </c>
      <c r="H69" s="82">
        <v>1</v>
      </c>
    </row>
    <row r="70" spans="1:8" x14ac:dyDescent="0.25">
      <c r="A70" s="82">
        <v>12.73</v>
      </c>
      <c r="B70" s="82">
        <v>13.75</v>
      </c>
      <c r="C70" s="82">
        <v>0.8458</v>
      </c>
      <c r="D70" s="82">
        <v>5.4119999999999999</v>
      </c>
      <c r="E70" s="82">
        <v>2.8820000000000001</v>
      </c>
      <c r="F70" s="82">
        <v>3.5329999999999999</v>
      </c>
      <c r="G70" s="82">
        <v>5.0670000000000002</v>
      </c>
      <c r="H70" s="82">
        <v>1</v>
      </c>
    </row>
    <row r="71" spans="1:8" x14ac:dyDescent="0.25">
      <c r="A71" s="82">
        <v>17.63</v>
      </c>
      <c r="B71" s="82">
        <v>15.98</v>
      </c>
      <c r="C71" s="82">
        <v>0.86729999999999996</v>
      </c>
      <c r="D71" s="82">
        <v>6.1909999999999998</v>
      </c>
      <c r="E71" s="82">
        <v>3.5609999999999999</v>
      </c>
      <c r="F71" s="82">
        <v>4.0759999999999996</v>
      </c>
      <c r="G71" s="82">
        <v>6.06</v>
      </c>
      <c r="H71" s="82">
        <v>2</v>
      </c>
    </row>
    <row r="72" spans="1:8" x14ac:dyDescent="0.25">
      <c r="A72" s="82">
        <v>16.84</v>
      </c>
      <c r="B72" s="82">
        <v>15.67</v>
      </c>
      <c r="C72" s="82">
        <v>0.86229999999999996</v>
      </c>
      <c r="D72" s="82">
        <v>5.9980000000000002</v>
      </c>
      <c r="E72" s="82">
        <v>3.484</v>
      </c>
      <c r="F72" s="82">
        <v>4.6749999999999998</v>
      </c>
      <c r="G72" s="82">
        <v>5.8769999999999998</v>
      </c>
      <c r="H72" s="82">
        <v>2</v>
      </c>
    </row>
    <row r="73" spans="1:8" x14ac:dyDescent="0.25">
      <c r="A73" s="82">
        <v>17.260000000000002</v>
      </c>
      <c r="B73" s="82">
        <v>15.73</v>
      </c>
      <c r="C73" s="82">
        <v>0.87629999999999997</v>
      </c>
      <c r="D73" s="82">
        <v>5.9779999999999998</v>
      </c>
      <c r="E73" s="82">
        <v>3.5939999999999999</v>
      </c>
      <c r="F73" s="82">
        <v>4.5389999999999997</v>
      </c>
      <c r="G73" s="82">
        <v>5.7910000000000004</v>
      </c>
      <c r="H73" s="82">
        <v>2</v>
      </c>
    </row>
    <row r="74" spans="1:8" x14ac:dyDescent="0.25">
      <c r="A74" s="82">
        <v>19.11</v>
      </c>
      <c r="B74" s="82">
        <v>16.260000000000002</v>
      </c>
      <c r="C74" s="82">
        <v>0.90810000000000002</v>
      </c>
      <c r="D74" s="82">
        <v>6.1539999999999999</v>
      </c>
      <c r="E74" s="82">
        <v>3.93</v>
      </c>
      <c r="F74" s="82">
        <v>2.9359999999999999</v>
      </c>
      <c r="G74" s="82">
        <v>6.0789999999999997</v>
      </c>
      <c r="H74" s="82">
        <v>2</v>
      </c>
    </row>
    <row r="75" spans="1:8" x14ac:dyDescent="0.25">
      <c r="A75" s="82">
        <v>16.82</v>
      </c>
      <c r="B75" s="82">
        <v>15.51</v>
      </c>
      <c r="C75" s="82">
        <v>0.87860000000000005</v>
      </c>
      <c r="D75" s="82">
        <v>6.0170000000000003</v>
      </c>
      <c r="E75" s="82">
        <v>3.4860000000000002</v>
      </c>
      <c r="F75" s="82">
        <v>4.0039999999999996</v>
      </c>
      <c r="G75" s="82">
        <v>5.8410000000000002</v>
      </c>
      <c r="H75" s="82">
        <v>2</v>
      </c>
    </row>
    <row r="76" spans="1:8" x14ac:dyDescent="0.25">
      <c r="A76" s="82">
        <v>16.77</v>
      </c>
      <c r="B76" s="82">
        <v>15.62</v>
      </c>
      <c r="C76" s="82">
        <v>0.86380000000000001</v>
      </c>
      <c r="D76" s="82">
        <v>5.9269999999999996</v>
      </c>
      <c r="E76" s="82">
        <v>3.4380000000000002</v>
      </c>
      <c r="F76" s="82">
        <v>4.92</v>
      </c>
      <c r="G76" s="82">
        <v>5.7949999999999999</v>
      </c>
      <c r="H76" s="82">
        <v>2</v>
      </c>
    </row>
    <row r="77" spans="1:8" x14ac:dyDescent="0.25">
      <c r="A77" s="82">
        <v>17.32</v>
      </c>
      <c r="B77" s="82">
        <v>15.91</v>
      </c>
      <c r="C77" s="82">
        <v>0.8599</v>
      </c>
      <c r="D77" s="82">
        <v>6.0640000000000001</v>
      </c>
      <c r="E77" s="82">
        <v>3.403</v>
      </c>
      <c r="F77" s="82">
        <v>3.8239999999999998</v>
      </c>
      <c r="G77" s="82">
        <v>5.9219999999999997</v>
      </c>
      <c r="H77" s="82">
        <v>2</v>
      </c>
    </row>
    <row r="78" spans="1:8" x14ac:dyDescent="0.25">
      <c r="A78" s="82">
        <v>20.71</v>
      </c>
      <c r="B78" s="82">
        <v>17.23</v>
      </c>
      <c r="C78" s="82">
        <v>0.87629999999999997</v>
      </c>
      <c r="D78" s="82">
        <v>6.5789999999999997</v>
      </c>
      <c r="E78" s="82">
        <v>3.8140000000000001</v>
      </c>
      <c r="F78" s="82">
        <v>4.4509999999999996</v>
      </c>
      <c r="G78" s="82">
        <v>6.4509999999999996</v>
      </c>
      <c r="H78" s="82">
        <v>2</v>
      </c>
    </row>
    <row r="79" spans="1:8" x14ac:dyDescent="0.25">
      <c r="A79" s="82">
        <v>18.940000000000001</v>
      </c>
      <c r="B79" s="82">
        <v>16.489999999999998</v>
      </c>
      <c r="C79" s="82">
        <v>0.875</v>
      </c>
      <c r="D79" s="82">
        <v>6.4450000000000003</v>
      </c>
      <c r="E79" s="82">
        <v>3.6389999999999998</v>
      </c>
      <c r="F79" s="82">
        <v>5.0640000000000001</v>
      </c>
      <c r="G79" s="82">
        <v>6.3620000000000001</v>
      </c>
      <c r="H79" s="82">
        <v>2</v>
      </c>
    </row>
    <row r="80" spans="1:8" x14ac:dyDescent="0.25">
      <c r="A80" s="82">
        <v>17.12</v>
      </c>
      <c r="B80" s="82">
        <v>15.55</v>
      </c>
      <c r="C80" s="82">
        <v>0.88919999999999999</v>
      </c>
      <c r="D80" s="82">
        <v>5.85</v>
      </c>
      <c r="E80" s="82">
        <v>3.5659999999999998</v>
      </c>
      <c r="F80" s="82">
        <v>2.8580000000000001</v>
      </c>
      <c r="G80" s="82">
        <v>5.7460000000000004</v>
      </c>
      <c r="H80" s="82">
        <v>2</v>
      </c>
    </row>
    <row r="81" spans="1:8" x14ac:dyDescent="0.25">
      <c r="A81" s="82">
        <v>16.53</v>
      </c>
      <c r="B81" s="82">
        <v>15.34</v>
      </c>
      <c r="C81" s="82">
        <v>0.88229999999999997</v>
      </c>
      <c r="D81" s="82">
        <v>5.875</v>
      </c>
      <c r="E81" s="82">
        <v>3.4670000000000001</v>
      </c>
      <c r="F81" s="82">
        <v>5.532</v>
      </c>
      <c r="G81" s="82">
        <v>5.88</v>
      </c>
      <c r="H81" s="82">
        <v>2</v>
      </c>
    </row>
    <row r="82" spans="1:8" x14ac:dyDescent="0.25">
      <c r="A82" s="82">
        <v>18.72</v>
      </c>
      <c r="B82" s="82">
        <v>16.190000000000001</v>
      </c>
      <c r="C82" s="82">
        <v>0.89770000000000005</v>
      </c>
      <c r="D82" s="82">
        <v>6.0060000000000002</v>
      </c>
      <c r="E82" s="82">
        <v>3.8570000000000002</v>
      </c>
      <c r="F82" s="82">
        <v>5.3239999999999998</v>
      </c>
      <c r="G82" s="82">
        <v>5.8789999999999996</v>
      </c>
      <c r="H82" s="82">
        <v>2</v>
      </c>
    </row>
    <row r="83" spans="1:8" x14ac:dyDescent="0.25">
      <c r="A83" s="82">
        <v>20.2</v>
      </c>
      <c r="B83" s="82">
        <v>16.89</v>
      </c>
      <c r="C83" s="82">
        <v>0.88939999999999997</v>
      </c>
      <c r="D83" s="82">
        <v>6.2850000000000001</v>
      </c>
      <c r="E83" s="82">
        <v>3.8639999999999999</v>
      </c>
      <c r="F83" s="82">
        <v>5.173</v>
      </c>
      <c r="G83" s="82">
        <v>6.1870000000000003</v>
      </c>
      <c r="H83" s="82">
        <v>2</v>
      </c>
    </row>
    <row r="84" spans="1:8" x14ac:dyDescent="0.25">
      <c r="A84" s="82">
        <v>19.57</v>
      </c>
      <c r="B84" s="82">
        <v>16.739999999999998</v>
      </c>
      <c r="C84" s="82">
        <v>0.87790000000000001</v>
      </c>
      <c r="D84" s="82">
        <v>6.3840000000000003</v>
      </c>
      <c r="E84" s="82">
        <v>3.7719999999999998</v>
      </c>
      <c r="F84" s="82">
        <v>1.472</v>
      </c>
      <c r="G84" s="82">
        <v>6.2729999999999997</v>
      </c>
      <c r="H84" s="82">
        <v>2</v>
      </c>
    </row>
    <row r="85" spans="1:8" x14ac:dyDescent="0.25">
      <c r="A85" s="82">
        <v>19.510000000000002</v>
      </c>
      <c r="B85" s="82">
        <v>16.71</v>
      </c>
      <c r="C85" s="82">
        <v>0.878</v>
      </c>
      <c r="D85" s="82">
        <v>6.3659999999999997</v>
      </c>
      <c r="E85" s="82">
        <v>3.8010000000000002</v>
      </c>
      <c r="F85" s="82">
        <v>2.9620000000000002</v>
      </c>
      <c r="G85" s="82">
        <v>6.1849999999999996</v>
      </c>
      <c r="H85" s="82">
        <v>2</v>
      </c>
    </row>
    <row r="86" spans="1:8" x14ac:dyDescent="0.25">
      <c r="A86" s="82">
        <v>18.27</v>
      </c>
      <c r="B86" s="82">
        <v>16.09</v>
      </c>
      <c r="C86" s="82">
        <v>0.88700000000000001</v>
      </c>
      <c r="D86" s="82">
        <v>6.173</v>
      </c>
      <c r="E86" s="82">
        <v>3.6509999999999998</v>
      </c>
      <c r="F86" s="82">
        <v>2.4430000000000001</v>
      </c>
      <c r="G86" s="82">
        <v>6.1970000000000001</v>
      </c>
      <c r="H86" s="82">
        <v>2</v>
      </c>
    </row>
    <row r="87" spans="1:8" x14ac:dyDescent="0.25">
      <c r="A87" s="82">
        <v>18.88</v>
      </c>
      <c r="B87" s="82">
        <v>16.260000000000002</v>
      </c>
      <c r="C87" s="82">
        <v>0.89690000000000003</v>
      </c>
      <c r="D87" s="82">
        <v>6.0839999999999996</v>
      </c>
      <c r="E87" s="82">
        <v>3.7639999999999998</v>
      </c>
      <c r="F87" s="82">
        <v>1.649</v>
      </c>
      <c r="G87" s="82">
        <v>6.109</v>
      </c>
      <c r="H87" s="82">
        <v>2</v>
      </c>
    </row>
    <row r="88" spans="1:8" x14ac:dyDescent="0.25">
      <c r="A88" s="82">
        <v>18.98</v>
      </c>
      <c r="B88" s="82">
        <v>16.66</v>
      </c>
      <c r="C88" s="82">
        <v>0.85899999999999999</v>
      </c>
      <c r="D88" s="82">
        <v>6.5490000000000004</v>
      </c>
      <c r="E88" s="82">
        <v>3.67</v>
      </c>
      <c r="F88" s="82">
        <v>3.6909999999999998</v>
      </c>
      <c r="G88" s="82">
        <v>6.4980000000000002</v>
      </c>
      <c r="H88" s="82">
        <v>2</v>
      </c>
    </row>
    <row r="89" spans="1:8" x14ac:dyDescent="0.25">
      <c r="A89" s="82">
        <v>21.18</v>
      </c>
      <c r="B89" s="82">
        <v>17.21</v>
      </c>
      <c r="C89" s="82">
        <v>0.89890000000000003</v>
      </c>
      <c r="D89" s="82">
        <v>6.5730000000000004</v>
      </c>
      <c r="E89" s="82">
        <v>4.0330000000000004</v>
      </c>
      <c r="F89" s="82">
        <v>5.78</v>
      </c>
      <c r="G89" s="82">
        <v>6.2309999999999999</v>
      </c>
      <c r="H89" s="82">
        <v>2</v>
      </c>
    </row>
    <row r="90" spans="1:8" x14ac:dyDescent="0.25">
      <c r="A90" s="82">
        <v>20.88</v>
      </c>
      <c r="B90" s="82">
        <v>17.05</v>
      </c>
      <c r="C90" s="82">
        <v>0.90310000000000001</v>
      </c>
      <c r="D90" s="82">
        <v>6.45</v>
      </c>
      <c r="E90" s="82">
        <v>4.032</v>
      </c>
      <c r="F90" s="82">
        <v>5.016</v>
      </c>
      <c r="G90" s="82">
        <v>6.3209999999999997</v>
      </c>
      <c r="H90" s="82">
        <v>2</v>
      </c>
    </row>
    <row r="91" spans="1:8" x14ac:dyDescent="0.25">
      <c r="A91" s="82">
        <v>20.100000000000001</v>
      </c>
      <c r="B91" s="82">
        <v>16.989999999999998</v>
      </c>
      <c r="C91" s="82">
        <v>0.87460000000000004</v>
      </c>
      <c r="D91" s="82">
        <v>6.5810000000000004</v>
      </c>
      <c r="E91" s="82">
        <v>3.7850000000000001</v>
      </c>
      <c r="F91" s="82">
        <v>1.9550000000000001</v>
      </c>
      <c r="G91" s="82">
        <v>6.4489999999999998</v>
      </c>
      <c r="H91" s="82">
        <v>2</v>
      </c>
    </row>
    <row r="92" spans="1:8" x14ac:dyDescent="0.25">
      <c r="A92" s="82">
        <v>18.760000000000002</v>
      </c>
      <c r="B92" s="82">
        <v>16.2</v>
      </c>
      <c r="C92" s="82">
        <v>0.89839999999999998</v>
      </c>
      <c r="D92" s="82">
        <v>6.1719999999999997</v>
      </c>
      <c r="E92" s="82">
        <v>3.7959999999999998</v>
      </c>
      <c r="F92" s="82">
        <v>3.12</v>
      </c>
      <c r="G92" s="82">
        <v>6.0529999999999999</v>
      </c>
      <c r="H92" s="82">
        <v>2</v>
      </c>
    </row>
    <row r="93" spans="1:8" x14ac:dyDescent="0.25">
      <c r="A93" s="82">
        <v>18.809999999999999</v>
      </c>
      <c r="B93" s="82">
        <v>16.29</v>
      </c>
      <c r="C93" s="82">
        <v>0.89059999999999995</v>
      </c>
      <c r="D93" s="82">
        <v>6.2720000000000002</v>
      </c>
      <c r="E93" s="82">
        <v>3.6930000000000001</v>
      </c>
      <c r="F93" s="82">
        <v>3.2370000000000001</v>
      </c>
      <c r="G93" s="82">
        <v>6.0529999999999999</v>
      </c>
      <c r="H93" s="82">
        <v>2</v>
      </c>
    </row>
    <row r="94" spans="1:8" x14ac:dyDescent="0.25">
      <c r="A94" s="82">
        <v>18.59</v>
      </c>
      <c r="B94" s="82">
        <v>16.05</v>
      </c>
      <c r="C94" s="82">
        <v>0.90659999999999996</v>
      </c>
      <c r="D94" s="82">
        <v>6.0369999999999999</v>
      </c>
      <c r="E94" s="82">
        <v>3.86</v>
      </c>
      <c r="F94" s="82">
        <v>6.0010000000000003</v>
      </c>
      <c r="G94" s="82">
        <v>5.8769999999999998</v>
      </c>
      <c r="H94" s="82">
        <v>2</v>
      </c>
    </row>
    <row r="95" spans="1:8" x14ac:dyDescent="0.25">
      <c r="A95" s="82">
        <v>18.36</v>
      </c>
      <c r="B95" s="82">
        <v>16.52</v>
      </c>
      <c r="C95" s="82">
        <v>0.84519999999999995</v>
      </c>
      <c r="D95" s="82">
        <v>6.6660000000000004</v>
      </c>
      <c r="E95" s="82">
        <v>3.4849999999999999</v>
      </c>
      <c r="F95" s="82">
        <v>4.9329999999999998</v>
      </c>
      <c r="G95" s="82">
        <v>6.4480000000000004</v>
      </c>
      <c r="H95" s="82">
        <v>2</v>
      </c>
    </row>
    <row r="96" spans="1:8" x14ac:dyDescent="0.25">
      <c r="A96" s="82">
        <v>16.87</v>
      </c>
      <c r="B96" s="82">
        <v>15.65</v>
      </c>
      <c r="C96" s="82">
        <v>0.86480000000000001</v>
      </c>
      <c r="D96" s="82">
        <v>6.1390000000000002</v>
      </c>
      <c r="E96" s="82">
        <v>3.4630000000000001</v>
      </c>
      <c r="F96" s="82">
        <v>3.6960000000000002</v>
      </c>
      <c r="G96" s="82">
        <v>5.9669999999999996</v>
      </c>
      <c r="H96" s="82">
        <v>2</v>
      </c>
    </row>
    <row r="97" spans="1:8" x14ac:dyDescent="0.25">
      <c r="A97" s="82">
        <v>19.309999999999999</v>
      </c>
      <c r="B97" s="82">
        <v>16.59</v>
      </c>
      <c r="C97" s="82">
        <v>0.88149999999999995</v>
      </c>
      <c r="D97" s="82">
        <v>6.3410000000000002</v>
      </c>
      <c r="E97" s="82">
        <v>3.81</v>
      </c>
      <c r="F97" s="82">
        <v>3.4769999999999999</v>
      </c>
      <c r="G97" s="82">
        <v>6.2380000000000004</v>
      </c>
      <c r="H97" s="82">
        <v>2</v>
      </c>
    </row>
    <row r="98" spans="1:8" x14ac:dyDescent="0.25">
      <c r="A98" s="82">
        <v>18.98</v>
      </c>
      <c r="B98" s="82">
        <v>16.57</v>
      </c>
      <c r="C98" s="82">
        <v>0.86870000000000003</v>
      </c>
      <c r="D98" s="82">
        <v>6.4489999999999998</v>
      </c>
      <c r="E98" s="82">
        <v>3.552</v>
      </c>
      <c r="F98" s="82">
        <v>2.1440000000000001</v>
      </c>
      <c r="G98" s="82">
        <v>6.4530000000000003</v>
      </c>
      <c r="H98" s="82">
        <v>2</v>
      </c>
    </row>
    <row r="99" spans="1:8" x14ac:dyDescent="0.25">
      <c r="A99" s="82">
        <v>18.170000000000002</v>
      </c>
      <c r="B99" s="82">
        <v>16.260000000000002</v>
      </c>
      <c r="C99" s="82">
        <v>0.86370000000000002</v>
      </c>
      <c r="D99" s="82">
        <v>6.2709999999999999</v>
      </c>
      <c r="E99" s="82">
        <v>3.512</v>
      </c>
      <c r="F99" s="82">
        <v>2.8530000000000002</v>
      </c>
      <c r="G99" s="82">
        <v>6.2729999999999997</v>
      </c>
      <c r="H99" s="82">
        <v>2</v>
      </c>
    </row>
    <row r="100" spans="1:8" x14ac:dyDescent="0.25">
      <c r="A100" s="82">
        <v>18.72</v>
      </c>
      <c r="B100" s="82">
        <v>16.34</v>
      </c>
      <c r="C100" s="82">
        <v>0.88100000000000001</v>
      </c>
      <c r="D100" s="82">
        <v>6.2190000000000003</v>
      </c>
      <c r="E100" s="82">
        <v>3.6840000000000002</v>
      </c>
      <c r="F100" s="82">
        <v>2.1880000000000002</v>
      </c>
      <c r="G100" s="82">
        <v>6.0970000000000004</v>
      </c>
      <c r="H100" s="82">
        <v>2</v>
      </c>
    </row>
    <row r="101" spans="1:8" x14ac:dyDescent="0.25">
      <c r="A101" s="82">
        <v>16.41</v>
      </c>
      <c r="B101" s="82">
        <v>15.25</v>
      </c>
      <c r="C101" s="82">
        <v>0.88660000000000005</v>
      </c>
      <c r="D101" s="82">
        <v>5.718</v>
      </c>
      <c r="E101" s="82">
        <v>3.5249999999999999</v>
      </c>
      <c r="F101" s="82">
        <v>4.2169999999999996</v>
      </c>
      <c r="G101" s="82">
        <v>5.6180000000000003</v>
      </c>
      <c r="H101" s="82">
        <v>2</v>
      </c>
    </row>
    <row r="102" spans="1:8" x14ac:dyDescent="0.25">
      <c r="A102" s="82">
        <v>17.989999999999998</v>
      </c>
      <c r="B102" s="82">
        <v>15.86</v>
      </c>
      <c r="C102" s="82">
        <v>0.8992</v>
      </c>
      <c r="D102" s="82">
        <v>5.89</v>
      </c>
      <c r="E102" s="82">
        <v>3.694</v>
      </c>
      <c r="F102" s="82">
        <v>2.0680000000000001</v>
      </c>
      <c r="G102" s="82">
        <v>5.8369999999999997</v>
      </c>
      <c r="H102" s="82">
        <v>2</v>
      </c>
    </row>
    <row r="103" spans="1:8" x14ac:dyDescent="0.25">
      <c r="A103" s="82">
        <v>19.46</v>
      </c>
      <c r="B103" s="82">
        <v>16.5</v>
      </c>
      <c r="C103" s="82">
        <v>0.89849999999999997</v>
      </c>
      <c r="D103" s="82">
        <v>6.1130000000000004</v>
      </c>
      <c r="E103" s="82">
        <v>3.8919999999999999</v>
      </c>
      <c r="F103" s="82">
        <v>4.3079999999999998</v>
      </c>
      <c r="G103" s="82">
        <v>6.0090000000000003</v>
      </c>
      <c r="H103" s="82">
        <v>2</v>
      </c>
    </row>
    <row r="104" spans="1:8" x14ac:dyDescent="0.25">
      <c r="A104" s="82">
        <v>19.18</v>
      </c>
      <c r="B104" s="82">
        <v>16.63</v>
      </c>
      <c r="C104" s="82">
        <v>0.87170000000000003</v>
      </c>
      <c r="D104" s="82">
        <v>6.3689999999999998</v>
      </c>
      <c r="E104" s="82">
        <v>3.681</v>
      </c>
      <c r="F104" s="82">
        <v>3.3570000000000002</v>
      </c>
      <c r="G104" s="82">
        <v>6.2290000000000001</v>
      </c>
      <c r="H104" s="82">
        <v>2</v>
      </c>
    </row>
    <row r="105" spans="1:8" x14ac:dyDescent="0.25">
      <c r="A105" s="82">
        <v>18.95</v>
      </c>
      <c r="B105" s="82">
        <v>16.420000000000002</v>
      </c>
      <c r="C105" s="82">
        <v>0.88290000000000002</v>
      </c>
      <c r="D105" s="82">
        <v>6.2480000000000002</v>
      </c>
      <c r="E105" s="82">
        <v>3.7549999999999999</v>
      </c>
      <c r="F105" s="82">
        <v>3.3679999999999999</v>
      </c>
      <c r="G105" s="82">
        <v>6.1479999999999997</v>
      </c>
      <c r="H105" s="82">
        <v>2</v>
      </c>
    </row>
    <row r="106" spans="1:8" x14ac:dyDescent="0.25">
      <c r="A106" s="82">
        <v>18.829999999999998</v>
      </c>
      <c r="B106" s="82">
        <v>16.29</v>
      </c>
      <c r="C106" s="82">
        <v>0.89170000000000005</v>
      </c>
      <c r="D106" s="82">
        <v>6.0369999999999999</v>
      </c>
      <c r="E106" s="82">
        <v>3.786</v>
      </c>
      <c r="F106" s="82">
        <v>2.5529999999999999</v>
      </c>
      <c r="G106" s="82">
        <v>5.8789999999999996</v>
      </c>
      <c r="H106" s="82">
        <v>2</v>
      </c>
    </row>
    <row r="107" spans="1:8" x14ac:dyDescent="0.25">
      <c r="A107" s="82">
        <v>18.850000000000001</v>
      </c>
      <c r="B107" s="82">
        <v>16.170000000000002</v>
      </c>
      <c r="C107" s="82">
        <v>0.90559999999999996</v>
      </c>
      <c r="D107" s="82">
        <v>6.1520000000000001</v>
      </c>
      <c r="E107" s="82">
        <v>3.806</v>
      </c>
      <c r="F107" s="82">
        <v>2.843</v>
      </c>
      <c r="G107" s="82">
        <v>6.2</v>
      </c>
      <c r="H107" s="82">
        <v>2</v>
      </c>
    </row>
    <row r="108" spans="1:8" x14ac:dyDescent="0.25">
      <c r="A108" s="82">
        <v>17.63</v>
      </c>
      <c r="B108" s="82">
        <v>15.86</v>
      </c>
      <c r="C108" s="82">
        <v>0.88</v>
      </c>
      <c r="D108" s="82">
        <v>6.0330000000000004</v>
      </c>
      <c r="E108" s="82">
        <v>3.573</v>
      </c>
      <c r="F108" s="82">
        <v>3.7469999999999999</v>
      </c>
      <c r="G108" s="82">
        <v>5.9290000000000003</v>
      </c>
      <c r="H108" s="82">
        <v>2</v>
      </c>
    </row>
    <row r="109" spans="1:8" x14ac:dyDescent="0.25">
      <c r="A109" s="82">
        <v>19.940000000000001</v>
      </c>
      <c r="B109" s="82">
        <v>16.920000000000002</v>
      </c>
      <c r="C109" s="82">
        <v>0.87519999999999998</v>
      </c>
      <c r="D109" s="82">
        <v>6.6749999999999998</v>
      </c>
      <c r="E109" s="82">
        <v>3.7629999999999999</v>
      </c>
      <c r="F109" s="82">
        <v>3.2519999999999998</v>
      </c>
      <c r="G109" s="82">
        <v>6.55</v>
      </c>
      <c r="H109" s="82">
        <v>2</v>
      </c>
    </row>
    <row r="110" spans="1:8" x14ac:dyDescent="0.25">
      <c r="A110" s="82">
        <v>18.55</v>
      </c>
      <c r="B110" s="82">
        <v>16.22</v>
      </c>
      <c r="C110" s="82">
        <v>0.88649999999999995</v>
      </c>
      <c r="D110" s="82">
        <v>6.1529999999999996</v>
      </c>
      <c r="E110" s="82">
        <v>3.6739999999999999</v>
      </c>
      <c r="F110" s="82">
        <v>1.738</v>
      </c>
      <c r="G110" s="82">
        <v>5.8940000000000001</v>
      </c>
      <c r="H110" s="82">
        <v>2</v>
      </c>
    </row>
    <row r="111" spans="1:8" x14ac:dyDescent="0.25">
      <c r="A111" s="82">
        <v>18.45</v>
      </c>
      <c r="B111" s="82">
        <v>16.12</v>
      </c>
      <c r="C111" s="82">
        <v>0.8921</v>
      </c>
      <c r="D111" s="82">
        <v>6.1070000000000002</v>
      </c>
      <c r="E111" s="82">
        <v>3.7690000000000001</v>
      </c>
      <c r="F111" s="82">
        <v>2.2349999999999999</v>
      </c>
      <c r="G111" s="82">
        <v>5.7939999999999996</v>
      </c>
      <c r="H111" s="82">
        <v>2</v>
      </c>
    </row>
    <row r="112" spans="1:8" x14ac:dyDescent="0.25">
      <c r="A112" s="82">
        <v>19.38</v>
      </c>
      <c r="B112" s="82">
        <v>16.72</v>
      </c>
      <c r="C112" s="82">
        <v>0.87160000000000004</v>
      </c>
      <c r="D112" s="82">
        <v>6.3029999999999999</v>
      </c>
      <c r="E112" s="82">
        <v>3.7909999999999999</v>
      </c>
      <c r="F112" s="82">
        <v>3.6779999999999999</v>
      </c>
      <c r="G112" s="82">
        <v>5.9649999999999999</v>
      </c>
      <c r="H112" s="82">
        <v>2</v>
      </c>
    </row>
    <row r="113" spans="1:8" x14ac:dyDescent="0.25">
      <c r="A113" s="82">
        <v>19.13</v>
      </c>
      <c r="B113" s="82">
        <v>16.309999999999999</v>
      </c>
      <c r="C113" s="82">
        <v>0.90349999999999997</v>
      </c>
      <c r="D113" s="82">
        <v>6.1829999999999998</v>
      </c>
      <c r="E113" s="82">
        <v>3.9020000000000001</v>
      </c>
      <c r="F113" s="82">
        <v>2.109</v>
      </c>
      <c r="G113" s="82">
        <v>5.9240000000000004</v>
      </c>
      <c r="H113" s="82">
        <v>2</v>
      </c>
    </row>
    <row r="114" spans="1:8" x14ac:dyDescent="0.25">
      <c r="A114" s="82">
        <v>19.14</v>
      </c>
      <c r="B114" s="82">
        <v>16.61</v>
      </c>
      <c r="C114" s="82">
        <v>0.87219999999999998</v>
      </c>
      <c r="D114" s="82">
        <v>6.2590000000000003</v>
      </c>
      <c r="E114" s="82">
        <v>3.7370000000000001</v>
      </c>
      <c r="F114" s="82">
        <v>6.6820000000000004</v>
      </c>
      <c r="G114" s="82">
        <v>6.0529999999999999</v>
      </c>
      <c r="H114" s="82">
        <v>2</v>
      </c>
    </row>
    <row r="115" spans="1:8" x14ac:dyDescent="0.25">
      <c r="A115" s="82">
        <v>20.97</v>
      </c>
      <c r="B115" s="82">
        <v>17.25</v>
      </c>
      <c r="C115" s="82">
        <v>0.88590000000000002</v>
      </c>
      <c r="D115" s="82">
        <v>6.5629999999999997</v>
      </c>
      <c r="E115" s="82">
        <v>3.9910000000000001</v>
      </c>
      <c r="F115" s="82">
        <v>4.6769999999999996</v>
      </c>
      <c r="G115" s="82">
        <v>6.3159999999999998</v>
      </c>
      <c r="H115" s="82">
        <v>2</v>
      </c>
    </row>
    <row r="116" spans="1:8" x14ac:dyDescent="0.25">
      <c r="A116" s="82">
        <v>19.059999999999999</v>
      </c>
      <c r="B116" s="82">
        <v>16.45</v>
      </c>
      <c r="C116" s="82">
        <v>0.88539999999999996</v>
      </c>
      <c r="D116" s="82">
        <v>6.4160000000000004</v>
      </c>
      <c r="E116" s="82">
        <v>3.7189999999999999</v>
      </c>
      <c r="F116" s="82">
        <v>2.2480000000000002</v>
      </c>
      <c r="G116" s="82">
        <v>6.1630000000000003</v>
      </c>
      <c r="H116" s="82">
        <v>2</v>
      </c>
    </row>
    <row r="117" spans="1:8" x14ac:dyDescent="0.25">
      <c r="A117" s="82">
        <v>18.96</v>
      </c>
      <c r="B117" s="82">
        <v>16.2</v>
      </c>
      <c r="C117" s="82">
        <v>0.90769999999999995</v>
      </c>
      <c r="D117" s="82">
        <v>6.0510000000000002</v>
      </c>
      <c r="E117" s="82">
        <v>3.8969999999999998</v>
      </c>
      <c r="F117" s="82">
        <v>4.3339999999999996</v>
      </c>
      <c r="G117" s="82">
        <v>5.75</v>
      </c>
      <c r="H117" s="82">
        <v>2</v>
      </c>
    </row>
    <row r="118" spans="1:8" x14ac:dyDescent="0.25">
      <c r="A118" s="82">
        <v>19.149999999999999</v>
      </c>
      <c r="B118" s="82">
        <v>16.45</v>
      </c>
      <c r="C118" s="82">
        <v>0.88900000000000001</v>
      </c>
      <c r="D118" s="82">
        <v>6.2450000000000001</v>
      </c>
      <c r="E118" s="82">
        <v>3.8149999999999999</v>
      </c>
      <c r="F118" s="82">
        <v>3.0840000000000001</v>
      </c>
      <c r="G118" s="82">
        <v>6.1849999999999996</v>
      </c>
      <c r="H118" s="82">
        <v>2</v>
      </c>
    </row>
    <row r="119" spans="1:8" x14ac:dyDescent="0.25">
      <c r="A119" s="82">
        <v>18.89</v>
      </c>
      <c r="B119" s="82">
        <v>16.23</v>
      </c>
      <c r="C119" s="82">
        <v>0.90080000000000005</v>
      </c>
      <c r="D119" s="82">
        <v>6.2270000000000003</v>
      </c>
      <c r="E119" s="82">
        <v>3.7690000000000001</v>
      </c>
      <c r="F119" s="82">
        <v>3.6389999999999998</v>
      </c>
      <c r="G119" s="82">
        <v>5.9660000000000002</v>
      </c>
      <c r="H119" s="82">
        <v>2</v>
      </c>
    </row>
    <row r="120" spans="1:8" x14ac:dyDescent="0.25">
      <c r="A120" s="82">
        <v>20.03</v>
      </c>
      <c r="B120" s="82">
        <v>16.899999999999999</v>
      </c>
      <c r="C120" s="82">
        <v>0.88109999999999999</v>
      </c>
      <c r="D120" s="82">
        <v>6.4930000000000003</v>
      </c>
      <c r="E120" s="82">
        <v>3.8570000000000002</v>
      </c>
      <c r="F120" s="82">
        <v>3.0630000000000002</v>
      </c>
      <c r="G120" s="82">
        <v>6.32</v>
      </c>
      <c r="H120" s="82">
        <v>2</v>
      </c>
    </row>
    <row r="121" spans="1:8" x14ac:dyDescent="0.25">
      <c r="A121" s="82">
        <v>20.239999999999998</v>
      </c>
      <c r="B121" s="82">
        <v>16.91</v>
      </c>
      <c r="C121" s="82">
        <v>0.88970000000000005</v>
      </c>
      <c r="D121" s="82">
        <v>6.3150000000000004</v>
      </c>
      <c r="E121" s="82">
        <v>3.9620000000000002</v>
      </c>
      <c r="F121" s="82">
        <v>5.9009999999999998</v>
      </c>
      <c r="G121" s="82">
        <v>6.1879999999999997</v>
      </c>
      <c r="H121" s="82">
        <v>2</v>
      </c>
    </row>
    <row r="122" spans="1:8" x14ac:dyDescent="0.25">
      <c r="A122" s="82">
        <v>18.14</v>
      </c>
      <c r="B122" s="82">
        <v>16.12</v>
      </c>
      <c r="C122" s="82">
        <v>0.87719999999999998</v>
      </c>
      <c r="D122" s="82">
        <v>6.0590000000000002</v>
      </c>
      <c r="E122" s="82">
        <v>3.5630000000000002</v>
      </c>
      <c r="F122" s="82">
        <v>3.6190000000000002</v>
      </c>
      <c r="G122" s="82">
        <v>6.0110000000000001</v>
      </c>
      <c r="H122" s="82">
        <v>2</v>
      </c>
    </row>
    <row r="123" spans="1:8" x14ac:dyDescent="0.25">
      <c r="A123" s="82">
        <v>16.170000000000002</v>
      </c>
      <c r="B123" s="82">
        <v>15.38</v>
      </c>
      <c r="C123" s="82">
        <v>0.85880000000000001</v>
      </c>
      <c r="D123" s="82">
        <v>5.7619999999999996</v>
      </c>
      <c r="E123" s="82">
        <v>3.387</v>
      </c>
      <c r="F123" s="82">
        <v>4.2859999999999996</v>
      </c>
      <c r="G123" s="82">
        <v>5.7030000000000003</v>
      </c>
      <c r="H123" s="82">
        <v>2</v>
      </c>
    </row>
    <row r="124" spans="1:8" x14ac:dyDescent="0.25">
      <c r="A124" s="82">
        <v>18.43</v>
      </c>
      <c r="B124" s="82">
        <v>15.97</v>
      </c>
      <c r="C124" s="82">
        <v>0.90769999999999995</v>
      </c>
      <c r="D124" s="82">
        <v>5.98</v>
      </c>
      <c r="E124" s="82">
        <v>3.7709999999999999</v>
      </c>
      <c r="F124" s="82">
        <v>2.984</v>
      </c>
      <c r="G124" s="82">
        <v>5.9050000000000002</v>
      </c>
      <c r="H124" s="82">
        <v>2</v>
      </c>
    </row>
    <row r="125" spans="1:8" x14ac:dyDescent="0.25">
      <c r="A125" s="82">
        <v>15.99</v>
      </c>
      <c r="B125" s="82">
        <v>14.89</v>
      </c>
      <c r="C125" s="82">
        <v>0.90639999999999998</v>
      </c>
      <c r="D125" s="82">
        <v>5.3630000000000004</v>
      </c>
      <c r="E125" s="82">
        <v>3.5819999999999999</v>
      </c>
      <c r="F125" s="82">
        <v>3.3359999999999999</v>
      </c>
      <c r="G125" s="82">
        <v>5.1440000000000001</v>
      </c>
      <c r="H125" s="82">
        <v>2</v>
      </c>
    </row>
    <row r="126" spans="1:8" x14ac:dyDescent="0.25">
      <c r="A126" s="82">
        <v>18.75</v>
      </c>
      <c r="B126" s="82">
        <v>16.18</v>
      </c>
      <c r="C126" s="82">
        <v>0.89990000000000003</v>
      </c>
      <c r="D126" s="82">
        <v>6.1109999999999998</v>
      </c>
      <c r="E126" s="82">
        <v>3.8690000000000002</v>
      </c>
      <c r="F126" s="82">
        <v>4.1879999999999997</v>
      </c>
      <c r="G126" s="82">
        <v>5.992</v>
      </c>
      <c r="H126" s="82">
        <v>2</v>
      </c>
    </row>
    <row r="127" spans="1:8" x14ac:dyDescent="0.25">
      <c r="A127" s="82">
        <v>18.649999999999999</v>
      </c>
      <c r="B127" s="82">
        <v>16.41</v>
      </c>
      <c r="C127" s="82">
        <v>0.86980000000000002</v>
      </c>
      <c r="D127" s="82">
        <v>6.2850000000000001</v>
      </c>
      <c r="E127" s="82">
        <v>3.5939999999999999</v>
      </c>
      <c r="F127" s="82">
        <v>4.391</v>
      </c>
      <c r="G127" s="82">
        <v>6.1020000000000003</v>
      </c>
      <c r="H127" s="82">
        <v>2</v>
      </c>
    </row>
    <row r="128" spans="1:8" x14ac:dyDescent="0.25">
      <c r="A128" s="82">
        <v>17.98</v>
      </c>
      <c r="B128" s="82">
        <v>15.85</v>
      </c>
      <c r="C128" s="82">
        <v>0.89929999999999999</v>
      </c>
      <c r="D128" s="82">
        <v>5.9790000000000001</v>
      </c>
      <c r="E128" s="82">
        <v>3.6869999999999998</v>
      </c>
      <c r="F128" s="82">
        <v>2.2570000000000001</v>
      </c>
      <c r="G128" s="82">
        <v>5.9189999999999996</v>
      </c>
      <c r="H128" s="82">
        <v>2</v>
      </c>
    </row>
    <row r="129" spans="1:8" x14ac:dyDescent="0.25">
      <c r="A129" s="82">
        <v>20.16</v>
      </c>
      <c r="B129" s="82">
        <v>17.03</v>
      </c>
      <c r="C129" s="82">
        <v>0.87350000000000005</v>
      </c>
      <c r="D129" s="82">
        <v>6.5129999999999999</v>
      </c>
      <c r="E129" s="82">
        <v>3.7730000000000001</v>
      </c>
      <c r="F129" s="82">
        <v>1.91</v>
      </c>
      <c r="G129" s="82">
        <v>6.1849999999999996</v>
      </c>
      <c r="H129" s="82">
        <v>2</v>
      </c>
    </row>
    <row r="130" spans="1:8" x14ac:dyDescent="0.25">
      <c r="A130" s="82">
        <v>17.55</v>
      </c>
      <c r="B130" s="82">
        <v>15.66</v>
      </c>
      <c r="C130" s="82">
        <v>0.89910000000000001</v>
      </c>
      <c r="D130" s="82">
        <v>5.7910000000000004</v>
      </c>
      <c r="E130" s="82">
        <v>3.69</v>
      </c>
      <c r="F130" s="82">
        <v>5.3659999999999997</v>
      </c>
      <c r="G130" s="82">
        <v>5.6609999999999996</v>
      </c>
      <c r="H130" s="82">
        <v>2</v>
      </c>
    </row>
    <row r="131" spans="1:8" x14ac:dyDescent="0.25">
      <c r="A131" s="82">
        <v>18.3</v>
      </c>
      <c r="B131" s="82">
        <v>15.89</v>
      </c>
      <c r="C131" s="82">
        <v>0.91080000000000005</v>
      </c>
      <c r="D131" s="82">
        <v>5.9790000000000001</v>
      </c>
      <c r="E131" s="82">
        <v>3.7549999999999999</v>
      </c>
      <c r="F131" s="82">
        <v>2.8370000000000002</v>
      </c>
      <c r="G131" s="82">
        <v>5.9619999999999997</v>
      </c>
      <c r="H131" s="82">
        <v>2</v>
      </c>
    </row>
    <row r="132" spans="1:8" x14ac:dyDescent="0.25">
      <c r="A132" s="82">
        <v>18.940000000000001</v>
      </c>
      <c r="B132" s="82">
        <v>16.32</v>
      </c>
      <c r="C132" s="82">
        <v>0.89419999999999999</v>
      </c>
      <c r="D132" s="82">
        <v>6.1440000000000001</v>
      </c>
      <c r="E132" s="82">
        <v>3.8250000000000002</v>
      </c>
      <c r="F132" s="82">
        <v>2.9079999999999999</v>
      </c>
      <c r="G132" s="82">
        <v>5.9489999999999998</v>
      </c>
      <c r="H132" s="82">
        <v>2</v>
      </c>
    </row>
    <row r="133" spans="1:8" x14ac:dyDescent="0.25">
      <c r="A133" s="82">
        <v>15.38</v>
      </c>
      <c r="B133" s="82">
        <v>14.9</v>
      </c>
      <c r="C133" s="82">
        <v>0.87060000000000004</v>
      </c>
      <c r="D133" s="82">
        <v>5.8840000000000003</v>
      </c>
      <c r="E133" s="82">
        <v>3.2679999999999998</v>
      </c>
      <c r="F133" s="82">
        <v>4.4619999999999997</v>
      </c>
      <c r="G133" s="82">
        <v>5.7949999999999999</v>
      </c>
      <c r="H133" s="82">
        <v>2</v>
      </c>
    </row>
    <row r="134" spans="1:8" x14ac:dyDescent="0.25">
      <c r="A134" s="82">
        <v>16.16</v>
      </c>
      <c r="B134" s="82">
        <v>15.33</v>
      </c>
      <c r="C134" s="82">
        <v>0.86439999999999995</v>
      </c>
      <c r="D134" s="82">
        <v>5.8449999999999998</v>
      </c>
      <c r="E134" s="82">
        <v>3.395</v>
      </c>
      <c r="F134" s="82">
        <v>4.266</v>
      </c>
      <c r="G134" s="82">
        <v>5.7949999999999999</v>
      </c>
      <c r="H134" s="82">
        <v>2</v>
      </c>
    </row>
    <row r="135" spans="1:8" x14ac:dyDescent="0.25">
      <c r="A135" s="82">
        <v>15.56</v>
      </c>
      <c r="B135" s="82">
        <v>14.89</v>
      </c>
      <c r="C135" s="82">
        <v>0.88229999999999997</v>
      </c>
      <c r="D135" s="82">
        <v>5.7759999999999998</v>
      </c>
      <c r="E135" s="82">
        <v>3.4079999999999999</v>
      </c>
      <c r="F135" s="82">
        <v>4.9720000000000004</v>
      </c>
      <c r="G135" s="82">
        <v>5.8470000000000004</v>
      </c>
      <c r="H135" s="82">
        <v>2</v>
      </c>
    </row>
    <row r="136" spans="1:8" x14ac:dyDescent="0.25">
      <c r="A136" s="82">
        <v>15.38</v>
      </c>
      <c r="B136" s="82">
        <v>14.66</v>
      </c>
      <c r="C136" s="82">
        <v>0.89900000000000002</v>
      </c>
      <c r="D136" s="82">
        <v>5.4770000000000003</v>
      </c>
      <c r="E136" s="82">
        <v>3.4649999999999999</v>
      </c>
      <c r="F136" s="82">
        <v>3.6</v>
      </c>
      <c r="G136" s="82">
        <v>5.4390000000000001</v>
      </c>
      <c r="H136" s="82">
        <v>2</v>
      </c>
    </row>
    <row r="137" spans="1:8" x14ac:dyDescent="0.25">
      <c r="A137" s="82">
        <v>17.36</v>
      </c>
      <c r="B137" s="82">
        <v>15.76</v>
      </c>
      <c r="C137" s="82">
        <v>0.87849999999999995</v>
      </c>
      <c r="D137" s="82">
        <v>6.1449999999999996</v>
      </c>
      <c r="E137" s="82">
        <v>3.5739999999999998</v>
      </c>
      <c r="F137" s="82">
        <v>3.5259999999999998</v>
      </c>
      <c r="G137" s="82">
        <v>5.9710000000000001</v>
      </c>
      <c r="H137" s="82">
        <v>2</v>
      </c>
    </row>
    <row r="138" spans="1:8" x14ac:dyDescent="0.25">
      <c r="A138" s="82">
        <v>15.57</v>
      </c>
      <c r="B138" s="82">
        <v>15.15</v>
      </c>
      <c r="C138" s="82">
        <v>0.85270000000000001</v>
      </c>
      <c r="D138" s="82">
        <v>5.92</v>
      </c>
      <c r="E138" s="82">
        <v>3.2309999999999999</v>
      </c>
      <c r="F138" s="82">
        <v>2.64</v>
      </c>
      <c r="G138" s="82">
        <v>5.8789999999999996</v>
      </c>
      <c r="H138" s="82">
        <v>2</v>
      </c>
    </row>
    <row r="139" spans="1:8" x14ac:dyDescent="0.25">
      <c r="A139" s="82">
        <v>15.6</v>
      </c>
      <c r="B139" s="82">
        <v>15.11</v>
      </c>
      <c r="C139" s="82">
        <v>0.85799999999999998</v>
      </c>
      <c r="D139" s="82">
        <v>5.8319999999999999</v>
      </c>
      <c r="E139" s="82">
        <v>3.286</v>
      </c>
      <c r="F139" s="82">
        <v>2.7250000000000001</v>
      </c>
      <c r="G139" s="82">
        <v>5.7519999999999998</v>
      </c>
      <c r="H139" s="82">
        <v>2</v>
      </c>
    </row>
    <row r="140" spans="1:8" x14ac:dyDescent="0.25">
      <c r="A140" s="82">
        <v>16.23</v>
      </c>
      <c r="B140" s="82">
        <v>15.18</v>
      </c>
      <c r="C140" s="82">
        <v>0.88500000000000001</v>
      </c>
      <c r="D140" s="82">
        <v>5.8719999999999999</v>
      </c>
      <c r="E140" s="82">
        <v>3.472</v>
      </c>
      <c r="F140" s="82">
        <v>3.7690000000000001</v>
      </c>
      <c r="G140" s="82">
        <v>5.9219999999999997</v>
      </c>
      <c r="H140" s="82">
        <v>2</v>
      </c>
    </row>
    <row r="141" spans="1:8" x14ac:dyDescent="0.25">
      <c r="A141" s="82">
        <v>13.07</v>
      </c>
      <c r="B141" s="82">
        <v>13.92</v>
      </c>
      <c r="C141" s="82">
        <v>0.84799999999999998</v>
      </c>
      <c r="D141" s="82">
        <v>5.4720000000000004</v>
      </c>
      <c r="E141" s="82">
        <v>2.9940000000000002</v>
      </c>
      <c r="F141" s="82">
        <v>5.3040000000000003</v>
      </c>
      <c r="G141" s="82">
        <v>5.3949999999999996</v>
      </c>
      <c r="H141" s="82">
        <v>3</v>
      </c>
    </row>
    <row r="142" spans="1:8" x14ac:dyDescent="0.25">
      <c r="A142" s="82">
        <v>13.32</v>
      </c>
      <c r="B142" s="82">
        <v>13.94</v>
      </c>
      <c r="C142" s="82">
        <v>0.86129999999999995</v>
      </c>
      <c r="D142" s="82">
        <v>5.5410000000000004</v>
      </c>
      <c r="E142" s="82">
        <v>3.073</v>
      </c>
      <c r="F142" s="82">
        <v>7.0350000000000001</v>
      </c>
      <c r="G142" s="82">
        <v>5.44</v>
      </c>
      <c r="H142" s="82">
        <v>3</v>
      </c>
    </row>
    <row r="143" spans="1:8" x14ac:dyDescent="0.25">
      <c r="A143" s="82">
        <v>13.34</v>
      </c>
      <c r="B143" s="82">
        <v>13.95</v>
      </c>
      <c r="C143" s="82">
        <v>0.86199999999999999</v>
      </c>
      <c r="D143" s="82">
        <v>5.3890000000000002</v>
      </c>
      <c r="E143" s="82">
        <v>3.0739999999999998</v>
      </c>
      <c r="F143" s="82">
        <v>5.9950000000000001</v>
      </c>
      <c r="G143" s="82">
        <v>5.3070000000000004</v>
      </c>
      <c r="H143" s="82">
        <v>3</v>
      </c>
    </row>
    <row r="144" spans="1:8" x14ac:dyDescent="0.25">
      <c r="A144" s="82">
        <v>12.22</v>
      </c>
      <c r="B144" s="82">
        <v>13.32</v>
      </c>
      <c r="C144" s="82">
        <v>0.86519999999999997</v>
      </c>
      <c r="D144" s="82">
        <v>5.2240000000000002</v>
      </c>
      <c r="E144" s="82">
        <v>2.9670000000000001</v>
      </c>
      <c r="F144" s="82">
        <v>5.4690000000000003</v>
      </c>
      <c r="G144" s="82">
        <v>5.2210000000000001</v>
      </c>
      <c r="H144" s="82">
        <v>3</v>
      </c>
    </row>
    <row r="145" spans="1:8" x14ac:dyDescent="0.25">
      <c r="A145" s="82">
        <v>11.82</v>
      </c>
      <c r="B145" s="82">
        <v>13.4</v>
      </c>
      <c r="C145" s="82">
        <v>0.82740000000000002</v>
      </c>
      <c r="D145" s="82">
        <v>5.3140000000000001</v>
      </c>
      <c r="E145" s="82">
        <v>2.7770000000000001</v>
      </c>
      <c r="F145" s="82">
        <v>4.4710000000000001</v>
      </c>
      <c r="G145" s="82">
        <v>5.1779999999999999</v>
      </c>
      <c r="H145" s="82">
        <v>3</v>
      </c>
    </row>
    <row r="146" spans="1:8" x14ac:dyDescent="0.25">
      <c r="A146" s="82">
        <v>11.21</v>
      </c>
      <c r="B146" s="82">
        <v>13.13</v>
      </c>
      <c r="C146" s="82">
        <v>0.81669999999999998</v>
      </c>
      <c r="D146" s="82">
        <v>5.2789999999999999</v>
      </c>
      <c r="E146" s="82">
        <v>2.6869999999999998</v>
      </c>
      <c r="F146" s="82">
        <v>6.1689999999999996</v>
      </c>
      <c r="G146" s="82">
        <v>5.2750000000000004</v>
      </c>
      <c r="H146" s="82">
        <v>3</v>
      </c>
    </row>
    <row r="147" spans="1:8" x14ac:dyDescent="0.25">
      <c r="A147" s="82">
        <v>11.43</v>
      </c>
      <c r="B147" s="82">
        <v>13.13</v>
      </c>
      <c r="C147" s="82">
        <v>0.83350000000000002</v>
      </c>
      <c r="D147" s="82">
        <v>5.1760000000000002</v>
      </c>
      <c r="E147" s="82">
        <v>2.7189999999999999</v>
      </c>
      <c r="F147" s="82">
        <v>2.2210000000000001</v>
      </c>
      <c r="G147" s="82">
        <v>5.1319999999999997</v>
      </c>
      <c r="H147" s="82">
        <v>3</v>
      </c>
    </row>
    <row r="148" spans="1:8" x14ac:dyDescent="0.25">
      <c r="A148" s="82">
        <v>12.49</v>
      </c>
      <c r="B148" s="82">
        <v>13.46</v>
      </c>
      <c r="C148" s="82">
        <v>0.86580000000000001</v>
      </c>
      <c r="D148" s="82">
        <v>5.2670000000000003</v>
      </c>
      <c r="E148" s="82">
        <v>2.9670000000000001</v>
      </c>
      <c r="F148" s="82">
        <v>4.4210000000000003</v>
      </c>
      <c r="G148" s="82">
        <v>5.0019999999999998</v>
      </c>
      <c r="H148" s="82">
        <v>3</v>
      </c>
    </row>
    <row r="149" spans="1:8" x14ac:dyDescent="0.25">
      <c r="A149" s="82">
        <v>12.7</v>
      </c>
      <c r="B149" s="82">
        <v>13.71</v>
      </c>
      <c r="C149" s="82">
        <v>0.84909999999999997</v>
      </c>
      <c r="D149" s="82">
        <v>5.3860000000000001</v>
      </c>
      <c r="E149" s="82">
        <v>2.911</v>
      </c>
      <c r="F149" s="82">
        <v>3.26</v>
      </c>
      <c r="G149" s="82">
        <v>5.3159999999999998</v>
      </c>
      <c r="H149" s="82">
        <v>3</v>
      </c>
    </row>
    <row r="150" spans="1:8" x14ac:dyDescent="0.25">
      <c r="A150" s="82">
        <v>10.79</v>
      </c>
      <c r="B150" s="82">
        <v>12.93</v>
      </c>
      <c r="C150" s="82">
        <v>0.81069999999999998</v>
      </c>
      <c r="D150" s="82">
        <v>5.3170000000000002</v>
      </c>
      <c r="E150" s="82">
        <v>2.6480000000000001</v>
      </c>
      <c r="F150" s="82">
        <v>5.4619999999999997</v>
      </c>
      <c r="G150" s="82">
        <v>5.194</v>
      </c>
      <c r="H150" s="82">
        <v>3</v>
      </c>
    </row>
    <row r="151" spans="1:8" x14ac:dyDescent="0.25">
      <c r="A151" s="82">
        <v>11.83</v>
      </c>
      <c r="B151" s="82">
        <v>13.23</v>
      </c>
      <c r="C151" s="82">
        <v>0.84960000000000002</v>
      </c>
      <c r="D151" s="82">
        <v>5.2629999999999999</v>
      </c>
      <c r="E151" s="82">
        <v>2.84</v>
      </c>
      <c r="F151" s="82">
        <v>5.1950000000000003</v>
      </c>
      <c r="G151" s="82">
        <v>5.3070000000000004</v>
      </c>
      <c r="H151" s="82">
        <v>3</v>
      </c>
    </row>
    <row r="152" spans="1:8" x14ac:dyDescent="0.25">
      <c r="A152" s="82">
        <v>12.01</v>
      </c>
      <c r="B152" s="82">
        <v>13.52</v>
      </c>
      <c r="C152" s="82">
        <v>0.82489999999999997</v>
      </c>
      <c r="D152" s="82">
        <v>5.4050000000000002</v>
      </c>
      <c r="E152" s="82">
        <v>2.7759999999999998</v>
      </c>
      <c r="F152" s="82">
        <v>6.992</v>
      </c>
      <c r="G152" s="82">
        <v>5.27</v>
      </c>
      <c r="H152" s="82">
        <v>3</v>
      </c>
    </row>
    <row r="153" spans="1:8" x14ac:dyDescent="0.25">
      <c r="A153" s="82">
        <v>12.26</v>
      </c>
      <c r="B153" s="82">
        <v>13.6</v>
      </c>
      <c r="C153" s="82">
        <v>0.83330000000000004</v>
      </c>
      <c r="D153" s="82">
        <v>5.4080000000000004</v>
      </c>
      <c r="E153" s="82">
        <v>2.8330000000000002</v>
      </c>
      <c r="F153" s="82">
        <v>4.7560000000000002</v>
      </c>
      <c r="G153" s="82">
        <v>5.36</v>
      </c>
      <c r="H153" s="82">
        <v>3</v>
      </c>
    </row>
    <row r="154" spans="1:8" x14ac:dyDescent="0.25">
      <c r="A154" s="82">
        <v>11.18</v>
      </c>
      <c r="B154" s="82">
        <v>13.04</v>
      </c>
      <c r="C154" s="82">
        <v>0.8266</v>
      </c>
      <c r="D154" s="82">
        <v>5.22</v>
      </c>
      <c r="E154" s="82">
        <v>2.6930000000000001</v>
      </c>
      <c r="F154" s="82">
        <v>3.3319999999999999</v>
      </c>
      <c r="G154" s="82">
        <v>5.0010000000000003</v>
      </c>
      <c r="H154" s="82">
        <v>3</v>
      </c>
    </row>
    <row r="155" spans="1:8" x14ac:dyDescent="0.25">
      <c r="A155" s="82">
        <v>11.36</v>
      </c>
      <c r="B155" s="82">
        <v>13.05</v>
      </c>
      <c r="C155" s="82">
        <v>0.83819999999999995</v>
      </c>
      <c r="D155" s="82">
        <v>5.1749999999999998</v>
      </c>
      <c r="E155" s="82">
        <v>2.7549999999999999</v>
      </c>
      <c r="F155" s="82">
        <v>4.048</v>
      </c>
      <c r="G155" s="82">
        <v>5.2629999999999999</v>
      </c>
      <c r="H155" s="82">
        <v>3</v>
      </c>
    </row>
    <row r="156" spans="1:8" x14ac:dyDescent="0.25">
      <c r="A156" s="82">
        <v>11.19</v>
      </c>
      <c r="B156" s="82">
        <v>13.05</v>
      </c>
      <c r="C156" s="82">
        <v>0.82530000000000003</v>
      </c>
      <c r="D156" s="82">
        <v>5.25</v>
      </c>
      <c r="E156" s="82">
        <v>2.6749999999999998</v>
      </c>
      <c r="F156" s="82">
        <v>5.8129999999999997</v>
      </c>
      <c r="G156" s="82">
        <v>5.2190000000000003</v>
      </c>
      <c r="H156" s="82">
        <v>3</v>
      </c>
    </row>
    <row r="157" spans="1:8" x14ac:dyDescent="0.25">
      <c r="A157" s="82">
        <v>11.34</v>
      </c>
      <c r="B157" s="82">
        <v>12.87</v>
      </c>
      <c r="C157" s="82">
        <v>0.85960000000000003</v>
      </c>
      <c r="D157" s="82">
        <v>5.0529999999999999</v>
      </c>
      <c r="E157" s="82">
        <v>2.8490000000000002</v>
      </c>
      <c r="F157" s="82">
        <v>3.347</v>
      </c>
      <c r="G157" s="82">
        <v>5.0030000000000001</v>
      </c>
      <c r="H157" s="82">
        <v>3</v>
      </c>
    </row>
    <row r="158" spans="1:8" x14ac:dyDescent="0.25">
      <c r="A158" s="82">
        <v>12.13</v>
      </c>
      <c r="B158" s="82">
        <v>13.73</v>
      </c>
      <c r="C158" s="82">
        <v>0.80810000000000004</v>
      </c>
      <c r="D158" s="82">
        <v>5.3940000000000001</v>
      </c>
      <c r="E158" s="82">
        <v>2.7450000000000001</v>
      </c>
      <c r="F158" s="82">
        <v>4.8250000000000002</v>
      </c>
      <c r="G158" s="82">
        <v>5.22</v>
      </c>
      <c r="H158" s="82">
        <v>3</v>
      </c>
    </row>
    <row r="159" spans="1:8" x14ac:dyDescent="0.25">
      <c r="A159" s="82">
        <v>11.75</v>
      </c>
      <c r="B159" s="82">
        <v>13.52</v>
      </c>
      <c r="C159" s="82">
        <v>0.80820000000000003</v>
      </c>
      <c r="D159" s="82">
        <v>5.444</v>
      </c>
      <c r="E159" s="82">
        <v>2.6779999999999999</v>
      </c>
      <c r="F159" s="82">
        <v>4.3780000000000001</v>
      </c>
      <c r="G159" s="82">
        <v>5.31</v>
      </c>
      <c r="H159" s="82">
        <v>3</v>
      </c>
    </row>
    <row r="160" spans="1:8" x14ac:dyDescent="0.25">
      <c r="A160" s="82">
        <v>11.49</v>
      </c>
      <c r="B160" s="82">
        <v>13.22</v>
      </c>
      <c r="C160" s="82">
        <v>0.82630000000000003</v>
      </c>
      <c r="D160" s="82">
        <v>5.3040000000000003</v>
      </c>
      <c r="E160" s="82">
        <v>2.6949999999999998</v>
      </c>
      <c r="F160" s="82">
        <v>5.3879999999999999</v>
      </c>
      <c r="G160" s="82">
        <v>5.31</v>
      </c>
      <c r="H160" s="82">
        <v>3</v>
      </c>
    </row>
    <row r="161" spans="1:8" x14ac:dyDescent="0.25">
      <c r="A161" s="82">
        <v>12.54</v>
      </c>
      <c r="B161" s="82">
        <v>13.67</v>
      </c>
      <c r="C161" s="82">
        <v>0.84250000000000003</v>
      </c>
      <c r="D161" s="82">
        <v>5.4509999999999996</v>
      </c>
      <c r="E161" s="82">
        <v>2.879</v>
      </c>
      <c r="F161" s="82">
        <v>3.0819999999999999</v>
      </c>
      <c r="G161" s="82">
        <v>5.4909999999999997</v>
      </c>
      <c r="H161" s="82">
        <v>3</v>
      </c>
    </row>
    <row r="162" spans="1:8" x14ac:dyDescent="0.25">
      <c r="A162" s="82">
        <v>12.02</v>
      </c>
      <c r="B162" s="82">
        <v>13.33</v>
      </c>
      <c r="C162" s="82">
        <v>0.85029999999999994</v>
      </c>
      <c r="D162" s="82">
        <v>5.35</v>
      </c>
      <c r="E162" s="82">
        <v>2.81</v>
      </c>
      <c r="F162" s="82">
        <v>4.2709999999999999</v>
      </c>
      <c r="G162" s="82">
        <v>5.3079999999999998</v>
      </c>
      <c r="H162" s="82">
        <v>3</v>
      </c>
    </row>
    <row r="163" spans="1:8" x14ac:dyDescent="0.25">
      <c r="A163" s="82">
        <v>12.05</v>
      </c>
      <c r="B163" s="82">
        <v>13.41</v>
      </c>
      <c r="C163" s="82">
        <v>0.84160000000000001</v>
      </c>
      <c r="D163" s="82">
        <v>5.2670000000000003</v>
      </c>
      <c r="E163" s="82">
        <v>2.847</v>
      </c>
      <c r="F163" s="82">
        <v>4.9880000000000004</v>
      </c>
      <c r="G163" s="82">
        <v>5.0460000000000003</v>
      </c>
      <c r="H163" s="82">
        <v>3</v>
      </c>
    </row>
    <row r="164" spans="1:8" x14ac:dyDescent="0.25">
      <c r="A164" s="82">
        <v>12.55</v>
      </c>
      <c r="B164" s="82">
        <v>13.57</v>
      </c>
      <c r="C164" s="82">
        <v>0.85580000000000001</v>
      </c>
      <c r="D164" s="82">
        <v>5.3330000000000002</v>
      </c>
      <c r="E164" s="82">
        <v>2.968</v>
      </c>
      <c r="F164" s="82">
        <v>4.4189999999999996</v>
      </c>
      <c r="G164" s="82">
        <v>5.1760000000000002</v>
      </c>
      <c r="H164" s="82">
        <v>3</v>
      </c>
    </row>
    <row r="165" spans="1:8" x14ac:dyDescent="0.25">
      <c r="A165" s="82">
        <v>11.14</v>
      </c>
      <c r="B165" s="82">
        <v>12.79</v>
      </c>
      <c r="C165" s="82">
        <v>0.85580000000000001</v>
      </c>
      <c r="D165" s="82">
        <v>5.0110000000000001</v>
      </c>
      <c r="E165" s="82">
        <v>2.794</v>
      </c>
      <c r="F165" s="82">
        <v>6.3879999999999999</v>
      </c>
      <c r="G165" s="82">
        <v>5.0490000000000004</v>
      </c>
      <c r="H165" s="82">
        <v>3</v>
      </c>
    </row>
    <row r="166" spans="1:8" x14ac:dyDescent="0.25">
      <c r="A166" s="82">
        <v>12.1</v>
      </c>
      <c r="B166" s="82">
        <v>13.15</v>
      </c>
      <c r="C166" s="82">
        <v>0.87929999999999997</v>
      </c>
      <c r="D166" s="82">
        <v>5.1050000000000004</v>
      </c>
      <c r="E166" s="82">
        <v>2.9409999999999998</v>
      </c>
      <c r="F166" s="82">
        <v>2.2010000000000001</v>
      </c>
      <c r="G166" s="82">
        <v>5.056</v>
      </c>
      <c r="H166" s="82">
        <v>3</v>
      </c>
    </row>
    <row r="167" spans="1:8" x14ac:dyDescent="0.25">
      <c r="A167" s="82">
        <v>12.44</v>
      </c>
      <c r="B167" s="82">
        <v>13.59</v>
      </c>
      <c r="C167" s="82">
        <v>0.84619999999999995</v>
      </c>
      <c r="D167" s="82">
        <v>5.319</v>
      </c>
      <c r="E167" s="82">
        <v>2.8969999999999998</v>
      </c>
      <c r="F167" s="82">
        <v>4.9240000000000004</v>
      </c>
      <c r="G167" s="82">
        <v>5.27</v>
      </c>
      <c r="H167" s="82">
        <v>3</v>
      </c>
    </row>
    <row r="168" spans="1:8" x14ac:dyDescent="0.25">
      <c r="A168" s="82">
        <v>12.15</v>
      </c>
      <c r="B168" s="82">
        <v>13.45</v>
      </c>
      <c r="C168" s="82">
        <v>0.84430000000000005</v>
      </c>
      <c r="D168" s="82">
        <v>5.4169999999999998</v>
      </c>
      <c r="E168" s="82">
        <v>2.8370000000000002</v>
      </c>
      <c r="F168" s="82">
        <v>3.6379999999999999</v>
      </c>
      <c r="G168" s="82">
        <v>5.3380000000000001</v>
      </c>
      <c r="H168" s="82">
        <v>3</v>
      </c>
    </row>
    <row r="169" spans="1:8" x14ac:dyDescent="0.25">
      <c r="A169" s="82">
        <v>11.35</v>
      </c>
      <c r="B169" s="82">
        <v>13.12</v>
      </c>
      <c r="C169" s="82">
        <v>0.82909999999999995</v>
      </c>
      <c r="D169" s="82">
        <v>5.1760000000000002</v>
      </c>
      <c r="E169" s="82">
        <v>2.6680000000000001</v>
      </c>
      <c r="F169" s="82">
        <v>4.3369999999999997</v>
      </c>
      <c r="G169" s="82">
        <v>5.1319999999999997</v>
      </c>
      <c r="H169" s="82">
        <v>3</v>
      </c>
    </row>
    <row r="170" spans="1:8" x14ac:dyDescent="0.25">
      <c r="A170" s="82">
        <v>11.24</v>
      </c>
      <c r="B170" s="82">
        <v>13</v>
      </c>
      <c r="C170" s="82">
        <v>0.83589999999999998</v>
      </c>
      <c r="D170" s="82">
        <v>5.09</v>
      </c>
      <c r="E170" s="82">
        <v>2.7149999999999999</v>
      </c>
      <c r="F170" s="82">
        <v>3.5209999999999999</v>
      </c>
      <c r="G170" s="82">
        <v>5.0880000000000001</v>
      </c>
      <c r="H170" s="82">
        <v>3</v>
      </c>
    </row>
    <row r="171" spans="1:8" x14ac:dyDescent="0.25">
      <c r="A171" s="82">
        <v>11.02</v>
      </c>
      <c r="B171" s="82">
        <v>13</v>
      </c>
      <c r="C171" s="82">
        <v>0.81889999999999996</v>
      </c>
      <c r="D171" s="82">
        <v>5.3250000000000002</v>
      </c>
      <c r="E171" s="82">
        <v>2.7010000000000001</v>
      </c>
      <c r="F171" s="82">
        <v>6.7350000000000003</v>
      </c>
      <c r="G171" s="82">
        <v>5.1630000000000003</v>
      </c>
      <c r="H171" s="82">
        <v>3</v>
      </c>
    </row>
    <row r="172" spans="1:8" x14ac:dyDescent="0.25">
      <c r="A172" s="82">
        <v>11.55</v>
      </c>
      <c r="B172" s="82">
        <v>13.1</v>
      </c>
      <c r="C172" s="82">
        <v>0.84550000000000003</v>
      </c>
      <c r="D172" s="82">
        <v>5.1669999999999998</v>
      </c>
      <c r="E172" s="82">
        <v>2.8450000000000002</v>
      </c>
      <c r="F172" s="82">
        <v>6.7149999999999999</v>
      </c>
      <c r="G172" s="82">
        <v>4.9560000000000004</v>
      </c>
      <c r="H172" s="82">
        <v>3</v>
      </c>
    </row>
    <row r="173" spans="1:8" x14ac:dyDescent="0.25">
      <c r="A173" s="82">
        <v>11.27</v>
      </c>
      <c r="B173" s="82">
        <v>12.97</v>
      </c>
      <c r="C173" s="82">
        <v>0.84189999999999998</v>
      </c>
      <c r="D173" s="82">
        <v>5.0880000000000001</v>
      </c>
      <c r="E173" s="82">
        <v>2.7629999999999999</v>
      </c>
      <c r="F173" s="82">
        <v>4.3090000000000002</v>
      </c>
      <c r="G173" s="82">
        <v>5</v>
      </c>
      <c r="H173" s="82">
        <v>3</v>
      </c>
    </row>
    <row r="174" spans="1:8" x14ac:dyDescent="0.25">
      <c r="A174" s="82">
        <v>11.4</v>
      </c>
      <c r="B174" s="82">
        <v>13.08</v>
      </c>
      <c r="C174" s="82">
        <v>0.83750000000000002</v>
      </c>
      <c r="D174" s="82">
        <v>5.1360000000000001</v>
      </c>
      <c r="E174" s="82">
        <v>2.7629999999999999</v>
      </c>
      <c r="F174" s="82">
        <v>5.5880000000000001</v>
      </c>
      <c r="G174" s="82">
        <v>5.0890000000000004</v>
      </c>
      <c r="H174" s="82">
        <v>3</v>
      </c>
    </row>
    <row r="175" spans="1:8" x14ac:dyDescent="0.25">
      <c r="A175" s="82">
        <v>10.83</v>
      </c>
      <c r="B175" s="82">
        <v>12.96</v>
      </c>
      <c r="C175" s="82">
        <v>0.80989999999999995</v>
      </c>
      <c r="D175" s="82">
        <v>5.2779999999999996</v>
      </c>
      <c r="E175" s="82">
        <v>2.641</v>
      </c>
      <c r="F175" s="82">
        <v>5.1820000000000004</v>
      </c>
      <c r="G175" s="82">
        <v>5.1849999999999996</v>
      </c>
      <c r="H175" s="82">
        <v>3</v>
      </c>
    </row>
    <row r="176" spans="1:8" x14ac:dyDescent="0.25">
      <c r="A176" s="82">
        <v>10.8</v>
      </c>
      <c r="B176" s="82">
        <v>12.57</v>
      </c>
      <c r="C176" s="82">
        <v>0.85899999999999999</v>
      </c>
      <c r="D176" s="82">
        <v>4.9809999999999999</v>
      </c>
      <c r="E176" s="82">
        <v>2.8210000000000002</v>
      </c>
      <c r="F176" s="82">
        <v>4.7729999999999997</v>
      </c>
      <c r="G176" s="82">
        <v>5.0629999999999997</v>
      </c>
      <c r="H176" s="82">
        <v>3</v>
      </c>
    </row>
    <row r="177" spans="1:8" x14ac:dyDescent="0.25">
      <c r="A177" s="82">
        <v>11.26</v>
      </c>
      <c r="B177" s="82">
        <v>13.01</v>
      </c>
      <c r="C177" s="82">
        <v>0.83550000000000002</v>
      </c>
      <c r="D177" s="82">
        <v>5.1859999999999999</v>
      </c>
      <c r="E177" s="82">
        <v>2.71</v>
      </c>
      <c r="F177" s="82">
        <v>5.335</v>
      </c>
      <c r="G177" s="82">
        <v>5.0919999999999996</v>
      </c>
      <c r="H177" s="82">
        <v>3</v>
      </c>
    </row>
    <row r="178" spans="1:8" x14ac:dyDescent="0.25">
      <c r="A178" s="82">
        <v>10.74</v>
      </c>
      <c r="B178" s="82">
        <v>12.73</v>
      </c>
      <c r="C178" s="82">
        <v>0.83289999999999997</v>
      </c>
      <c r="D178" s="82">
        <v>5.1449999999999996</v>
      </c>
      <c r="E178" s="82">
        <v>2.6419999999999999</v>
      </c>
      <c r="F178" s="82">
        <v>4.702</v>
      </c>
      <c r="G178" s="82">
        <v>4.9630000000000001</v>
      </c>
      <c r="H178" s="82">
        <v>3</v>
      </c>
    </row>
    <row r="179" spans="1:8" x14ac:dyDescent="0.25">
      <c r="A179" s="82">
        <v>11.48</v>
      </c>
      <c r="B179" s="82">
        <v>13.05</v>
      </c>
      <c r="C179" s="82">
        <v>0.84730000000000005</v>
      </c>
      <c r="D179" s="82">
        <v>5.18</v>
      </c>
      <c r="E179" s="82">
        <v>2.758</v>
      </c>
      <c r="F179" s="82">
        <v>5.8760000000000003</v>
      </c>
      <c r="G179" s="82">
        <v>5.0019999999999998</v>
      </c>
      <c r="H179" s="82">
        <v>3</v>
      </c>
    </row>
    <row r="180" spans="1:8" x14ac:dyDescent="0.25">
      <c r="A180" s="82">
        <v>12.21</v>
      </c>
      <c r="B180" s="82">
        <v>13.47</v>
      </c>
      <c r="C180" s="82">
        <v>0.84530000000000005</v>
      </c>
      <c r="D180" s="82">
        <v>5.3570000000000002</v>
      </c>
      <c r="E180" s="82">
        <v>2.8929999999999998</v>
      </c>
      <c r="F180" s="82">
        <v>1.661</v>
      </c>
      <c r="G180" s="82">
        <v>5.1779999999999999</v>
      </c>
      <c r="H180" s="82">
        <v>3</v>
      </c>
    </row>
    <row r="181" spans="1:8" x14ac:dyDescent="0.25">
      <c r="A181" s="82">
        <v>11.41</v>
      </c>
      <c r="B181" s="82">
        <v>12.95</v>
      </c>
      <c r="C181" s="82">
        <v>0.85599999999999998</v>
      </c>
      <c r="D181" s="82">
        <v>5.09</v>
      </c>
      <c r="E181" s="82">
        <v>2.7749999999999999</v>
      </c>
      <c r="F181" s="82">
        <v>4.9569999999999999</v>
      </c>
      <c r="G181" s="82">
        <v>4.8250000000000002</v>
      </c>
      <c r="H181" s="82">
        <v>3</v>
      </c>
    </row>
    <row r="182" spans="1:8" x14ac:dyDescent="0.25">
      <c r="A182" s="82">
        <v>12.46</v>
      </c>
      <c r="B182" s="82">
        <v>13.41</v>
      </c>
      <c r="C182" s="82">
        <v>0.87060000000000004</v>
      </c>
      <c r="D182" s="82">
        <v>5.2359999999999998</v>
      </c>
      <c r="E182" s="82">
        <v>3.0169999999999999</v>
      </c>
      <c r="F182" s="82">
        <v>4.9870000000000001</v>
      </c>
      <c r="G182" s="82">
        <v>5.1470000000000002</v>
      </c>
      <c r="H182" s="82">
        <v>3</v>
      </c>
    </row>
    <row r="183" spans="1:8" x14ac:dyDescent="0.25">
      <c r="A183" s="82">
        <v>12.19</v>
      </c>
      <c r="B183" s="82">
        <v>13.36</v>
      </c>
      <c r="C183" s="82">
        <v>0.8579</v>
      </c>
      <c r="D183" s="82">
        <v>5.24</v>
      </c>
      <c r="E183" s="82">
        <v>2.9089999999999998</v>
      </c>
      <c r="F183" s="82">
        <v>4.8570000000000002</v>
      </c>
      <c r="G183" s="82">
        <v>5.1580000000000004</v>
      </c>
      <c r="H183" s="82">
        <v>3</v>
      </c>
    </row>
    <row r="184" spans="1:8" x14ac:dyDescent="0.25">
      <c r="A184" s="82">
        <v>11.65</v>
      </c>
      <c r="B184" s="82">
        <v>13.07</v>
      </c>
      <c r="C184" s="82">
        <v>0.85750000000000004</v>
      </c>
      <c r="D184" s="82">
        <v>5.1079999999999997</v>
      </c>
      <c r="E184" s="82">
        <v>2.85</v>
      </c>
      <c r="F184" s="82">
        <v>5.2089999999999996</v>
      </c>
      <c r="G184" s="82">
        <v>5.1349999999999998</v>
      </c>
      <c r="H184" s="82">
        <v>3</v>
      </c>
    </row>
    <row r="185" spans="1:8" x14ac:dyDescent="0.25">
      <c r="A185" s="82">
        <v>12.89</v>
      </c>
      <c r="B185" s="82">
        <v>13.77</v>
      </c>
      <c r="C185" s="82">
        <v>0.85409999999999997</v>
      </c>
      <c r="D185" s="82">
        <v>5.4950000000000001</v>
      </c>
      <c r="E185" s="82">
        <v>3.0259999999999998</v>
      </c>
      <c r="F185" s="82">
        <v>6.1849999999999996</v>
      </c>
      <c r="G185" s="82">
        <v>5.3159999999999998</v>
      </c>
      <c r="H185" s="82">
        <v>3</v>
      </c>
    </row>
    <row r="186" spans="1:8" x14ac:dyDescent="0.25">
      <c r="A186" s="82">
        <v>11.56</v>
      </c>
      <c r="B186" s="82">
        <v>13.31</v>
      </c>
      <c r="C186" s="82">
        <v>0.81979999999999997</v>
      </c>
      <c r="D186" s="82">
        <v>5.3630000000000004</v>
      </c>
      <c r="E186" s="82">
        <v>2.6829999999999998</v>
      </c>
      <c r="F186" s="82">
        <v>4.0620000000000003</v>
      </c>
      <c r="G186" s="82">
        <v>5.1820000000000004</v>
      </c>
      <c r="H186" s="82">
        <v>3</v>
      </c>
    </row>
    <row r="187" spans="1:8" x14ac:dyDescent="0.25">
      <c r="A187" s="82">
        <v>11.81</v>
      </c>
      <c r="B187" s="82">
        <v>13.45</v>
      </c>
      <c r="C187" s="82">
        <v>0.81979999999999997</v>
      </c>
      <c r="D187" s="82">
        <v>5.4130000000000003</v>
      </c>
      <c r="E187" s="82">
        <v>2.7160000000000002</v>
      </c>
      <c r="F187" s="82">
        <v>4.8979999999999997</v>
      </c>
      <c r="G187" s="82">
        <v>5.3520000000000003</v>
      </c>
      <c r="H187" s="82">
        <v>3</v>
      </c>
    </row>
    <row r="188" spans="1:8" x14ac:dyDescent="0.25">
      <c r="A188" s="82">
        <v>10.91</v>
      </c>
      <c r="B188" s="82">
        <v>12.8</v>
      </c>
      <c r="C188" s="82">
        <v>0.83720000000000006</v>
      </c>
      <c r="D188" s="82">
        <v>5.0880000000000001</v>
      </c>
      <c r="E188" s="82">
        <v>2.6749999999999998</v>
      </c>
      <c r="F188" s="82">
        <v>4.1790000000000003</v>
      </c>
      <c r="G188" s="82">
        <v>4.9560000000000004</v>
      </c>
      <c r="H188" s="82">
        <v>3</v>
      </c>
    </row>
    <row r="189" spans="1:8" x14ac:dyDescent="0.25">
      <c r="A189" s="82">
        <v>11.23</v>
      </c>
      <c r="B189" s="82">
        <v>12.82</v>
      </c>
      <c r="C189" s="82">
        <v>0.85940000000000005</v>
      </c>
      <c r="D189" s="82">
        <v>5.0890000000000004</v>
      </c>
      <c r="E189" s="82">
        <v>2.8210000000000002</v>
      </c>
      <c r="F189" s="82">
        <v>7.524</v>
      </c>
      <c r="G189" s="82">
        <v>4.9569999999999999</v>
      </c>
      <c r="H189" s="82">
        <v>3</v>
      </c>
    </row>
    <row r="190" spans="1:8" x14ac:dyDescent="0.25">
      <c r="A190" s="82">
        <v>10.59</v>
      </c>
      <c r="B190" s="82">
        <v>12.41</v>
      </c>
      <c r="C190" s="82">
        <v>0.86480000000000001</v>
      </c>
      <c r="D190" s="82">
        <v>4.899</v>
      </c>
      <c r="E190" s="82">
        <v>2.7869999999999999</v>
      </c>
      <c r="F190" s="82">
        <v>4.9749999999999996</v>
      </c>
      <c r="G190" s="82">
        <v>4.7939999999999996</v>
      </c>
      <c r="H190" s="82">
        <v>3</v>
      </c>
    </row>
    <row r="191" spans="1:8" x14ac:dyDescent="0.25">
      <c r="A191" s="82">
        <v>10.93</v>
      </c>
      <c r="B191" s="82">
        <v>12.8</v>
      </c>
      <c r="C191" s="82">
        <v>0.83899999999999997</v>
      </c>
      <c r="D191" s="82">
        <v>5.0460000000000003</v>
      </c>
      <c r="E191" s="82">
        <v>2.7170000000000001</v>
      </c>
      <c r="F191" s="82">
        <v>5.3979999999999997</v>
      </c>
      <c r="G191" s="82">
        <v>5.0449999999999999</v>
      </c>
      <c r="H191" s="82">
        <v>3</v>
      </c>
    </row>
    <row r="192" spans="1:8" x14ac:dyDescent="0.25">
      <c r="A192" s="82">
        <v>11.27</v>
      </c>
      <c r="B192" s="82">
        <v>12.86</v>
      </c>
      <c r="C192" s="82">
        <v>0.85629999999999995</v>
      </c>
      <c r="D192" s="82">
        <v>5.0910000000000002</v>
      </c>
      <c r="E192" s="82">
        <v>2.8039999999999998</v>
      </c>
      <c r="F192" s="82">
        <v>3.9849999999999999</v>
      </c>
      <c r="G192" s="82">
        <v>5.0010000000000003</v>
      </c>
      <c r="H192" s="82">
        <v>3</v>
      </c>
    </row>
    <row r="193" spans="1:8" x14ac:dyDescent="0.25">
      <c r="A193" s="82">
        <v>11.87</v>
      </c>
      <c r="B193" s="82">
        <v>13.02</v>
      </c>
      <c r="C193" s="82">
        <v>0.87949999999999995</v>
      </c>
      <c r="D193" s="82">
        <v>5.1319999999999997</v>
      </c>
      <c r="E193" s="82">
        <v>2.9529999999999998</v>
      </c>
      <c r="F193" s="82">
        <v>3.597</v>
      </c>
      <c r="G193" s="82">
        <v>5.1319999999999997</v>
      </c>
      <c r="H193" s="82">
        <v>3</v>
      </c>
    </row>
    <row r="194" spans="1:8" x14ac:dyDescent="0.25">
      <c r="A194" s="82">
        <v>10.82</v>
      </c>
      <c r="B194" s="82">
        <v>12.83</v>
      </c>
      <c r="C194" s="82">
        <v>0.8256</v>
      </c>
      <c r="D194" s="82">
        <v>5.18</v>
      </c>
      <c r="E194" s="82">
        <v>2.63</v>
      </c>
      <c r="F194" s="82">
        <v>4.8529999999999998</v>
      </c>
      <c r="G194" s="82">
        <v>5.0890000000000004</v>
      </c>
      <c r="H194" s="82">
        <v>3</v>
      </c>
    </row>
    <row r="195" spans="1:8" x14ac:dyDescent="0.25">
      <c r="A195" s="82">
        <v>12.11</v>
      </c>
      <c r="B195" s="82">
        <v>13.27</v>
      </c>
      <c r="C195" s="82">
        <v>0.8639</v>
      </c>
      <c r="D195" s="82">
        <v>5.2359999999999998</v>
      </c>
      <c r="E195" s="82">
        <v>2.9750000000000001</v>
      </c>
      <c r="F195" s="82">
        <v>4.1319999999999997</v>
      </c>
      <c r="G195" s="82">
        <v>5.0119999999999996</v>
      </c>
      <c r="H195" s="82">
        <v>3</v>
      </c>
    </row>
    <row r="196" spans="1:8" x14ac:dyDescent="0.25">
      <c r="A196" s="82">
        <v>12.8</v>
      </c>
      <c r="B196" s="82">
        <v>13.47</v>
      </c>
      <c r="C196" s="82">
        <v>0.88600000000000001</v>
      </c>
      <c r="D196" s="82">
        <v>5.16</v>
      </c>
      <c r="E196" s="82">
        <v>3.1259999999999999</v>
      </c>
      <c r="F196" s="82">
        <v>4.8730000000000002</v>
      </c>
      <c r="G196" s="82">
        <v>4.9139999999999997</v>
      </c>
      <c r="H196" s="82">
        <v>3</v>
      </c>
    </row>
    <row r="197" spans="1:8" x14ac:dyDescent="0.25">
      <c r="A197" s="82">
        <v>12.79</v>
      </c>
      <c r="B197" s="82">
        <v>13.53</v>
      </c>
      <c r="C197" s="82">
        <v>0.87860000000000005</v>
      </c>
      <c r="D197" s="82">
        <v>5.2240000000000002</v>
      </c>
      <c r="E197" s="82">
        <v>3.0539999999999998</v>
      </c>
      <c r="F197" s="82">
        <v>5.4829999999999997</v>
      </c>
      <c r="G197" s="82">
        <v>4.9580000000000002</v>
      </c>
      <c r="H197" s="82">
        <v>3</v>
      </c>
    </row>
    <row r="198" spans="1:8" x14ac:dyDescent="0.25">
      <c r="A198" s="82">
        <v>13.37</v>
      </c>
      <c r="B198" s="82">
        <v>13.78</v>
      </c>
      <c r="C198" s="82">
        <v>0.88490000000000002</v>
      </c>
      <c r="D198" s="82">
        <v>5.32</v>
      </c>
      <c r="E198" s="82">
        <v>3.1280000000000001</v>
      </c>
      <c r="F198" s="82">
        <v>4.67</v>
      </c>
      <c r="G198" s="82">
        <v>5.0910000000000002</v>
      </c>
      <c r="H198" s="82">
        <v>3</v>
      </c>
    </row>
    <row r="199" spans="1:8" x14ac:dyDescent="0.25">
      <c r="A199" s="82">
        <v>12.62</v>
      </c>
      <c r="B199" s="82">
        <v>13.67</v>
      </c>
      <c r="C199" s="82">
        <v>0.84809999999999997</v>
      </c>
      <c r="D199" s="82">
        <v>5.41</v>
      </c>
      <c r="E199" s="82">
        <v>2.911</v>
      </c>
      <c r="F199" s="82">
        <v>3.306</v>
      </c>
      <c r="G199" s="82">
        <v>5.2309999999999999</v>
      </c>
      <c r="H199" s="82">
        <v>3</v>
      </c>
    </row>
    <row r="200" spans="1:8" x14ac:dyDescent="0.25">
      <c r="A200" s="82">
        <v>12.76</v>
      </c>
      <c r="B200" s="82">
        <v>13.38</v>
      </c>
      <c r="C200" s="82">
        <v>0.89639999999999997</v>
      </c>
      <c r="D200" s="82">
        <v>5.0730000000000004</v>
      </c>
      <c r="E200" s="82">
        <v>3.1549999999999998</v>
      </c>
      <c r="F200" s="82">
        <v>2.8279999999999998</v>
      </c>
      <c r="G200" s="82">
        <v>4.83</v>
      </c>
      <c r="H200" s="82">
        <v>3</v>
      </c>
    </row>
    <row r="201" spans="1:8" x14ac:dyDescent="0.25">
      <c r="A201" s="82">
        <v>12.38</v>
      </c>
      <c r="B201" s="82">
        <v>13.44</v>
      </c>
      <c r="C201" s="82">
        <v>0.8609</v>
      </c>
      <c r="D201" s="82">
        <v>5.2190000000000003</v>
      </c>
      <c r="E201" s="82">
        <v>2.9889999999999999</v>
      </c>
      <c r="F201" s="82">
        <v>5.4720000000000004</v>
      </c>
      <c r="G201" s="82">
        <v>5.0449999999999999</v>
      </c>
      <c r="H201" s="82">
        <v>3</v>
      </c>
    </row>
    <row r="202" spans="1:8" x14ac:dyDescent="0.25">
      <c r="A202" s="82">
        <v>12.67</v>
      </c>
      <c r="B202" s="82">
        <v>13.32</v>
      </c>
      <c r="C202" s="82">
        <v>0.89770000000000005</v>
      </c>
      <c r="D202" s="82">
        <v>4.984</v>
      </c>
      <c r="E202" s="82">
        <v>3.1349999999999998</v>
      </c>
      <c r="F202" s="82">
        <v>2.2999999999999998</v>
      </c>
      <c r="G202" s="82">
        <v>4.7450000000000001</v>
      </c>
      <c r="H202" s="82">
        <v>3</v>
      </c>
    </row>
    <row r="203" spans="1:8" x14ac:dyDescent="0.25">
      <c r="A203" s="82">
        <v>11.18</v>
      </c>
      <c r="B203" s="82">
        <v>12.72</v>
      </c>
      <c r="C203" s="82">
        <v>0.86799999999999999</v>
      </c>
      <c r="D203" s="82">
        <v>5.0090000000000003</v>
      </c>
      <c r="E203" s="82">
        <v>2.81</v>
      </c>
      <c r="F203" s="82">
        <v>4.0510000000000002</v>
      </c>
      <c r="G203" s="82">
        <v>4.8280000000000003</v>
      </c>
      <c r="H203" s="82">
        <v>3</v>
      </c>
    </row>
    <row r="204" spans="1:8" x14ac:dyDescent="0.25">
      <c r="A204" s="82">
        <v>12.7</v>
      </c>
      <c r="B204" s="82">
        <v>13.41</v>
      </c>
      <c r="C204" s="82">
        <v>0.88739999999999997</v>
      </c>
      <c r="D204" s="82">
        <v>5.1829999999999998</v>
      </c>
      <c r="E204" s="82">
        <v>3.0910000000000002</v>
      </c>
      <c r="F204" s="82">
        <v>8.4559999999999995</v>
      </c>
      <c r="G204" s="82">
        <v>5</v>
      </c>
      <c r="H204" s="82">
        <v>3</v>
      </c>
    </row>
    <row r="205" spans="1:8" x14ac:dyDescent="0.25">
      <c r="A205" s="82">
        <v>12.37</v>
      </c>
      <c r="B205" s="82">
        <v>13.47</v>
      </c>
      <c r="C205" s="82">
        <v>0.85670000000000002</v>
      </c>
      <c r="D205" s="82">
        <v>5.2039999999999997</v>
      </c>
      <c r="E205" s="82">
        <v>2.96</v>
      </c>
      <c r="F205" s="82">
        <v>3.919</v>
      </c>
      <c r="G205" s="82">
        <v>5.0010000000000003</v>
      </c>
      <c r="H205" s="82">
        <v>3</v>
      </c>
    </row>
    <row r="206" spans="1:8" x14ac:dyDescent="0.25">
      <c r="A206" s="82">
        <v>12.19</v>
      </c>
      <c r="B206" s="82">
        <v>13.2</v>
      </c>
      <c r="C206" s="82">
        <v>0.87829999999999997</v>
      </c>
      <c r="D206" s="82">
        <v>5.1369999999999996</v>
      </c>
      <c r="E206" s="82">
        <v>2.9809999999999999</v>
      </c>
      <c r="F206" s="82">
        <v>3.6309999999999998</v>
      </c>
      <c r="G206" s="82">
        <v>4.87</v>
      </c>
      <c r="H206" s="82">
        <v>3</v>
      </c>
    </row>
    <row r="207" spans="1:8" x14ac:dyDescent="0.25">
      <c r="A207" s="82">
        <v>11.23</v>
      </c>
      <c r="B207" s="82">
        <v>12.88</v>
      </c>
      <c r="C207" s="82">
        <v>0.85109999999999997</v>
      </c>
      <c r="D207" s="82">
        <v>5.14</v>
      </c>
      <c r="E207" s="82">
        <v>2.7949999999999999</v>
      </c>
      <c r="F207" s="82">
        <v>4.3250000000000002</v>
      </c>
      <c r="G207" s="82">
        <v>5.0030000000000001</v>
      </c>
      <c r="H207" s="82">
        <v>3</v>
      </c>
    </row>
    <row r="208" spans="1:8" x14ac:dyDescent="0.25">
      <c r="A208" s="82">
        <v>13.2</v>
      </c>
      <c r="B208" s="82">
        <v>13.66</v>
      </c>
      <c r="C208" s="82">
        <v>0.88829999999999998</v>
      </c>
      <c r="D208" s="82">
        <v>5.2359999999999998</v>
      </c>
      <c r="E208" s="82">
        <v>3.2320000000000002</v>
      </c>
      <c r="F208" s="82">
        <v>8.3149999999999995</v>
      </c>
      <c r="G208" s="82">
        <v>5.056</v>
      </c>
      <c r="H208" s="82">
        <v>3</v>
      </c>
    </row>
    <row r="209" spans="1:8" x14ac:dyDescent="0.25">
      <c r="A209" s="82">
        <v>11.84</v>
      </c>
      <c r="B209" s="82">
        <v>13.21</v>
      </c>
      <c r="C209" s="82">
        <v>0.85209999999999997</v>
      </c>
      <c r="D209" s="82">
        <v>5.1749999999999998</v>
      </c>
      <c r="E209" s="82">
        <v>2.8359999999999999</v>
      </c>
      <c r="F209" s="82">
        <v>3.5979999999999999</v>
      </c>
      <c r="G209" s="82">
        <v>5.0439999999999996</v>
      </c>
      <c r="H209" s="82">
        <v>3</v>
      </c>
    </row>
    <row r="210" spans="1:8" x14ac:dyDescent="0.25">
      <c r="A210" s="82">
        <v>12.3</v>
      </c>
      <c r="B210" s="82">
        <v>13.34</v>
      </c>
      <c r="C210" s="82">
        <v>0.86839999999999995</v>
      </c>
      <c r="D210" s="82">
        <v>5.2430000000000003</v>
      </c>
      <c r="E210" s="82">
        <v>2.9740000000000002</v>
      </c>
      <c r="F210" s="82">
        <v>5.6369999999999996</v>
      </c>
      <c r="G210" s="82">
        <v>5.0629999999999997</v>
      </c>
      <c r="H210" s="82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211"/>
  <sheetViews>
    <sheetView showGridLines="0" workbookViewId="0"/>
  </sheetViews>
  <sheetFormatPr defaultRowHeight="15" x14ac:dyDescent="0.25"/>
  <cols>
    <col min="1" max="9" width="7.42578125" style="24" customWidth="1"/>
    <col min="10" max="10" width="5" style="24" customWidth="1"/>
    <col min="11" max="20" width="9.140625" style="24"/>
    <col min="21" max="21" width="5" style="24" customWidth="1"/>
    <col min="22" max="30" width="7.42578125" style="24" customWidth="1"/>
    <col min="31" max="16384" width="9.140625" style="24"/>
  </cols>
  <sheetData>
    <row r="1" spans="1:30" x14ac:dyDescent="0.25">
      <c r="A1" s="24" t="s">
        <v>60</v>
      </c>
      <c r="B1" s="24" t="s">
        <v>61</v>
      </c>
      <c r="C1" s="24" t="s">
        <v>62</v>
      </c>
      <c r="D1" s="24" t="s">
        <v>63</v>
      </c>
      <c r="E1" s="24" t="s">
        <v>64</v>
      </c>
      <c r="F1" s="24" t="s">
        <v>65</v>
      </c>
      <c r="G1" s="24" t="s">
        <v>122</v>
      </c>
      <c r="H1" s="24" t="s">
        <v>123</v>
      </c>
      <c r="I1" s="24" t="s">
        <v>46</v>
      </c>
      <c r="K1" s="79" t="s">
        <v>230</v>
      </c>
      <c r="V1" s="24" t="s">
        <v>60</v>
      </c>
      <c r="W1" s="24" t="s">
        <v>61</v>
      </c>
      <c r="X1" s="24" t="s">
        <v>62</v>
      </c>
      <c r="Y1" s="24" t="s">
        <v>63</v>
      </c>
      <c r="Z1" s="24" t="s">
        <v>64</v>
      </c>
      <c r="AA1" s="24" t="s">
        <v>65</v>
      </c>
      <c r="AB1" s="24" t="s">
        <v>122</v>
      </c>
      <c r="AC1" s="24" t="s">
        <v>123</v>
      </c>
      <c r="AD1" s="24" t="s">
        <v>46</v>
      </c>
    </row>
    <row r="2" spans="1:30" x14ac:dyDescent="0.25">
      <c r="A2" s="24">
        <v>1</v>
      </c>
      <c r="B2" s="24">
        <v>15.26</v>
      </c>
      <c r="C2" s="24">
        <v>14.84</v>
      </c>
      <c r="D2" s="24">
        <v>0.871</v>
      </c>
      <c r="E2" s="24">
        <v>5.7629999999999999</v>
      </c>
      <c r="F2" s="24">
        <v>3.3119999999999998</v>
      </c>
      <c r="G2" s="24">
        <v>2.2210000000000001</v>
      </c>
      <c r="H2" s="24">
        <v>5.22</v>
      </c>
      <c r="I2" s="24">
        <v>1</v>
      </c>
      <c r="U2" s="25"/>
      <c r="V2" s="24">
        <v>1</v>
      </c>
      <c r="W2" s="25">
        <f t="shared" ref="W2:W65" si="0">(B2-MIN($B$2:$B$211))/((MAX($B$2:$B$211)-MIN($B$2:$B$211)))</f>
        <v>0.44098205854579792</v>
      </c>
      <c r="X2" s="25">
        <f t="shared" ref="X2:X65" si="1">(C2-MIN($C$2:$C$211))/((MAX($C$2:$C$211)-MIN($C$2:$C$211)))</f>
        <v>0.50206611570247928</v>
      </c>
      <c r="Y2" s="25">
        <f t="shared" ref="Y2:Y65" si="2">(D2-MIN($D$2:$D$211))/((MAX($D$2:$D$211)-MIN($D$2:$D$211)))</f>
        <v>0.570780399274047</v>
      </c>
      <c r="Z2" s="25">
        <f t="shared" ref="Z2:Z65" si="3">(E2-MIN($E$2:$E$211))/((MAX($E$2:$E$211)-MIN($E$2:$E$211)))</f>
        <v>0.48648648648648646</v>
      </c>
      <c r="AA2" s="25">
        <f t="shared" ref="AA2:AA65" si="4">(F2-MIN($F$2:$F$211))/((MAX($F$2:$F$211)-MIN($F$2:$F$211)))</f>
        <v>0.48610121168923714</v>
      </c>
      <c r="AB2" s="25">
        <f>(G2-MIN($G$2:$G$211))/((MAX($G$2:$G$211)-MIN($G$2:$G$211)))</f>
        <v>0.18930164220052273</v>
      </c>
      <c r="AC2" s="25">
        <f>(H2-MIN($H$2:$H$211))/((MAX($H$2:$H$211)-MIN($H$2:$H$211)))</f>
        <v>0.34515017232890188</v>
      </c>
      <c r="AD2" s="24">
        <v>1</v>
      </c>
    </row>
    <row r="3" spans="1:30" x14ac:dyDescent="0.25">
      <c r="A3" s="24">
        <v>2</v>
      </c>
      <c r="B3" s="24">
        <v>14.88</v>
      </c>
      <c r="C3" s="24">
        <v>14.57</v>
      </c>
      <c r="D3" s="24">
        <v>0.88109999999999999</v>
      </c>
      <c r="E3" s="24">
        <v>5.5540000000000003</v>
      </c>
      <c r="F3" s="24">
        <v>3.3330000000000002</v>
      </c>
      <c r="G3" s="24">
        <v>1.018</v>
      </c>
      <c r="H3" s="24">
        <v>4.9560000000000004</v>
      </c>
      <c r="I3" s="24">
        <v>1</v>
      </c>
      <c r="U3" s="25"/>
      <c r="V3" s="24">
        <v>2</v>
      </c>
      <c r="W3" s="25">
        <f t="shared" si="0"/>
        <v>0.40509915014164316</v>
      </c>
      <c r="X3" s="25">
        <f t="shared" si="1"/>
        <v>0.44628099173553726</v>
      </c>
      <c r="Y3" s="25">
        <f t="shared" si="2"/>
        <v>0.66243194192377475</v>
      </c>
      <c r="Z3" s="25">
        <f t="shared" si="3"/>
        <v>0.36880630630630651</v>
      </c>
      <c r="AA3" s="25">
        <f t="shared" si="4"/>
        <v>0.50106913756236637</v>
      </c>
      <c r="AB3" s="25">
        <f t="shared" ref="AB3:AB66" si="5">(G3-MIN($G$2:$G$211))/((MAX($G$2:$G$211)-MIN($G$2:$G$211)))</f>
        <v>3.2883017592219378E-2</v>
      </c>
      <c r="AC3" s="25">
        <f t="shared" ref="AC3:AC66" si="6">(H3-MIN($H$2:$H$211))/((MAX($H$2:$H$211)-MIN($H$2:$H$211)))</f>
        <v>0.21516494337764666</v>
      </c>
      <c r="AD3" s="24">
        <v>1</v>
      </c>
    </row>
    <row r="4" spans="1:30" x14ac:dyDescent="0.25">
      <c r="A4" s="24">
        <v>3</v>
      </c>
      <c r="B4" s="24">
        <v>14.29</v>
      </c>
      <c r="C4" s="24">
        <v>14.09</v>
      </c>
      <c r="D4" s="24">
        <v>0.90500000000000003</v>
      </c>
      <c r="E4" s="24">
        <v>5.2910000000000004</v>
      </c>
      <c r="F4" s="24">
        <v>3.3370000000000002</v>
      </c>
      <c r="G4" s="24">
        <v>2.6989999999999998</v>
      </c>
      <c r="H4" s="24">
        <v>4.8250000000000002</v>
      </c>
      <c r="I4" s="24">
        <v>1</v>
      </c>
      <c r="V4" s="24">
        <v>3</v>
      </c>
      <c r="W4" s="25">
        <f t="shared" si="0"/>
        <v>0.34938621340887621</v>
      </c>
      <c r="X4" s="25">
        <f t="shared" si="1"/>
        <v>0.34710743801652888</v>
      </c>
      <c r="Y4" s="25">
        <f t="shared" si="2"/>
        <v>0.87931034482758641</v>
      </c>
      <c r="Z4" s="25">
        <f t="shared" si="3"/>
        <v>0.22072072072072094</v>
      </c>
      <c r="AA4" s="25">
        <f t="shared" si="4"/>
        <v>0.50392017106201004</v>
      </c>
      <c r="AB4" s="25">
        <f t="shared" si="5"/>
        <v>0.25145301590191005</v>
      </c>
      <c r="AC4" s="25">
        <f t="shared" si="6"/>
        <v>0.15066469719350079</v>
      </c>
      <c r="AD4" s="24">
        <v>1</v>
      </c>
    </row>
    <row r="5" spans="1:30" x14ac:dyDescent="0.25">
      <c r="A5" s="24">
        <v>4</v>
      </c>
      <c r="B5" s="24">
        <v>13.84</v>
      </c>
      <c r="C5" s="24">
        <v>13.94</v>
      </c>
      <c r="D5" s="24">
        <v>0.89549999999999996</v>
      </c>
      <c r="E5" s="24">
        <v>5.3239999999999998</v>
      </c>
      <c r="F5" s="24">
        <v>3.379</v>
      </c>
      <c r="G5" s="24">
        <v>2.2589999999999999</v>
      </c>
      <c r="H5" s="24">
        <v>4.8049999999999997</v>
      </c>
      <c r="I5" s="24">
        <v>1</v>
      </c>
      <c r="V5" s="24">
        <v>4</v>
      </c>
      <c r="W5" s="25">
        <f t="shared" si="0"/>
        <v>0.3068932955618508</v>
      </c>
      <c r="X5" s="25">
        <f t="shared" si="1"/>
        <v>0.31611570247933873</v>
      </c>
      <c r="Y5" s="25">
        <f t="shared" si="2"/>
        <v>0.79310344827586166</v>
      </c>
      <c r="Z5" s="25">
        <f t="shared" si="3"/>
        <v>0.23930180180180172</v>
      </c>
      <c r="AA5" s="25">
        <f t="shared" si="4"/>
        <v>0.53385602280826794</v>
      </c>
      <c r="AB5" s="25">
        <f t="shared" si="5"/>
        <v>0.19424254638598865</v>
      </c>
      <c r="AC5" s="25">
        <f t="shared" si="6"/>
        <v>0.14081733136385999</v>
      </c>
      <c r="AD5" s="24">
        <v>1</v>
      </c>
    </row>
    <row r="6" spans="1:30" x14ac:dyDescent="0.25">
      <c r="A6" s="24">
        <v>5</v>
      </c>
      <c r="B6" s="24">
        <v>16.14</v>
      </c>
      <c r="C6" s="24">
        <v>14.99</v>
      </c>
      <c r="D6" s="24">
        <v>0.90339999999999998</v>
      </c>
      <c r="E6" s="24">
        <v>5.6580000000000004</v>
      </c>
      <c r="F6" s="24">
        <v>3.5619999999999998</v>
      </c>
      <c r="G6" s="24">
        <v>1.355</v>
      </c>
      <c r="H6" s="24">
        <v>5.1749999999999998</v>
      </c>
      <c r="I6" s="24">
        <v>1</v>
      </c>
      <c r="V6" s="24">
        <v>5</v>
      </c>
      <c r="W6" s="25">
        <f t="shared" si="0"/>
        <v>0.52407932011331448</v>
      </c>
      <c r="X6" s="25">
        <f t="shared" si="1"/>
        <v>0.53305785123966942</v>
      </c>
      <c r="Y6" s="25">
        <f t="shared" si="2"/>
        <v>0.86479128856624288</v>
      </c>
      <c r="Z6" s="25">
        <f t="shared" si="3"/>
        <v>0.42736486486486508</v>
      </c>
      <c r="AA6" s="25">
        <f t="shared" si="4"/>
        <v>0.66429080541696339</v>
      </c>
      <c r="AB6" s="25">
        <f t="shared" si="5"/>
        <v>7.6701036289641006E-2</v>
      </c>
      <c r="AC6" s="25">
        <f t="shared" si="6"/>
        <v>0.32299359921221066</v>
      </c>
      <c r="AD6" s="24">
        <v>1</v>
      </c>
    </row>
    <row r="7" spans="1:30" x14ac:dyDescent="0.25">
      <c r="A7" s="24">
        <v>6</v>
      </c>
      <c r="B7" s="24">
        <v>14.38</v>
      </c>
      <c r="C7" s="24">
        <v>14.21</v>
      </c>
      <c r="D7" s="24">
        <v>0.89510000000000001</v>
      </c>
      <c r="E7" s="24">
        <v>5.3860000000000001</v>
      </c>
      <c r="F7" s="24">
        <v>3.3119999999999998</v>
      </c>
      <c r="G7" s="24">
        <v>2.4620000000000002</v>
      </c>
      <c r="H7" s="24">
        <v>4.9560000000000004</v>
      </c>
      <c r="I7" s="24">
        <v>1</v>
      </c>
      <c r="V7" s="24">
        <v>6</v>
      </c>
      <c r="W7" s="25">
        <f t="shared" si="0"/>
        <v>0.35788479697828152</v>
      </c>
      <c r="X7" s="25">
        <f t="shared" si="1"/>
        <v>0.37190082644628114</v>
      </c>
      <c r="Y7" s="25">
        <f t="shared" si="2"/>
        <v>0.78947368421052622</v>
      </c>
      <c r="Z7" s="25">
        <f t="shared" si="3"/>
        <v>0.27421171171171183</v>
      </c>
      <c r="AA7" s="25">
        <f t="shared" si="4"/>
        <v>0.48610121168923714</v>
      </c>
      <c r="AB7" s="25">
        <f t="shared" si="5"/>
        <v>0.22063737663992516</v>
      </c>
      <c r="AC7" s="25">
        <f t="shared" si="6"/>
        <v>0.21516494337764666</v>
      </c>
      <c r="AD7" s="24">
        <v>1</v>
      </c>
    </row>
    <row r="8" spans="1:30" x14ac:dyDescent="0.25">
      <c r="A8" s="24">
        <v>7</v>
      </c>
      <c r="B8" s="24">
        <v>14.69</v>
      </c>
      <c r="C8" s="24">
        <v>14.49</v>
      </c>
      <c r="D8" s="24">
        <v>0.87990000000000002</v>
      </c>
      <c r="E8" s="24">
        <v>5.5629999999999997</v>
      </c>
      <c r="F8" s="24">
        <v>3.2589999999999999</v>
      </c>
      <c r="G8" s="24">
        <v>3.5859999999999999</v>
      </c>
      <c r="H8" s="24">
        <v>5.2190000000000003</v>
      </c>
      <c r="I8" s="24">
        <v>1</v>
      </c>
      <c r="V8" s="24">
        <v>7</v>
      </c>
      <c r="W8" s="25">
        <f t="shared" si="0"/>
        <v>0.38715769593956562</v>
      </c>
      <c r="X8" s="25">
        <f t="shared" si="1"/>
        <v>0.42975206611570249</v>
      </c>
      <c r="Y8" s="25">
        <f t="shared" si="2"/>
        <v>0.65154264972776765</v>
      </c>
      <c r="Z8" s="25">
        <f t="shared" si="3"/>
        <v>0.37387387387387377</v>
      </c>
      <c r="AA8" s="25">
        <f t="shared" si="4"/>
        <v>0.44832501781895923</v>
      </c>
      <c r="AB8" s="25">
        <f t="shared" si="5"/>
        <v>0.36678412149423351</v>
      </c>
      <c r="AC8" s="25">
        <f t="shared" si="6"/>
        <v>0.34465780403742013</v>
      </c>
      <c r="AD8" s="24">
        <v>1</v>
      </c>
    </row>
    <row r="9" spans="1:30" x14ac:dyDescent="0.25">
      <c r="A9" s="24">
        <v>8</v>
      </c>
      <c r="B9" s="24">
        <v>14.11</v>
      </c>
      <c r="C9" s="24">
        <v>14.1</v>
      </c>
      <c r="D9" s="24">
        <v>0.8911</v>
      </c>
      <c r="E9" s="24">
        <v>5.42</v>
      </c>
      <c r="F9" s="24">
        <v>3.302</v>
      </c>
      <c r="G9" s="24">
        <v>2.7</v>
      </c>
      <c r="H9" s="24">
        <v>5</v>
      </c>
      <c r="I9" s="24">
        <v>1</v>
      </c>
      <c r="V9" s="24">
        <v>8</v>
      </c>
      <c r="W9" s="25">
        <f t="shared" si="0"/>
        <v>0.33238904627006605</v>
      </c>
      <c r="X9" s="25">
        <f t="shared" si="1"/>
        <v>0.34917355371900816</v>
      </c>
      <c r="Y9" s="25">
        <f t="shared" si="2"/>
        <v>0.75317604355716872</v>
      </c>
      <c r="Z9" s="25">
        <f t="shared" si="3"/>
        <v>0.29335585585585583</v>
      </c>
      <c r="AA9" s="25">
        <f t="shared" si="4"/>
        <v>0.47897362794012827</v>
      </c>
      <c r="AB9" s="25">
        <f t="shared" si="5"/>
        <v>0.2515830396962645</v>
      </c>
      <c r="AC9" s="25">
        <f t="shared" si="6"/>
        <v>0.23682914820285572</v>
      </c>
      <c r="AD9" s="24">
        <v>1</v>
      </c>
    </row>
    <row r="10" spans="1:30" x14ac:dyDescent="0.25">
      <c r="A10" s="24">
        <v>9</v>
      </c>
      <c r="B10" s="24">
        <v>16.63</v>
      </c>
      <c r="C10" s="24">
        <v>15.46</v>
      </c>
      <c r="D10" s="24">
        <v>0.87470000000000003</v>
      </c>
      <c r="E10" s="24">
        <v>6.0529999999999999</v>
      </c>
      <c r="F10" s="24">
        <v>3.4649999999999999</v>
      </c>
      <c r="G10" s="24">
        <v>2.04</v>
      </c>
      <c r="H10" s="24">
        <v>5.8769999999999998</v>
      </c>
      <c r="I10" s="24">
        <v>1</v>
      </c>
      <c r="V10" s="24">
        <v>9</v>
      </c>
      <c r="W10" s="25">
        <f t="shared" si="0"/>
        <v>0.5703493862134088</v>
      </c>
      <c r="X10" s="25">
        <f t="shared" si="1"/>
        <v>0.63016528925619852</v>
      </c>
      <c r="Y10" s="25">
        <f t="shared" si="2"/>
        <v>0.60435571687840306</v>
      </c>
      <c r="Z10" s="25">
        <f t="shared" si="3"/>
        <v>0.64977477477477485</v>
      </c>
      <c r="AA10" s="25">
        <f t="shared" si="4"/>
        <v>0.59515324305060557</v>
      </c>
      <c r="AB10" s="25">
        <f t="shared" si="5"/>
        <v>0.16576733542238234</v>
      </c>
      <c r="AC10" s="25">
        <f t="shared" si="6"/>
        <v>0.66863613983259473</v>
      </c>
      <c r="AD10" s="24">
        <v>1</v>
      </c>
    </row>
    <row r="11" spans="1:30" x14ac:dyDescent="0.25">
      <c r="A11" s="24">
        <v>10</v>
      </c>
      <c r="B11" s="24">
        <v>16.440000000000001</v>
      </c>
      <c r="C11" s="24">
        <v>15.25</v>
      </c>
      <c r="D11" s="24">
        <v>0.88800000000000001</v>
      </c>
      <c r="E11" s="24">
        <v>5.8840000000000003</v>
      </c>
      <c r="F11" s="24">
        <v>3.5049999999999999</v>
      </c>
      <c r="G11" s="24">
        <v>1.9690000000000001</v>
      </c>
      <c r="H11" s="24">
        <v>5.5330000000000004</v>
      </c>
      <c r="I11" s="24">
        <v>1</v>
      </c>
      <c r="V11" s="24">
        <v>10</v>
      </c>
      <c r="W11" s="25">
        <f t="shared" si="0"/>
        <v>0.55240793201133154</v>
      </c>
      <c r="X11" s="25">
        <f t="shared" si="1"/>
        <v>0.58677685950413216</v>
      </c>
      <c r="Y11" s="25">
        <f t="shared" si="2"/>
        <v>0.72504537205081665</v>
      </c>
      <c r="Z11" s="25">
        <f t="shared" si="3"/>
        <v>0.55461711711711736</v>
      </c>
      <c r="AA11" s="25">
        <f t="shared" si="4"/>
        <v>0.62366357804704187</v>
      </c>
      <c r="AB11" s="25">
        <f t="shared" si="5"/>
        <v>0.15653564602322226</v>
      </c>
      <c r="AC11" s="25">
        <f t="shared" si="6"/>
        <v>0.49926144756277713</v>
      </c>
      <c r="AD11" s="24">
        <v>1</v>
      </c>
    </row>
    <row r="12" spans="1:30" x14ac:dyDescent="0.25">
      <c r="A12" s="24">
        <v>11</v>
      </c>
      <c r="B12" s="24">
        <v>15.26</v>
      </c>
      <c r="C12" s="24">
        <v>14.85</v>
      </c>
      <c r="D12" s="24">
        <v>0.86960000000000004</v>
      </c>
      <c r="E12" s="24">
        <v>5.7140000000000004</v>
      </c>
      <c r="F12" s="24">
        <v>3.242</v>
      </c>
      <c r="G12" s="24">
        <v>4.5430000000000001</v>
      </c>
      <c r="H12" s="24">
        <v>5.3140000000000001</v>
      </c>
      <c r="I12" s="24">
        <v>1</v>
      </c>
      <c r="V12" s="24">
        <v>11</v>
      </c>
      <c r="W12" s="25">
        <f t="shared" si="0"/>
        <v>0.44098205854579792</v>
      </c>
      <c r="X12" s="25">
        <f t="shared" si="1"/>
        <v>0.50413223140495855</v>
      </c>
      <c r="Y12" s="25">
        <f t="shared" si="2"/>
        <v>0.55807622504537224</v>
      </c>
      <c r="Z12" s="25">
        <f t="shared" si="3"/>
        <v>0.45889639639639668</v>
      </c>
      <c r="AA12" s="25">
        <f t="shared" si="4"/>
        <v>0.43620812544547388</v>
      </c>
      <c r="AB12" s="25">
        <f t="shared" si="5"/>
        <v>0.49121689269136259</v>
      </c>
      <c r="AC12" s="25">
        <f t="shared" si="6"/>
        <v>0.39143279172821271</v>
      </c>
      <c r="AD12" s="24">
        <v>1</v>
      </c>
    </row>
    <row r="13" spans="1:30" x14ac:dyDescent="0.25">
      <c r="A13" s="24">
        <v>12</v>
      </c>
      <c r="B13" s="24">
        <v>14.03</v>
      </c>
      <c r="C13" s="24">
        <v>14.16</v>
      </c>
      <c r="D13" s="24">
        <v>0.87960000000000005</v>
      </c>
      <c r="E13" s="24">
        <v>5.4379999999999997</v>
      </c>
      <c r="F13" s="24">
        <v>3.2010000000000001</v>
      </c>
      <c r="G13" s="24">
        <v>1.7170000000000001</v>
      </c>
      <c r="H13" s="24">
        <v>5.0010000000000003</v>
      </c>
      <c r="I13" s="24">
        <v>1</v>
      </c>
      <c r="V13" s="24">
        <v>12</v>
      </c>
      <c r="W13" s="25">
        <f t="shared" si="0"/>
        <v>0.32483474976392818</v>
      </c>
      <c r="X13" s="25">
        <f t="shared" si="1"/>
        <v>0.36157024793388431</v>
      </c>
      <c r="Y13" s="25">
        <f t="shared" si="2"/>
        <v>0.64882032667876621</v>
      </c>
      <c r="Z13" s="25">
        <f t="shared" si="3"/>
        <v>0.30349099099099086</v>
      </c>
      <c r="AA13" s="25">
        <f t="shared" si="4"/>
        <v>0.40698503207412684</v>
      </c>
      <c r="AB13" s="25">
        <f t="shared" si="5"/>
        <v>0.12376964984592183</v>
      </c>
      <c r="AC13" s="25">
        <f t="shared" si="6"/>
        <v>0.23732151649433791</v>
      </c>
      <c r="AD13" s="24">
        <v>1</v>
      </c>
    </row>
    <row r="14" spans="1:30" x14ac:dyDescent="0.25">
      <c r="A14" s="24">
        <v>13</v>
      </c>
      <c r="B14" s="24">
        <v>13.89</v>
      </c>
      <c r="C14" s="24">
        <v>14.02</v>
      </c>
      <c r="D14" s="24">
        <v>0.88800000000000001</v>
      </c>
      <c r="E14" s="24">
        <v>5.4390000000000001</v>
      </c>
      <c r="F14" s="24">
        <v>3.1989999999999998</v>
      </c>
      <c r="G14" s="24">
        <v>3.9860000000000002</v>
      </c>
      <c r="H14" s="24">
        <v>4.7380000000000004</v>
      </c>
      <c r="I14" s="24">
        <v>1</v>
      </c>
      <c r="V14" s="24">
        <v>13</v>
      </c>
      <c r="W14" s="25">
        <f t="shared" si="0"/>
        <v>0.31161473087818703</v>
      </c>
      <c r="X14" s="25">
        <f t="shared" si="1"/>
        <v>0.33264462809917344</v>
      </c>
      <c r="Y14" s="25">
        <f t="shared" si="2"/>
        <v>0.72504537205081665</v>
      </c>
      <c r="Z14" s="25">
        <f t="shared" si="3"/>
        <v>0.30405405405405411</v>
      </c>
      <c r="AA14" s="25">
        <f t="shared" si="4"/>
        <v>0.4055595153243049</v>
      </c>
      <c r="AB14" s="25">
        <f t="shared" si="5"/>
        <v>0.41879363923598029</v>
      </c>
      <c r="AC14" s="25">
        <f t="shared" si="6"/>
        <v>0.10782865583456443</v>
      </c>
      <c r="AD14" s="24">
        <v>1</v>
      </c>
    </row>
    <row r="15" spans="1:30" x14ac:dyDescent="0.25">
      <c r="A15" s="24">
        <v>14</v>
      </c>
      <c r="B15" s="24">
        <v>13.78</v>
      </c>
      <c r="C15" s="24">
        <v>14.06</v>
      </c>
      <c r="D15" s="24">
        <v>0.87590000000000001</v>
      </c>
      <c r="E15" s="24">
        <v>5.4790000000000001</v>
      </c>
      <c r="F15" s="24">
        <v>3.1560000000000001</v>
      </c>
      <c r="G15" s="24">
        <v>3.1360000000000001</v>
      </c>
      <c r="H15" s="24">
        <v>4.8719999999999999</v>
      </c>
      <c r="I15" s="24">
        <v>1</v>
      </c>
      <c r="V15" s="24">
        <v>14</v>
      </c>
      <c r="W15" s="25">
        <f t="shared" si="0"/>
        <v>0.30122757318224735</v>
      </c>
      <c r="X15" s="25">
        <f t="shared" si="1"/>
        <v>0.34090909090909099</v>
      </c>
      <c r="Y15" s="25">
        <f t="shared" si="2"/>
        <v>0.61524500907441015</v>
      </c>
      <c r="Z15" s="25">
        <f t="shared" si="3"/>
        <v>0.32657657657657663</v>
      </c>
      <c r="AA15" s="25">
        <f t="shared" si="4"/>
        <v>0.37491090520313619</v>
      </c>
      <c r="AB15" s="25">
        <f t="shared" si="5"/>
        <v>0.30827341403476843</v>
      </c>
      <c r="AC15" s="25">
        <f t="shared" si="6"/>
        <v>0.17380600689315598</v>
      </c>
      <c r="AD15" s="24">
        <v>1</v>
      </c>
    </row>
    <row r="16" spans="1:30" x14ac:dyDescent="0.25">
      <c r="A16" s="24">
        <v>15</v>
      </c>
      <c r="B16" s="24">
        <v>13.74</v>
      </c>
      <c r="C16" s="24">
        <v>14.05</v>
      </c>
      <c r="D16" s="24">
        <v>0.87439999999999996</v>
      </c>
      <c r="E16" s="24">
        <v>5.4820000000000002</v>
      </c>
      <c r="F16" s="24">
        <v>3.1139999999999999</v>
      </c>
      <c r="G16" s="24">
        <v>2.9319999999999999</v>
      </c>
      <c r="H16" s="24">
        <v>4.8250000000000002</v>
      </c>
      <c r="I16" s="24">
        <v>1</v>
      </c>
      <c r="V16" s="24">
        <v>15</v>
      </c>
      <c r="W16" s="25">
        <f t="shared" si="0"/>
        <v>0.2974504249291785</v>
      </c>
      <c r="X16" s="25">
        <f t="shared" si="1"/>
        <v>0.33884297520661172</v>
      </c>
      <c r="Y16" s="25">
        <f t="shared" si="2"/>
        <v>0.60163339382940051</v>
      </c>
      <c r="Z16" s="25">
        <f t="shared" si="3"/>
        <v>0.32826576576576588</v>
      </c>
      <c r="AA16" s="25">
        <f t="shared" si="4"/>
        <v>0.34497505345687801</v>
      </c>
      <c r="AB16" s="25">
        <f t="shared" si="5"/>
        <v>0.28174855998647758</v>
      </c>
      <c r="AC16" s="25">
        <f t="shared" si="6"/>
        <v>0.15066469719350079</v>
      </c>
      <c r="AD16" s="24">
        <v>1</v>
      </c>
    </row>
    <row r="17" spans="1:30" x14ac:dyDescent="0.25">
      <c r="A17" s="24">
        <v>16</v>
      </c>
      <c r="B17" s="24">
        <v>14.59</v>
      </c>
      <c r="C17" s="24">
        <v>14.28</v>
      </c>
      <c r="D17" s="24">
        <v>0.89929999999999999</v>
      </c>
      <c r="E17" s="24">
        <v>5.351</v>
      </c>
      <c r="F17" s="24">
        <v>3.3330000000000002</v>
      </c>
      <c r="G17" s="24">
        <v>4.1849999999999996</v>
      </c>
      <c r="H17" s="24">
        <v>4.7809999999999997</v>
      </c>
      <c r="I17" s="24">
        <v>1</v>
      </c>
      <c r="V17" s="24">
        <v>16</v>
      </c>
      <c r="W17" s="25">
        <f t="shared" si="0"/>
        <v>0.37771482530689332</v>
      </c>
      <c r="X17" s="25">
        <f t="shared" si="1"/>
        <v>0.38636363636363619</v>
      </c>
      <c r="Y17" s="25">
        <f t="shared" si="2"/>
        <v>0.82758620689655149</v>
      </c>
      <c r="Z17" s="25">
        <f t="shared" si="3"/>
        <v>0.25450450450450451</v>
      </c>
      <c r="AA17" s="25">
        <f t="shared" si="4"/>
        <v>0.50106913756236637</v>
      </c>
      <c r="AB17" s="25">
        <f t="shared" si="5"/>
        <v>0.44466837431249917</v>
      </c>
      <c r="AC17" s="25">
        <f t="shared" si="6"/>
        <v>0.12900049236829128</v>
      </c>
      <c r="AD17" s="24">
        <v>1</v>
      </c>
    </row>
    <row r="18" spans="1:30" x14ac:dyDescent="0.25">
      <c r="A18" s="24">
        <v>17</v>
      </c>
      <c r="B18" s="24">
        <v>13.99</v>
      </c>
      <c r="C18" s="24">
        <v>13.83</v>
      </c>
      <c r="D18" s="24">
        <v>0.91830000000000001</v>
      </c>
      <c r="E18" s="24">
        <v>5.1189999999999998</v>
      </c>
      <c r="F18" s="24">
        <v>3.383</v>
      </c>
      <c r="G18" s="24">
        <v>5.234</v>
      </c>
      <c r="H18" s="24">
        <v>4.7809999999999997</v>
      </c>
      <c r="I18" s="24">
        <v>1</v>
      </c>
      <c r="V18" s="24">
        <v>17</v>
      </c>
      <c r="W18" s="25">
        <f t="shared" si="0"/>
        <v>0.32105760151085933</v>
      </c>
      <c r="X18" s="25">
        <f t="shared" si="1"/>
        <v>0.29338842975206608</v>
      </c>
      <c r="Y18" s="25">
        <f t="shared" si="2"/>
        <v>1</v>
      </c>
      <c r="Z18" s="25">
        <f t="shared" si="3"/>
        <v>0.12387387387387375</v>
      </c>
      <c r="AA18" s="25">
        <f t="shared" si="4"/>
        <v>0.53670705630791149</v>
      </c>
      <c r="AB18" s="25">
        <f t="shared" si="5"/>
        <v>0.58106333459023007</v>
      </c>
      <c r="AC18" s="25">
        <f t="shared" si="6"/>
        <v>0.12900049236829128</v>
      </c>
      <c r="AD18" s="24">
        <v>1</v>
      </c>
    </row>
    <row r="19" spans="1:30" x14ac:dyDescent="0.25">
      <c r="A19" s="24">
        <v>18</v>
      </c>
      <c r="B19" s="24">
        <v>15.69</v>
      </c>
      <c r="C19" s="24">
        <v>14.75</v>
      </c>
      <c r="D19" s="24">
        <v>0.90580000000000005</v>
      </c>
      <c r="E19" s="24">
        <v>5.5270000000000001</v>
      </c>
      <c r="F19" s="24">
        <v>3.5139999999999998</v>
      </c>
      <c r="G19" s="24">
        <v>1.599</v>
      </c>
      <c r="H19" s="24">
        <v>5.0460000000000003</v>
      </c>
      <c r="I19" s="24">
        <v>1</v>
      </c>
      <c r="V19" s="24">
        <v>18</v>
      </c>
      <c r="W19" s="25">
        <f t="shared" si="0"/>
        <v>0.4815864022662889</v>
      </c>
      <c r="X19" s="25">
        <f t="shared" si="1"/>
        <v>0.48347107438016529</v>
      </c>
      <c r="Y19" s="25">
        <f t="shared" si="2"/>
        <v>0.88656987295825807</v>
      </c>
      <c r="Z19" s="25">
        <f t="shared" si="3"/>
        <v>0.35360360360360371</v>
      </c>
      <c r="AA19" s="25">
        <f t="shared" si="4"/>
        <v>0.63007840342123989</v>
      </c>
      <c r="AB19" s="25">
        <f t="shared" si="5"/>
        <v>0.10842684211210653</v>
      </c>
      <c r="AC19" s="25">
        <f t="shared" si="6"/>
        <v>0.25947808961102914</v>
      </c>
      <c r="AD19" s="24">
        <v>1</v>
      </c>
    </row>
    <row r="20" spans="1:30" x14ac:dyDescent="0.25">
      <c r="A20" s="24">
        <v>19</v>
      </c>
      <c r="B20" s="24">
        <v>14.7</v>
      </c>
      <c r="C20" s="24">
        <v>14.21</v>
      </c>
      <c r="D20" s="24">
        <v>0.9153</v>
      </c>
      <c r="E20" s="24">
        <v>5.2050000000000001</v>
      </c>
      <c r="F20" s="24">
        <v>3.4660000000000002</v>
      </c>
      <c r="G20" s="24">
        <v>1.7669999999999999</v>
      </c>
      <c r="H20" s="24">
        <v>4.649</v>
      </c>
      <c r="I20" s="24">
        <v>1</v>
      </c>
      <c r="V20" s="24">
        <v>19</v>
      </c>
      <c r="W20" s="25">
        <f t="shared" si="0"/>
        <v>0.38810198300283283</v>
      </c>
      <c r="X20" s="25">
        <f t="shared" si="1"/>
        <v>0.37190082644628114</v>
      </c>
      <c r="Y20" s="25">
        <f t="shared" si="2"/>
        <v>0.97277676950998182</v>
      </c>
      <c r="Z20" s="25">
        <f t="shared" si="3"/>
        <v>0.17229729729729734</v>
      </c>
      <c r="AA20" s="25">
        <f t="shared" si="4"/>
        <v>0.59586600142551671</v>
      </c>
      <c r="AB20" s="25">
        <f t="shared" si="5"/>
        <v>0.13027083956364016</v>
      </c>
      <c r="AC20" s="25">
        <f t="shared" si="6"/>
        <v>6.400787789266367E-2</v>
      </c>
      <c r="AD20" s="24">
        <v>1</v>
      </c>
    </row>
    <row r="21" spans="1:30" x14ac:dyDescent="0.25">
      <c r="A21" s="24">
        <v>20</v>
      </c>
      <c r="B21" s="24">
        <v>12.72</v>
      </c>
      <c r="C21" s="24">
        <v>13.57</v>
      </c>
      <c r="D21" s="24">
        <v>0.86860000000000004</v>
      </c>
      <c r="E21" s="24">
        <v>5.226</v>
      </c>
      <c r="F21" s="24">
        <v>3.0489999999999999</v>
      </c>
      <c r="G21" s="24">
        <v>4.1020000000000003</v>
      </c>
      <c r="H21" s="24">
        <v>4.9139999999999997</v>
      </c>
      <c r="I21" s="24">
        <v>1</v>
      </c>
      <c r="V21" s="24">
        <v>20</v>
      </c>
      <c r="W21" s="25">
        <f t="shared" si="0"/>
        <v>0.20113314447592076</v>
      </c>
      <c r="X21" s="25">
        <f t="shared" si="1"/>
        <v>0.23966942148760334</v>
      </c>
      <c r="Y21" s="25">
        <f t="shared" si="2"/>
        <v>0.54900181488203281</v>
      </c>
      <c r="Z21" s="25">
        <f t="shared" si="3"/>
        <v>0.18412162162162163</v>
      </c>
      <c r="AA21" s="25">
        <f t="shared" si="4"/>
        <v>0.29864575908766922</v>
      </c>
      <c r="AB21" s="25">
        <f t="shared" si="5"/>
        <v>0.43387639938108685</v>
      </c>
      <c r="AC21" s="25">
        <f t="shared" si="6"/>
        <v>0.1944854751354011</v>
      </c>
      <c r="AD21" s="24">
        <v>1</v>
      </c>
    </row>
    <row r="22" spans="1:30" x14ac:dyDescent="0.25">
      <c r="A22" s="24">
        <v>21</v>
      </c>
      <c r="B22" s="24">
        <v>14.16</v>
      </c>
      <c r="C22" s="24">
        <v>14.4</v>
      </c>
      <c r="D22" s="24">
        <v>0.85840000000000005</v>
      </c>
      <c r="E22" s="24">
        <v>5.6580000000000004</v>
      </c>
      <c r="F22" s="24">
        <v>3.129</v>
      </c>
      <c r="G22" s="24">
        <v>3.0720000000000001</v>
      </c>
      <c r="H22" s="24">
        <v>5.1760000000000002</v>
      </c>
      <c r="I22" s="24">
        <v>1</v>
      </c>
      <c r="V22" s="24">
        <v>21</v>
      </c>
      <c r="W22" s="25">
        <f t="shared" si="0"/>
        <v>0.33711048158640228</v>
      </c>
      <c r="X22" s="25">
        <f t="shared" si="1"/>
        <v>0.4111570247933885</v>
      </c>
      <c r="Y22" s="25">
        <f t="shared" si="2"/>
        <v>0.45644283121597123</v>
      </c>
      <c r="Z22" s="25">
        <f t="shared" si="3"/>
        <v>0.42736486486486508</v>
      </c>
      <c r="AA22" s="25">
        <f t="shared" si="4"/>
        <v>0.35566642908054164</v>
      </c>
      <c r="AB22" s="25">
        <f t="shared" si="5"/>
        <v>0.29995189119608895</v>
      </c>
      <c r="AC22" s="25">
        <f t="shared" si="6"/>
        <v>0.32348596750369285</v>
      </c>
      <c r="AD22" s="24">
        <v>1</v>
      </c>
    </row>
    <row r="23" spans="1:30" x14ac:dyDescent="0.25">
      <c r="A23" s="24">
        <v>22</v>
      </c>
      <c r="B23" s="24">
        <v>14.11</v>
      </c>
      <c r="C23" s="24">
        <v>14.26</v>
      </c>
      <c r="D23" s="24">
        <v>0.87219999999999998</v>
      </c>
      <c r="E23" s="24">
        <v>5.52</v>
      </c>
      <c r="F23" s="24">
        <v>3.1680000000000001</v>
      </c>
      <c r="G23" s="24">
        <v>2.6880000000000002</v>
      </c>
      <c r="H23" s="24">
        <v>5.2190000000000003</v>
      </c>
      <c r="I23" s="24">
        <v>1</v>
      </c>
      <c r="V23" s="24">
        <v>22</v>
      </c>
      <c r="W23" s="25">
        <f t="shared" si="0"/>
        <v>0.33238904627006605</v>
      </c>
      <c r="X23" s="25">
        <f t="shared" si="1"/>
        <v>0.38223140495867763</v>
      </c>
      <c r="Y23" s="25">
        <f t="shared" si="2"/>
        <v>0.5816696914700541</v>
      </c>
      <c r="Z23" s="25">
        <f t="shared" si="3"/>
        <v>0.34966216216216195</v>
      </c>
      <c r="AA23" s="25">
        <f t="shared" si="4"/>
        <v>0.38346400570206707</v>
      </c>
      <c r="AB23" s="25">
        <f t="shared" si="5"/>
        <v>0.2500227541640121</v>
      </c>
      <c r="AC23" s="25">
        <f t="shared" si="6"/>
        <v>0.34465780403742013</v>
      </c>
      <c r="AD23" s="24">
        <v>1</v>
      </c>
    </row>
    <row r="24" spans="1:30" x14ac:dyDescent="0.25">
      <c r="A24" s="24">
        <v>23</v>
      </c>
      <c r="B24" s="24">
        <v>15.88</v>
      </c>
      <c r="C24" s="24">
        <v>14.9</v>
      </c>
      <c r="D24" s="24">
        <v>0.89880000000000004</v>
      </c>
      <c r="E24" s="24">
        <v>5.6180000000000003</v>
      </c>
      <c r="F24" s="24">
        <v>3.5070000000000001</v>
      </c>
      <c r="G24" s="24">
        <v>0.7651</v>
      </c>
      <c r="H24" s="24">
        <v>5.0910000000000002</v>
      </c>
      <c r="I24" s="24">
        <v>1</v>
      </c>
      <c r="V24" s="24">
        <v>23</v>
      </c>
      <c r="W24" s="25">
        <f t="shared" si="0"/>
        <v>0.4995278564683665</v>
      </c>
      <c r="X24" s="25">
        <f t="shared" si="1"/>
        <v>0.51446280991735538</v>
      </c>
      <c r="Y24" s="25">
        <f t="shared" si="2"/>
        <v>0.82304900181488228</v>
      </c>
      <c r="Z24" s="25">
        <f t="shared" si="3"/>
        <v>0.40484234234234256</v>
      </c>
      <c r="AA24" s="25">
        <f t="shared" si="4"/>
        <v>0.62508909479686381</v>
      </c>
      <c r="AB24" s="25">
        <f t="shared" si="5"/>
        <v>0</v>
      </c>
      <c r="AC24" s="25">
        <f t="shared" si="6"/>
        <v>0.28163466272772042</v>
      </c>
      <c r="AD24" s="24">
        <v>1</v>
      </c>
    </row>
    <row r="25" spans="1:30" x14ac:dyDescent="0.25">
      <c r="A25" s="24">
        <v>24</v>
      </c>
      <c r="B25" s="24">
        <v>12.08</v>
      </c>
      <c r="C25" s="24">
        <v>13.23</v>
      </c>
      <c r="D25" s="24">
        <v>0.86639999999999995</v>
      </c>
      <c r="E25" s="24">
        <v>5.0990000000000002</v>
      </c>
      <c r="F25" s="24">
        <v>2.9359999999999999</v>
      </c>
      <c r="G25" s="24">
        <v>1.415</v>
      </c>
      <c r="H25" s="24">
        <v>4.9610000000000003</v>
      </c>
      <c r="I25" s="24">
        <v>1</v>
      </c>
      <c r="V25" s="24">
        <v>24</v>
      </c>
      <c r="W25" s="25">
        <f t="shared" si="0"/>
        <v>0.14069877242681778</v>
      </c>
      <c r="X25" s="25">
        <f t="shared" si="1"/>
        <v>0.16942148760330586</v>
      </c>
      <c r="Y25" s="25">
        <f t="shared" si="2"/>
        <v>0.5290381125226854</v>
      </c>
      <c r="Z25" s="25">
        <f t="shared" si="3"/>
        <v>0.11261261261261273</v>
      </c>
      <c r="AA25" s="25">
        <f t="shared" si="4"/>
        <v>0.21810406272273694</v>
      </c>
      <c r="AB25" s="25">
        <f t="shared" si="5"/>
        <v>8.4502463950903023E-2</v>
      </c>
      <c r="AC25" s="25">
        <f t="shared" si="6"/>
        <v>0.21762678483505674</v>
      </c>
      <c r="AD25" s="24">
        <v>1</v>
      </c>
    </row>
    <row r="26" spans="1:30" x14ac:dyDescent="0.25">
      <c r="A26" s="24">
        <v>25</v>
      </c>
      <c r="B26" s="24">
        <v>15.01</v>
      </c>
      <c r="C26" s="24">
        <v>14.76</v>
      </c>
      <c r="D26" s="24">
        <v>0.86570000000000003</v>
      </c>
      <c r="E26" s="24">
        <v>5.7889999999999997</v>
      </c>
      <c r="F26" s="24">
        <v>3.2450000000000001</v>
      </c>
      <c r="G26" s="24">
        <v>1.7909999999999999</v>
      </c>
      <c r="H26" s="24">
        <v>5.0010000000000003</v>
      </c>
      <c r="I26" s="24">
        <v>1</v>
      </c>
      <c r="V26" s="24">
        <v>25</v>
      </c>
      <c r="W26" s="25">
        <f t="shared" si="0"/>
        <v>0.41737488196411709</v>
      </c>
      <c r="X26" s="25">
        <f t="shared" si="1"/>
        <v>0.48553719008264457</v>
      </c>
      <c r="Y26" s="25">
        <f t="shared" si="2"/>
        <v>0.52268602540834852</v>
      </c>
      <c r="Z26" s="25">
        <f t="shared" si="3"/>
        <v>0.50112612612612595</v>
      </c>
      <c r="AA26" s="25">
        <f t="shared" si="4"/>
        <v>0.43834640057020668</v>
      </c>
      <c r="AB26" s="25">
        <f t="shared" si="5"/>
        <v>0.13339141062814497</v>
      </c>
      <c r="AC26" s="25">
        <f t="shared" si="6"/>
        <v>0.23732151649433791</v>
      </c>
      <c r="AD26" s="24">
        <v>1</v>
      </c>
    </row>
    <row r="27" spans="1:30" x14ac:dyDescent="0.25">
      <c r="A27" s="24">
        <v>26</v>
      </c>
      <c r="B27" s="24">
        <v>16.190000000000001</v>
      </c>
      <c r="C27" s="24">
        <v>15.16</v>
      </c>
      <c r="D27" s="24">
        <v>0.88490000000000002</v>
      </c>
      <c r="E27" s="24">
        <v>5.8330000000000002</v>
      </c>
      <c r="F27" s="24">
        <v>3.4209999999999998</v>
      </c>
      <c r="G27" s="24">
        <v>0.90300000000000002</v>
      </c>
      <c r="H27" s="24">
        <v>5.3070000000000004</v>
      </c>
      <c r="I27" s="24">
        <v>1</v>
      </c>
      <c r="V27" s="24">
        <v>26</v>
      </c>
      <c r="W27" s="25">
        <f t="shared" si="0"/>
        <v>0.52880075542965077</v>
      </c>
      <c r="X27" s="25">
        <f t="shared" si="1"/>
        <v>0.56818181818181823</v>
      </c>
      <c r="Y27" s="25">
        <f t="shared" si="2"/>
        <v>0.69691470054446469</v>
      </c>
      <c r="Z27" s="25">
        <f t="shared" si="3"/>
        <v>0.52590090090090102</v>
      </c>
      <c r="AA27" s="25">
        <f t="shared" si="4"/>
        <v>0.56379187455452573</v>
      </c>
      <c r="AB27" s="25">
        <f t="shared" si="5"/>
        <v>1.7930281241467193E-2</v>
      </c>
      <c r="AC27" s="25">
        <f t="shared" si="6"/>
        <v>0.3879862136878387</v>
      </c>
      <c r="AD27" s="24">
        <v>1</v>
      </c>
    </row>
    <row r="28" spans="1:30" x14ac:dyDescent="0.25">
      <c r="A28" s="24">
        <v>27</v>
      </c>
      <c r="B28" s="24">
        <v>13.02</v>
      </c>
      <c r="C28" s="24">
        <v>13.76</v>
      </c>
      <c r="D28" s="24">
        <v>0.86409999999999998</v>
      </c>
      <c r="E28" s="24">
        <v>5.3949999999999996</v>
      </c>
      <c r="F28" s="24">
        <v>3.0259999999999998</v>
      </c>
      <c r="G28" s="24">
        <v>3.3730000000000002</v>
      </c>
      <c r="H28" s="24">
        <v>4.8250000000000002</v>
      </c>
      <c r="I28" s="24">
        <v>1</v>
      </c>
      <c r="V28" s="24">
        <v>27</v>
      </c>
      <c r="W28" s="25">
        <f t="shared" si="0"/>
        <v>0.22946175637393765</v>
      </c>
      <c r="X28" s="25">
        <f t="shared" si="1"/>
        <v>0.2789256198347107</v>
      </c>
      <c r="Y28" s="25">
        <f t="shared" si="2"/>
        <v>0.5081669691470051</v>
      </c>
      <c r="Z28" s="25">
        <f t="shared" si="3"/>
        <v>0.27927927927927904</v>
      </c>
      <c r="AA28" s="25">
        <f t="shared" si="4"/>
        <v>0.28225231646471832</v>
      </c>
      <c r="AB28" s="25">
        <f t="shared" si="5"/>
        <v>0.33908905329675337</v>
      </c>
      <c r="AC28" s="25">
        <f t="shared" si="6"/>
        <v>0.15066469719350079</v>
      </c>
      <c r="AD28" s="24">
        <v>1</v>
      </c>
    </row>
    <row r="29" spans="1:30" x14ac:dyDescent="0.25">
      <c r="A29" s="24">
        <v>28</v>
      </c>
      <c r="B29" s="24">
        <v>12.74</v>
      </c>
      <c r="C29" s="24">
        <v>13.67</v>
      </c>
      <c r="D29" s="24">
        <v>0.85640000000000005</v>
      </c>
      <c r="E29" s="24">
        <v>5.3949999999999996</v>
      </c>
      <c r="F29" s="24">
        <v>2.956</v>
      </c>
      <c r="G29" s="24">
        <v>2.504</v>
      </c>
      <c r="H29" s="24">
        <v>4.8689999999999998</v>
      </c>
      <c r="I29" s="24">
        <v>1</v>
      </c>
      <c r="V29" s="24">
        <v>28</v>
      </c>
      <c r="W29" s="25">
        <f t="shared" si="0"/>
        <v>0.20302171860245519</v>
      </c>
      <c r="X29" s="25">
        <f t="shared" si="1"/>
        <v>0.26033057851239666</v>
      </c>
      <c r="Y29" s="25">
        <f t="shared" si="2"/>
        <v>0.43829401088929243</v>
      </c>
      <c r="Z29" s="25">
        <f t="shared" si="3"/>
        <v>0.27927927927927904</v>
      </c>
      <c r="AA29" s="25">
        <f t="shared" si="4"/>
        <v>0.23235923022095506</v>
      </c>
      <c r="AB29" s="25">
        <f t="shared" si="5"/>
        <v>0.22609837600280855</v>
      </c>
      <c r="AC29" s="25">
        <f t="shared" si="6"/>
        <v>0.17232890201870985</v>
      </c>
      <c r="AD29" s="24">
        <v>1</v>
      </c>
    </row>
    <row r="30" spans="1:30" x14ac:dyDescent="0.25">
      <c r="A30" s="24">
        <v>29</v>
      </c>
      <c r="B30" s="24">
        <v>14.11</v>
      </c>
      <c r="C30" s="24">
        <v>14.18</v>
      </c>
      <c r="D30" s="24">
        <v>0.88200000000000001</v>
      </c>
      <c r="E30" s="24">
        <v>5.5410000000000004</v>
      </c>
      <c r="F30" s="24">
        <v>3.2210000000000001</v>
      </c>
      <c r="G30" s="24">
        <v>2.754</v>
      </c>
      <c r="H30" s="24">
        <v>5.0380000000000003</v>
      </c>
      <c r="I30" s="24">
        <v>1</v>
      </c>
      <c r="V30" s="24">
        <v>29</v>
      </c>
      <c r="W30" s="25">
        <f t="shared" si="0"/>
        <v>0.33238904627006605</v>
      </c>
      <c r="X30" s="25">
        <f t="shared" si="1"/>
        <v>0.36570247933884292</v>
      </c>
      <c r="Y30" s="25">
        <f t="shared" si="2"/>
        <v>0.67059891107078029</v>
      </c>
      <c r="Z30" s="25">
        <f t="shared" si="3"/>
        <v>0.36148648648648674</v>
      </c>
      <c r="AA30" s="25">
        <f t="shared" si="4"/>
        <v>0.42124019957234499</v>
      </c>
      <c r="AB30" s="25">
        <f t="shared" si="5"/>
        <v>0.25860432459140026</v>
      </c>
      <c r="AC30" s="25">
        <f t="shared" si="6"/>
        <v>0.25553914327917293</v>
      </c>
      <c r="AD30" s="24">
        <v>1</v>
      </c>
    </row>
    <row r="31" spans="1:30" x14ac:dyDescent="0.25">
      <c r="A31" s="24">
        <v>30</v>
      </c>
      <c r="B31" s="24">
        <v>13.45</v>
      </c>
      <c r="C31" s="24">
        <v>14.02</v>
      </c>
      <c r="D31" s="24">
        <v>0.86040000000000005</v>
      </c>
      <c r="E31" s="24">
        <v>5.516</v>
      </c>
      <c r="F31" s="24">
        <v>3.0649999999999999</v>
      </c>
      <c r="G31" s="24">
        <v>3.5310000000000001</v>
      </c>
      <c r="H31" s="24">
        <v>5.0970000000000004</v>
      </c>
      <c r="I31" s="24">
        <v>1</v>
      </c>
      <c r="V31" s="24">
        <v>30</v>
      </c>
      <c r="W31" s="25">
        <f t="shared" si="0"/>
        <v>0.27006610009442866</v>
      </c>
      <c r="X31" s="25">
        <f t="shared" si="1"/>
        <v>0.33264462809917344</v>
      </c>
      <c r="Y31" s="25">
        <f t="shared" si="2"/>
        <v>0.47459165154264998</v>
      </c>
      <c r="Z31" s="25">
        <f t="shared" si="3"/>
        <v>0.34740990990990994</v>
      </c>
      <c r="AA31" s="25">
        <f t="shared" si="4"/>
        <v>0.3100498930862437</v>
      </c>
      <c r="AB31" s="25">
        <f t="shared" si="5"/>
        <v>0.35963281280474335</v>
      </c>
      <c r="AC31" s="25">
        <f t="shared" si="6"/>
        <v>0.28458887247661269</v>
      </c>
      <c r="AD31" s="24">
        <v>1</v>
      </c>
    </row>
    <row r="32" spans="1:30" x14ac:dyDescent="0.25">
      <c r="A32" s="24">
        <v>31</v>
      </c>
      <c r="B32" s="24">
        <v>13.16</v>
      </c>
      <c r="C32" s="24">
        <v>13.82</v>
      </c>
      <c r="D32" s="24">
        <v>0.86619999999999997</v>
      </c>
      <c r="E32" s="24">
        <v>5.4539999999999997</v>
      </c>
      <c r="F32" s="24">
        <v>2.9750000000000001</v>
      </c>
      <c r="G32" s="24">
        <v>0.85509999999999997</v>
      </c>
      <c r="H32" s="24">
        <v>5.056</v>
      </c>
      <c r="I32" s="24">
        <v>1</v>
      </c>
      <c r="V32" s="24">
        <v>31</v>
      </c>
      <c r="W32" s="25">
        <f t="shared" si="0"/>
        <v>0.24268177525967896</v>
      </c>
      <c r="X32" s="25">
        <f t="shared" si="1"/>
        <v>0.29132231404958681</v>
      </c>
      <c r="Y32" s="25">
        <f t="shared" si="2"/>
        <v>0.52722323049001762</v>
      </c>
      <c r="Z32" s="25">
        <f t="shared" si="3"/>
        <v>0.31249999999999989</v>
      </c>
      <c r="AA32" s="25">
        <f t="shared" si="4"/>
        <v>0.24590163934426235</v>
      </c>
      <c r="AB32" s="25">
        <f t="shared" si="5"/>
        <v>1.1702141491893013E-2</v>
      </c>
      <c r="AC32" s="25">
        <f t="shared" si="6"/>
        <v>0.26440177252584934</v>
      </c>
      <c r="AD32" s="24">
        <v>1</v>
      </c>
    </row>
    <row r="33" spans="1:30" x14ac:dyDescent="0.25">
      <c r="A33" s="24">
        <v>32</v>
      </c>
      <c r="B33" s="24">
        <v>15.49</v>
      </c>
      <c r="C33" s="24">
        <v>14.94</v>
      </c>
      <c r="D33" s="24">
        <v>0.87239999999999995</v>
      </c>
      <c r="E33" s="24">
        <v>5.7569999999999997</v>
      </c>
      <c r="F33" s="24">
        <v>3.371</v>
      </c>
      <c r="G33" s="24">
        <v>3.4119999999999999</v>
      </c>
      <c r="H33" s="24">
        <v>5.2279999999999998</v>
      </c>
      <c r="I33" s="24">
        <v>1</v>
      </c>
      <c r="V33" s="24">
        <v>32</v>
      </c>
      <c r="W33" s="25">
        <f t="shared" si="0"/>
        <v>0.46270066100094431</v>
      </c>
      <c r="X33" s="25">
        <f t="shared" si="1"/>
        <v>0.5227272727272726</v>
      </c>
      <c r="Y33" s="25">
        <f t="shared" si="2"/>
        <v>0.58348457350272176</v>
      </c>
      <c r="Z33" s="25">
        <f t="shared" si="3"/>
        <v>0.48310810810810795</v>
      </c>
      <c r="AA33" s="25">
        <f t="shared" si="4"/>
        <v>0.52815395580898061</v>
      </c>
      <c r="AB33" s="25">
        <f t="shared" si="5"/>
        <v>0.34415998127657366</v>
      </c>
      <c r="AC33" s="25">
        <f t="shared" si="6"/>
        <v>0.34908911866075809</v>
      </c>
      <c r="AD33" s="24">
        <v>1</v>
      </c>
    </row>
    <row r="34" spans="1:30" x14ac:dyDescent="0.25">
      <c r="A34" s="24">
        <v>33</v>
      </c>
      <c r="B34" s="24">
        <v>14.09</v>
      </c>
      <c r="C34" s="24">
        <v>14.41</v>
      </c>
      <c r="D34" s="24">
        <v>0.85289999999999999</v>
      </c>
      <c r="E34" s="24">
        <v>5.7169999999999996</v>
      </c>
      <c r="F34" s="24">
        <v>3.1859999999999999</v>
      </c>
      <c r="G34" s="24">
        <v>3.92</v>
      </c>
      <c r="H34" s="24">
        <v>5.2990000000000004</v>
      </c>
      <c r="I34" s="24">
        <v>1</v>
      </c>
      <c r="V34" s="24">
        <v>33</v>
      </c>
      <c r="W34" s="25">
        <f t="shared" si="0"/>
        <v>0.33050047214353162</v>
      </c>
      <c r="X34" s="25">
        <f t="shared" si="1"/>
        <v>0.41322314049586778</v>
      </c>
      <c r="Y34" s="25">
        <f t="shared" si="2"/>
        <v>0.40653357531760403</v>
      </c>
      <c r="Z34" s="25">
        <f t="shared" si="3"/>
        <v>0.46058558558558543</v>
      </c>
      <c r="AA34" s="25">
        <f t="shared" si="4"/>
        <v>0.39629365645046322</v>
      </c>
      <c r="AB34" s="25">
        <f t="shared" si="5"/>
        <v>0.41021206880859201</v>
      </c>
      <c r="AC34" s="25">
        <f t="shared" si="6"/>
        <v>0.38404726735598244</v>
      </c>
      <c r="AD34" s="24">
        <v>1</v>
      </c>
    </row>
    <row r="35" spans="1:30" x14ac:dyDescent="0.25">
      <c r="A35" s="24">
        <v>34</v>
      </c>
      <c r="B35" s="24">
        <v>13.94</v>
      </c>
      <c r="C35" s="24">
        <v>14.17</v>
      </c>
      <c r="D35" s="24">
        <v>0.87280000000000002</v>
      </c>
      <c r="E35" s="24">
        <v>5.585</v>
      </c>
      <c r="F35" s="24">
        <v>3.15</v>
      </c>
      <c r="G35" s="24">
        <v>2.1240000000000001</v>
      </c>
      <c r="H35" s="24">
        <v>5.0119999999999996</v>
      </c>
      <c r="I35" s="24">
        <v>1</v>
      </c>
      <c r="V35" s="24">
        <v>34</v>
      </c>
      <c r="W35" s="25">
        <f t="shared" si="0"/>
        <v>0.31633616619452309</v>
      </c>
      <c r="X35" s="25">
        <f t="shared" si="1"/>
        <v>0.36363636363636359</v>
      </c>
      <c r="Y35" s="25">
        <f t="shared" si="2"/>
        <v>0.58711433756805809</v>
      </c>
      <c r="Z35" s="25">
        <f t="shared" si="3"/>
        <v>0.38626126126126126</v>
      </c>
      <c r="AA35" s="25">
        <f t="shared" si="4"/>
        <v>0.37063435495367059</v>
      </c>
      <c r="AB35" s="25">
        <f t="shared" si="5"/>
        <v>0.17668933414814916</v>
      </c>
      <c r="AC35" s="25">
        <f t="shared" si="6"/>
        <v>0.24273756770063984</v>
      </c>
      <c r="AD35" s="24">
        <v>1</v>
      </c>
    </row>
    <row r="36" spans="1:30" x14ac:dyDescent="0.25">
      <c r="A36" s="24">
        <v>35</v>
      </c>
      <c r="B36" s="24">
        <v>15.05</v>
      </c>
      <c r="C36" s="24">
        <v>14.68</v>
      </c>
      <c r="D36" s="24">
        <v>0.87790000000000001</v>
      </c>
      <c r="E36" s="24">
        <v>5.7119999999999997</v>
      </c>
      <c r="F36" s="24">
        <v>3.3279999999999998</v>
      </c>
      <c r="G36" s="24">
        <v>2.129</v>
      </c>
      <c r="H36" s="24">
        <v>5.36</v>
      </c>
      <c r="I36" s="24">
        <v>1</v>
      </c>
      <c r="V36" s="24">
        <v>35</v>
      </c>
      <c r="W36" s="25">
        <f t="shared" si="0"/>
        <v>0.42115203021718611</v>
      </c>
      <c r="X36" s="25">
        <f t="shared" si="1"/>
        <v>0.46900826446280985</v>
      </c>
      <c r="Y36" s="25">
        <f t="shared" si="2"/>
        <v>0.6333938294010889</v>
      </c>
      <c r="Z36" s="25">
        <f t="shared" si="3"/>
        <v>0.45777027027027017</v>
      </c>
      <c r="AA36" s="25">
        <f t="shared" si="4"/>
        <v>0.49750534568781163</v>
      </c>
      <c r="AB36" s="25">
        <f t="shared" si="5"/>
        <v>0.17733945311992097</v>
      </c>
      <c r="AC36" s="25">
        <f t="shared" si="6"/>
        <v>0.41408173313638619</v>
      </c>
      <c r="AD36" s="24">
        <v>1</v>
      </c>
    </row>
    <row r="37" spans="1:30" x14ac:dyDescent="0.25">
      <c r="A37" s="24">
        <v>36</v>
      </c>
      <c r="B37" s="24">
        <v>16.12</v>
      </c>
      <c r="C37" s="24">
        <v>15</v>
      </c>
      <c r="D37" s="24">
        <v>0.9</v>
      </c>
      <c r="E37" s="24">
        <v>5.7089999999999996</v>
      </c>
      <c r="F37" s="24">
        <v>3.4849999999999999</v>
      </c>
      <c r="G37" s="24">
        <v>2.27</v>
      </c>
      <c r="H37" s="24">
        <v>5.4429999999999996</v>
      </c>
      <c r="I37" s="24">
        <v>1</v>
      </c>
      <c r="V37" s="24">
        <v>36</v>
      </c>
      <c r="W37" s="25">
        <f t="shared" si="0"/>
        <v>0.52219074598678006</v>
      </c>
      <c r="X37" s="25">
        <f t="shared" si="1"/>
        <v>0.5351239669421487</v>
      </c>
      <c r="Y37" s="25">
        <f t="shared" si="2"/>
        <v>0.83393829401088937</v>
      </c>
      <c r="Z37" s="25">
        <f t="shared" si="3"/>
        <v>0.45608108108108092</v>
      </c>
      <c r="AA37" s="25">
        <f t="shared" si="4"/>
        <v>0.60940841054882378</v>
      </c>
      <c r="AB37" s="25">
        <f t="shared" si="5"/>
        <v>0.19567280812388671</v>
      </c>
      <c r="AC37" s="25">
        <f t="shared" si="6"/>
        <v>0.45494830132939418</v>
      </c>
      <c r="AD37" s="24">
        <v>1</v>
      </c>
    </row>
    <row r="38" spans="1:30" x14ac:dyDescent="0.25">
      <c r="A38" s="24">
        <v>37</v>
      </c>
      <c r="B38" s="24">
        <v>16.2</v>
      </c>
      <c r="C38" s="24">
        <v>15.27</v>
      </c>
      <c r="D38" s="24">
        <v>0.87339999999999995</v>
      </c>
      <c r="E38" s="24">
        <v>5.8259999999999996</v>
      </c>
      <c r="F38" s="24">
        <v>3.464</v>
      </c>
      <c r="G38" s="24">
        <v>2.823</v>
      </c>
      <c r="H38" s="24">
        <v>5.5270000000000001</v>
      </c>
      <c r="I38" s="24">
        <v>1</v>
      </c>
      <c r="V38" s="24">
        <v>37</v>
      </c>
      <c r="W38" s="25">
        <f t="shared" si="0"/>
        <v>0.52974504249291776</v>
      </c>
      <c r="X38" s="25">
        <f t="shared" si="1"/>
        <v>0.59090909090909083</v>
      </c>
      <c r="Y38" s="25">
        <f t="shared" si="2"/>
        <v>0.59255898366606108</v>
      </c>
      <c r="Z38" s="25">
        <f t="shared" si="3"/>
        <v>0.52195945945945932</v>
      </c>
      <c r="AA38" s="25">
        <f t="shared" si="4"/>
        <v>0.59444048467569477</v>
      </c>
      <c r="AB38" s="25">
        <f t="shared" si="5"/>
        <v>0.26757596640185155</v>
      </c>
      <c r="AC38" s="25">
        <f t="shared" si="6"/>
        <v>0.49630723781388486</v>
      </c>
      <c r="AD38" s="24">
        <v>1</v>
      </c>
    </row>
    <row r="39" spans="1:30" x14ac:dyDescent="0.25">
      <c r="A39" s="24">
        <v>38</v>
      </c>
      <c r="B39" s="24">
        <v>17.079999999999998</v>
      </c>
      <c r="C39" s="24">
        <v>15.38</v>
      </c>
      <c r="D39" s="24">
        <v>0.90790000000000004</v>
      </c>
      <c r="E39" s="24">
        <v>5.8319999999999999</v>
      </c>
      <c r="F39" s="24">
        <v>3.6829999999999998</v>
      </c>
      <c r="G39" s="24">
        <v>2.956</v>
      </c>
      <c r="H39" s="24">
        <v>5.484</v>
      </c>
      <c r="I39" s="24">
        <v>1</v>
      </c>
      <c r="V39" s="24">
        <v>38</v>
      </c>
      <c r="W39" s="25">
        <f t="shared" si="0"/>
        <v>0.61284230406043427</v>
      </c>
      <c r="X39" s="25">
        <f t="shared" si="1"/>
        <v>0.61363636363636376</v>
      </c>
      <c r="Y39" s="25">
        <f t="shared" si="2"/>
        <v>0.9056261343012707</v>
      </c>
      <c r="Z39" s="25">
        <f t="shared" si="3"/>
        <v>0.52533783783783783</v>
      </c>
      <c r="AA39" s="25">
        <f t="shared" si="4"/>
        <v>0.75053456878118285</v>
      </c>
      <c r="AB39" s="25">
        <f t="shared" si="5"/>
        <v>0.28486913105098238</v>
      </c>
      <c r="AC39" s="25">
        <f t="shared" si="6"/>
        <v>0.47513540128015758</v>
      </c>
      <c r="AD39" s="24">
        <v>1</v>
      </c>
    </row>
    <row r="40" spans="1:30" x14ac:dyDescent="0.25">
      <c r="A40" s="24">
        <v>39</v>
      </c>
      <c r="B40" s="24">
        <v>14.8</v>
      </c>
      <c r="C40" s="24">
        <v>14.52</v>
      </c>
      <c r="D40" s="24">
        <v>0.88229999999999997</v>
      </c>
      <c r="E40" s="24">
        <v>5.6559999999999997</v>
      </c>
      <c r="F40" s="24">
        <v>3.2879999999999998</v>
      </c>
      <c r="G40" s="24">
        <v>3.1120000000000001</v>
      </c>
      <c r="H40" s="24">
        <v>5.3090000000000002</v>
      </c>
      <c r="I40" s="24">
        <v>1</v>
      </c>
      <c r="V40" s="24">
        <v>39</v>
      </c>
      <c r="W40" s="25">
        <f t="shared" si="0"/>
        <v>0.39754485363550529</v>
      </c>
      <c r="X40" s="25">
        <f t="shared" si="1"/>
        <v>0.43595041322314038</v>
      </c>
      <c r="Y40" s="25">
        <f t="shared" si="2"/>
        <v>0.67332123411978184</v>
      </c>
      <c r="Z40" s="25">
        <f t="shared" si="3"/>
        <v>0.42623873873873858</v>
      </c>
      <c r="AA40" s="25">
        <f t="shared" si="4"/>
        <v>0.46899501069137539</v>
      </c>
      <c r="AB40" s="25">
        <f t="shared" si="5"/>
        <v>0.30515284297026363</v>
      </c>
      <c r="AC40" s="25">
        <f t="shared" si="6"/>
        <v>0.38897095027080264</v>
      </c>
      <c r="AD40" s="24">
        <v>1</v>
      </c>
    </row>
    <row r="41" spans="1:30" x14ac:dyDescent="0.25">
      <c r="A41" s="24">
        <v>40</v>
      </c>
      <c r="B41" s="24">
        <v>14.28</v>
      </c>
      <c r="C41" s="24">
        <v>14.17</v>
      </c>
      <c r="D41" s="24">
        <v>0.89439999999999997</v>
      </c>
      <c r="E41" s="24">
        <v>5.3970000000000002</v>
      </c>
      <c r="F41" s="24">
        <v>3.298</v>
      </c>
      <c r="G41" s="24">
        <v>6.6849999999999996</v>
      </c>
      <c r="H41" s="24">
        <v>5.0010000000000003</v>
      </c>
      <c r="I41" s="24">
        <v>1</v>
      </c>
      <c r="V41" s="24">
        <v>40</v>
      </c>
      <c r="W41" s="25">
        <f t="shared" si="0"/>
        <v>0.348441926345609</v>
      </c>
      <c r="X41" s="25">
        <f t="shared" si="1"/>
        <v>0.36363636363636359</v>
      </c>
      <c r="Y41" s="25">
        <f t="shared" si="2"/>
        <v>0.78312159709618834</v>
      </c>
      <c r="Z41" s="25">
        <f t="shared" si="3"/>
        <v>0.28040540540540554</v>
      </c>
      <c r="AA41" s="25">
        <f t="shared" si="4"/>
        <v>0.4761225944404846</v>
      </c>
      <c r="AB41" s="25">
        <f t="shared" si="5"/>
        <v>0.76972786019841632</v>
      </c>
      <c r="AC41" s="25">
        <f t="shared" si="6"/>
        <v>0.23732151649433791</v>
      </c>
      <c r="AD41" s="24">
        <v>1</v>
      </c>
    </row>
    <row r="42" spans="1:30" x14ac:dyDescent="0.25">
      <c r="A42" s="24">
        <v>41</v>
      </c>
      <c r="B42" s="24">
        <v>13.54</v>
      </c>
      <c r="C42" s="24">
        <v>13.85</v>
      </c>
      <c r="D42" s="24">
        <v>0.8871</v>
      </c>
      <c r="E42" s="24">
        <v>5.3479999999999999</v>
      </c>
      <c r="F42" s="24">
        <v>3.1560000000000001</v>
      </c>
      <c r="G42" s="24">
        <v>2.5870000000000002</v>
      </c>
      <c r="H42" s="24">
        <v>5.1779999999999999</v>
      </c>
      <c r="I42" s="24">
        <v>1</v>
      </c>
      <c r="V42" s="24">
        <v>41</v>
      </c>
      <c r="W42" s="25">
        <f t="shared" si="0"/>
        <v>0.27856468366383375</v>
      </c>
      <c r="X42" s="25">
        <f t="shared" si="1"/>
        <v>0.29752066115702469</v>
      </c>
      <c r="Y42" s="25">
        <f t="shared" si="2"/>
        <v>0.71687840290381111</v>
      </c>
      <c r="Z42" s="25">
        <f t="shared" si="3"/>
        <v>0.25281531531531526</v>
      </c>
      <c r="AA42" s="25">
        <f t="shared" si="4"/>
        <v>0.37491090520313619</v>
      </c>
      <c r="AB42" s="25">
        <f t="shared" si="5"/>
        <v>0.23689035093422103</v>
      </c>
      <c r="AC42" s="25">
        <f t="shared" si="6"/>
        <v>0.32447070408665679</v>
      </c>
      <c r="AD42" s="24">
        <v>1</v>
      </c>
    </row>
    <row r="43" spans="1:30" x14ac:dyDescent="0.25">
      <c r="A43" s="24">
        <v>42</v>
      </c>
      <c r="B43" s="24">
        <v>13.5</v>
      </c>
      <c r="C43" s="24">
        <v>13.85</v>
      </c>
      <c r="D43" s="24">
        <v>0.88519999999999999</v>
      </c>
      <c r="E43" s="24">
        <v>5.351</v>
      </c>
      <c r="F43" s="24">
        <v>3.1579999999999999</v>
      </c>
      <c r="G43" s="24">
        <v>2.2490000000000001</v>
      </c>
      <c r="H43" s="24">
        <v>5.1760000000000002</v>
      </c>
      <c r="I43" s="24">
        <v>1</v>
      </c>
      <c r="V43" s="24">
        <v>42</v>
      </c>
      <c r="W43" s="25">
        <f t="shared" si="0"/>
        <v>0.27478753541076489</v>
      </c>
      <c r="X43" s="25">
        <f t="shared" si="1"/>
        <v>0.29752066115702469</v>
      </c>
      <c r="Y43" s="25">
        <f t="shared" si="2"/>
        <v>0.69963702359346613</v>
      </c>
      <c r="Z43" s="25">
        <f t="shared" si="3"/>
        <v>0.25450450450450451</v>
      </c>
      <c r="AA43" s="25">
        <f t="shared" si="4"/>
        <v>0.37633642195295786</v>
      </c>
      <c r="AB43" s="25">
        <f t="shared" si="5"/>
        <v>0.192942308442445</v>
      </c>
      <c r="AC43" s="25">
        <f t="shared" si="6"/>
        <v>0.32348596750369285</v>
      </c>
      <c r="AD43" s="24">
        <v>1</v>
      </c>
    </row>
    <row r="44" spans="1:30" x14ac:dyDescent="0.25">
      <c r="A44" s="24">
        <v>43</v>
      </c>
      <c r="B44" s="24">
        <v>13.16</v>
      </c>
      <c r="C44" s="24">
        <v>13.55</v>
      </c>
      <c r="D44" s="24">
        <v>0.90090000000000003</v>
      </c>
      <c r="E44" s="24">
        <v>5.1379999999999999</v>
      </c>
      <c r="F44" s="24">
        <v>3.2010000000000001</v>
      </c>
      <c r="G44" s="24">
        <v>2.4609999999999999</v>
      </c>
      <c r="H44" s="24">
        <v>4.7830000000000004</v>
      </c>
      <c r="I44" s="24">
        <v>1</v>
      </c>
      <c r="V44" s="24">
        <v>43</v>
      </c>
      <c r="W44" s="25">
        <f t="shared" si="0"/>
        <v>0.24268177525967896</v>
      </c>
      <c r="X44" s="25">
        <f t="shared" si="1"/>
        <v>0.23553719008264476</v>
      </c>
      <c r="Y44" s="25">
        <f t="shared" si="2"/>
        <v>0.84210526315789491</v>
      </c>
      <c r="Z44" s="25">
        <f t="shared" si="3"/>
        <v>0.13457207207207203</v>
      </c>
      <c r="AA44" s="25">
        <f t="shared" si="4"/>
        <v>0.40698503207412684</v>
      </c>
      <c r="AB44" s="25">
        <f t="shared" si="5"/>
        <v>0.22050735284557077</v>
      </c>
      <c r="AC44" s="25">
        <f t="shared" si="6"/>
        <v>0.12998522895125567</v>
      </c>
      <c r="AD44" s="24">
        <v>1</v>
      </c>
    </row>
    <row r="45" spans="1:30" x14ac:dyDescent="0.25">
      <c r="A45" s="24">
        <v>44</v>
      </c>
      <c r="B45" s="24">
        <v>15.5</v>
      </c>
      <c r="C45" s="24">
        <v>14.86</v>
      </c>
      <c r="D45" s="24">
        <v>0.88200000000000001</v>
      </c>
      <c r="E45" s="24">
        <v>5.8769999999999998</v>
      </c>
      <c r="F45" s="24">
        <v>3.3959999999999999</v>
      </c>
      <c r="G45" s="24">
        <v>4.7110000000000003</v>
      </c>
      <c r="H45" s="24">
        <v>5.5279999999999996</v>
      </c>
      <c r="I45" s="24">
        <v>1</v>
      </c>
      <c r="V45" s="24">
        <v>44</v>
      </c>
      <c r="W45" s="25">
        <f t="shared" si="0"/>
        <v>0.46364494806421153</v>
      </c>
      <c r="X45" s="25">
        <f t="shared" si="1"/>
        <v>0.50619834710743783</v>
      </c>
      <c r="Y45" s="25">
        <f t="shared" si="2"/>
        <v>0.67059891107078029</v>
      </c>
      <c r="Z45" s="25">
        <f t="shared" si="3"/>
        <v>0.55067567567567555</v>
      </c>
      <c r="AA45" s="25">
        <f t="shared" si="4"/>
        <v>0.54597291518175317</v>
      </c>
      <c r="AB45" s="25">
        <f t="shared" si="5"/>
        <v>0.51306089014289624</v>
      </c>
      <c r="AC45" s="25">
        <f t="shared" si="6"/>
        <v>0.49679960610536661</v>
      </c>
      <c r="AD45" s="24">
        <v>1</v>
      </c>
    </row>
    <row r="46" spans="1:30" x14ac:dyDescent="0.25">
      <c r="A46" s="24">
        <v>45</v>
      </c>
      <c r="B46" s="24">
        <v>15.11</v>
      </c>
      <c r="C46" s="24">
        <v>14.54</v>
      </c>
      <c r="D46" s="24">
        <v>0.89859999999999995</v>
      </c>
      <c r="E46" s="24">
        <v>5.5789999999999997</v>
      </c>
      <c r="F46" s="24">
        <v>3.4620000000000002</v>
      </c>
      <c r="G46" s="24">
        <v>3.1280000000000001</v>
      </c>
      <c r="H46" s="24">
        <v>5.18</v>
      </c>
      <c r="I46" s="24">
        <v>1</v>
      </c>
      <c r="V46" s="24">
        <v>45</v>
      </c>
      <c r="W46" s="25">
        <f t="shared" si="0"/>
        <v>0.42681775259678939</v>
      </c>
      <c r="X46" s="25">
        <f t="shared" si="1"/>
        <v>0.44008264462809898</v>
      </c>
      <c r="Y46" s="25">
        <f t="shared" si="2"/>
        <v>0.82123411978221361</v>
      </c>
      <c r="Z46" s="25">
        <f t="shared" si="3"/>
        <v>0.38288288288288275</v>
      </c>
      <c r="AA46" s="25">
        <f t="shared" si="4"/>
        <v>0.59301496792587316</v>
      </c>
      <c r="AB46" s="25">
        <f t="shared" si="5"/>
        <v>0.3072332236799335</v>
      </c>
      <c r="AC46" s="25">
        <f t="shared" si="6"/>
        <v>0.32545544066962073</v>
      </c>
      <c r="AD46" s="24">
        <v>1</v>
      </c>
    </row>
    <row r="47" spans="1:30" x14ac:dyDescent="0.25">
      <c r="A47" s="24">
        <v>46</v>
      </c>
      <c r="B47" s="24">
        <v>13.8</v>
      </c>
      <c r="C47" s="24">
        <v>14.04</v>
      </c>
      <c r="D47" s="24">
        <v>0.87939999999999996</v>
      </c>
      <c r="E47" s="24">
        <v>5.3760000000000003</v>
      </c>
      <c r="F47" s="24">
        <v>3.1549999999999998</v>
      </c>
      <c r="G47" s="24">
        <v>1.56</v>
      </c>
      <c r="H47" s="24">
        <v>4.9610000000000003</v>
      </c>
      <c r="I47" s="24">
        <v>1</v>
      </c>
      <c r="V47" s="24">
        <v>46</v>
      </c>
      <c r="W47" s="25">
        <f t="shared" si="0"/>
        <v>0.30311614730878195</v>
      </c>
      <c r="X47" s="25">
        <f t="shared" si="1"/>
        <v>0.33677685950413205</v>
      </c>
      <c r="Y47" s="25">
        <f t="shared" si="2"/>
        <v>0.64700544464609744</v>
      </c>
      <c r="Z47" s="25">
        <f t="shared" si="3"/>
        <v>0.26858108108108131</v>
      </c>
      <c r="AA47" s="25">
        <f t="shared" si="4"/>
        <v>0.37419814682822505</v>
      </c>
      <c r="AB47" s="25">
        <f t="shared" si="5"/>
        <v>0.10335591413228623</v>
      </c>
      <c r="AC47" s="25">
        <f t="shared" si="6"/>
        <v>0.21762678483505674</v>
      </c>
      <c r="AD47" s="24">
        <v>1</v>
      </c>
    </row>
    <row r="48" spans="1:30" x14ac:dyDescent="0.25">
      <c r="A48" s="24">
        <v>47</v>
      </c>
      <c r="B48" s="24">
        <v>15.36</v>
      </c>
      <c r="C48" s="24">
        <v>14.76</v>
      </c>
      <c r="D48" s="24">
        <v>0.8861</v>
      </c>
      <c r="E48" s="24">
        <v>5.7009999999999996</v>
      </c>
      <c r="F48" s="24">
        <v>3.3929999999999998</v>
      </c>
      <c r="G48" s="24">
        <v>1.367</v>
      </c>
      <c r="H48" s="24">
        <v>5.1319999999999997</v>
      </c>
      <c r="I48" s="24">
        <v>1</v>
      </c>
      <c r="V48" s="24">
        <v>47</v>
      </c>
      <c r="W48" s="25">
        <f t="shared" si="0"/>
        <v>0.45042492917847021</v>
      </c>
      <c r="X48" s="25">
        <f t="shared" si="1"/>
        <v>0.48553719008264457</v>
      </c>
      <c r="Y48" s="25">
        <f t="shared" si="2"/>
        <v>0.70780399274047168</v>
      </c>
      <c r="Z48" s="25">
        <f t="shared" si="3"/>
        <v>0.45157657657657641</v>
      </c>
      <c r="AA48" s="25">
        <f t="shared" si="4"/>
        <v>0.54383464005702042</v>
      </c>
      <c r="AB48" s="25">
        <f t="shared" si="5"/>
        <v>7.8261321821893409E-2</v>
      </c>
      <c r="AC48" s="25">
        <f t="shared" si="6"/>
        <v>0.30182176267848332</v>
      </c>
      <c r="AD48" s="24">
        <v>1</v>
      </c>
    </row>
    <row r="49" spans="1:30" x14ac:dyDescent="0.25">
      <c r="A49" s="24">
        <v>48</v>
      </c>
      <c r="B49" s="24">
        <v>14.99</v>
      </c>
      <c r="C49" s="24">
        <v>14.56</v>
      </c>
      <c r="D49" s="24">
        <v>0.88829999999999998</v>
      </c>
      <c r="E49" s="24">
        <v>5.57</v>
      </c>
      <c r="F49" s="24">
        <v>3.3769999999999998</v>
      </c>
      <c r="G49" s="24">
        <v>2.9580000000000002</v>
      </c>
      <c r="H49" s="24">
        <v>5.1749999999999998</v>
      </c>
      <c r="I49" s="24">
        <v>1</v>
      </c>
      <c r="V49" s="24">
        <v>48</v>
      </c>
      <c r="W49" s="25">
        <f t="shared" si="0"/>
        <v>0.41548630783758267</v>
      </c>
      <c r="X49" s="25">
        <f t="shared" si="1"/>
        <v>0.44421487603305793</v>
      </c>
      <c r="Y49" s="25">
        <f t="shared" si="2"/>
        <v>0.7277676950998182</v>
      </c>
      <c r="Z49" s="25">
        <f t="shared" si="3"/>
        <v>0.37781531531531548</v>
      </c>
      <c r="AA49" s="25">
        <f t="shared" si="4"/>
        <v>0.53243050605844588</v>
      </c>
      <c r="AB49" s="25">
        <f t="shared" si="5"/>
        <v>0.28512917863969112</v>
      </c>
      <c r="AC49" s="25">
        <f t="shared" si="6"/>
        <v>0.32299359921221066</v>
      </c>
      <c r="AD49" s="24">
        <v>1</v>
      </c>
    </row>
    <row r="50" spans="1:30" x14ac:dyDescent="0.25">
      <c r="A50" s="24">
        <v>49</v>
      </c>
      <c r="B50" s="24">
        <v>14.79</v>
      </c>
      <c r="C50" s="24">
        <v>14.52</v>
      </c>
      <c r="D50" s="24">
        <v>0.88190000000000002</v>
      </c>
      <c r="E50" s="24">
        <v>5.5449999999999999</v>
      </c>
      <c r="F50" s="24">
        <v>3.2909999999999999</v>
      </c>
      <c r="G50" s="24">
        <v>2.7040000000000002</v>
      </c>
      <c r="H50" s="24">
        <v>5.1109999999999998</v>
      </c>
      <c r="I50" s="24">
        <v>1</v>
      </c>
      <c r="V50" s="24">
        <v>49</v>
      </c>
      <c r="W50" s="25">
        <f t="shared" si="0"/>
        <v>0.39660056657223791</v>
      </c>
      <c r="X50" s="25">
        <f t="shared" si="1"/>
        <v>0.43595041322314038</v>
      </c>
      <c r="Y50" s="25">
        <f t="shared" si="2"/>
        <v>0.66969147005444651</v>
      </c>
      <c r="Z50" s="25">
        <f t="shared" si="3"/>
        <v>0.36373873873873874</v>
      </c>
      <c r="AA50" s="25">
        <f t="shared" si="4"/>
        <v>0.47113328581610819</v>
      </c>
      <c r="AB50" s="25">
        <f t="shared" si="5"/>
        <v>0.25210313487368197</v>
      </c>
      <c r="AC50" s="25">
        <f t="shared" si="6"/>
        <v>0.29148202855736077</v>
      </c>
      <c r="AD50" s="24">
        <v>1</v>
      </c>
    </row>
    <row r="51" spans="1:30" x14ac:dyDescent="0.25">
      <c r="A51" s="24">
        <v>50</v>
      </c>
      <c r="B51" s="24">
        <v>14.86</v>
      </c>
      <c r="C51" s="24">
        <v>14.67</v>
      </c>
      <c r="D51" s="24">
        <v>0.86760000000000004</v>
      </c>
      <c r="E51" s="24">
        <v>5.6779999999999999</v>
      </c>
      <c r="F51" s="24">
        <v>3.258</v>
      </c>
      <c r="G51" s="24">
        <v>2.129</v>
      </c>
      <c r="H51" s="24">
        <v>5.351</v>
      </c>
      <c r="I51" s="24">
        <v>1</v>
      </c>
      <c r="V51" s="24">
        <v>50</v>
      </c>
      <c r="W51" s="25">
        <f t="shared" si="0"/>
        <v>0.40321057601510857</v>
      </c>
      <c r="X51" s="25">
        <f t="shared" si="1"/>
        <v>0.46694214876033052</v>
      </c>
      <c r="Y51" s="25">
        <f t="shared" si="2"/>
        <v>0.53992740471869338</v>
      </c>
      <c r="Z51" s="25">
        <f t="shared" si="3"/>
        <v>0.43862612612612611</v>
      </c>
      <c r="AA51" s="25">
        <f t="shared" si="4"/>
        <v>0.44761225944404842</v>
      </c>
      <c r="AB51" s="25">
        <f t="shared" si="5"/>
        <v>0.17733945311992097</v>
      </c>
      <c r="AC51" s="25">
        <f t="shared" si="6"/>
        <v>0.40965041851304773</v>
      </c>
      <c r="AD51" s="24">
        <v>1</v>
      </c>
    </row>
    <row r="52" spans="1:30" x14ac:dyDescent="0.25">
      <c r="A52" s="24">
        <v>51</v>
      </c>
      <c r="B52" s="24">
        <v>14.43</v>
      </c>
      <c r="C52" s="24">
        <v>14.4</v>
      </c>
      <c r="D52" s="24">
        <v>0.87509999999999999</v>
      </c>
      <c r="E52" s="24">
        <v>5.585</v>
      </c>
      <c r="F52" s="24">
        <v>3.2719999999999998</v>
      </c>
      <c r="G52" s="24">
        <v>3.9750000000000001</v>
      </c>
      <c r="H52" s="24">
        <v>5.1440000000000001</v>
      </c>
      <c r="I52" s="24">
        <v>1</v>
      </c>
      <c r="V52" s="24">
        <v>51</v>
      </c>
      <c r="W52" s="25">
        <f t="shared" si="0"/>
        <v>0.36260623229461758</v>
      </c>
      <c r="X52" s="25">
        <f t="shared" si="1"/>
        <v>0.4111570247933885</v>
      </c>
      <c r="Y52" s="25">
        <f t="shared" si="2"/>
        <v>0.60798548094373839</v>
      </c>
      <c r="Z52" s="25">
        <f t="shared" si="3"/>
        <v>0.38626126126126126</v>
      </c>
      <c r="AA52" s="25">
        <f t="shared" si="4"/>
        <v>0.45759087669280091</v>
      </c>
      <c r="AB52" s="25">
        <f t="shared" si="5"/>
        <v>0.41736337749808222</v>
      </c>
      <c r="AC52" s="25">
        <f t="shared" si="6"/>
        <v>0.30773018217626791</v>
      </c>
      <c r="AD52" s="24">
        <v>1</v>
      </c>
    </row>
    <row r="53" spans="1:30" x14ac:dyDescent="0.25">
      <c r="A53" s="24">
        <v>52</v>
      </c>
      <c r="B53" s="24">
        <v>15.78</v>
      </c>
      <c r="C53" s="24">
        <v>14.91</v>
      </c>
      <c r="D53" s="24">
        <v>0.89229999999999998</v>
      </c>
      <c r="E53" s="24">
        <v>5.6740000000000004</v>
      </c>
      <c r="F53" s="24">
        <v>3.4340000000000002</v>
      </c>
      <c r="G53" s="24">
        <v>5.593</v>
      </c>
      <c r="H53" s="24">
        <v>5.1360000000000001</v>
      </c>
      <c r="I53" s="24">
        <v>1</v>
      </c>
      <c r="V53" s="24">
        <v>52</v>
      </c>
      <c r="W53" s="25">
        <f t="shared" si="0"/>
        <v>0.49008498583569399</v>
      </c>
      <c r="X53" s="25">
        <f t="shared" si="1"/>
        <v>0.51652892561983477</v>
      </c>
      <c r="Y53" s="25">
        <f t="shared" si="2"/>
        <v>0.76406533575317581</v>
      </c>
      <c r="Z53" s="25">
        <f t="shared" si="3"/>
        <v>0.43637387387387411</v>
      </c>
      <c r="AA53" s="25">
        <f t="shared" si="4"/>
        <v>0.57305773342836774</v>
      </c>
      <c r="AB53" s="25">
        <f t="shared" si="5"/>
        <v>0.62774187676344773</v>
      </c>
      <c r="AC53" s="25">
        <f t="shared" si="6"/>
        <v>0.30379123584441164</v>
      </c>
      <c r="AD53" s="24">
        <v>1</v>
      </c>
    </row>
    <row r="54" spans="1:30" x14ac:dyDescent="0.25">
      <c r="A54" s="24">
        <v>53</v>
      </c>
      <c r="B54" s="24">
        <v>14.49</v>
      </c>
      <c r="C54" s="24">
        <v>14.61</v>
      </c>
      <c r="D54" s="24">
        <v>0.8538</v>
      </c>
      <c r="E54" s="24">
        <v>5.7149999999999999</v>
      </c>
      <c r="F54" s="24">
        <v>3.113</v>
      </c>
      <c r="G54" s="24">
        <v>4.1159999999999997</v>
      </c>
      <c r="H54" s="24">
        <v>5.3959999999999999</v>
      </c>
      <c r="I54" s="24">
        <v>1</v>
      </c>
      <c r="V54" s="24">
        <v>53</v>
      </c>
      <c r="W54" s="25">
        <f t="shared" si="0"/>
        <v>0.36827195467422102</v>
      </c>
      <c r="X54" s="25">
        <f t="shared" si="1"/>
        <v>0.45454545454545442</v>
      </c>
      <c r="Y54" s="25">
        <f t="shared" si="2"/>
        <v>0.41470054446460958</v>
      </c>
      <c r="Z54" s="25">
        <f t="shared" si="3"/>
        <v>0.45945945945945943</v>
      </c>
      <c r="AA54" s="25">
        <f t="shared" si="4"/>
        <v>0.34426229508196715</v>
      </c>
      <c r="AB54" s="25">
        <f t="shared" si="5"/>
        <v>0.43569673250204788</v>
      </c>
      <c r="AC54" s="25">
        <f t="shared" si="6"/>
        <v>0.43180699162973901</v>
      </c>
      <c r="AD54" s="24">
        <v>1</v>
      </c>
    </row>
    <row r="55" spans="1:30" x14ac:dyDescent="0.25">
      <c r="A55" s="24">
        <v>54</v>
      </c>
      <c r="B55" s="24">
        <v>14.33</v>
      </c>
      <c r="C55" s="24">
        <v>14.28</v>
      </c>
      <c r="D55" s="24">
        <v>0.8831</v>
      </c>
      <c r="E55" s="24">
        <v>5.5039999999999996</v>
      </c>
      <c r="F55" s="24">
        <v>3.1989999999999998</v>
      </c>
      <c r="G55" s="24">
        <v>3.3279999999999998</v>
      </c>
      <c r="H55" s="24">
        <v>5.2240000000000002</v>
      </c>
      <c r="I55" s="24">
        <v>1</v>
      </c>
      <c r="V55" s="24">
        <v>54</v>
      </c>
      <c r="W55" s="25">
        <f t="shared" si="0"/>
        <v>0.35316336166194523</v>
      </c>
      <c r="X55" s="25">
        <f t="shared" si="1"/>
        <v>0.38636363636363619</v>
      </c>
      <c r="Y55" s="25">
        <f t="shared" si="2"/>
        <v>0.6805807622504535</v>
      </c>
      <c r="Z55" s="25">
        <f t="shared" si="3"/>
        <v>0.34065315315315292</v>
      </c>
      <c r="AA55" s="25">
        <f t="shared" si="4"/>
        <v>0.4055595153243049</v>
      </c>
      <c r="AB55" s="25">
        <f t="shared" si="5"/>
        <v>0.33323798255080683</v>
      </c>
      <c r="AC55" s="25">
        <f t="shared" si="6"/>
        <v>0.34711964549483021</v>
      </c>
      <c r="AD55" s="24">
        <v>1</v>
      </c>
    </row>
    <row r="56" spans="1:30" x14ac:dyDescent="0.25">
      <c r="A56" s="24">
        <v>55</v>
      </c>
      <c r="B56" s="24">
        <v>14.52</v>
      </c>
      <c r="C56" s="24">
        <v>14.6</v>
      </c>
      <c r="D56" s="24">
        <v>0.85570000000000002</v>
      </c>
      <c r="E56" s="24">
        <v>5.7409999999999997</v>
      </c>
      <c r="F56" s="24">
        <v>3.113</v>
      </c>
      <c r="G56" s="24">
        <v>1.4810000000000001</v>
      </c>
      <c r="H56" s="24">
        <v>5.4870000000000001</v>
      </c>
      <c r="I56" s="24">
        <v>1</v>
      </c>
      <c r="V56" s="24">
        <v>55</v>
      </c>
      <c r="W56" s="25">
        <f t="shared" si="0"/>
        <v>0.37110481586402266</v>
      </c>
      <c r="X56" s="25">
        <f t="shared" si="1"/>
        <v>0.45247933884297514</v>
      </c>
      <c r="Y56" s="25">
        <f t="shared" si="2"/>
        <v>0.43194192377495455</v>
      </c>
      <c r="Z56" s="25">
        <f t="shared" si="3"/>
        <v>0.47409909909909898</v>
      </c>
      <c r="AA56" s="25">
        <f t="shared" si="4"/>
        <v>0.34426229508196715</v>
      </c>
      <c r="AB56" s="25">
        <f t="shared" si="5"/>
        <v>9.3084034378291255E-2</v>
      </c>
      <c r="AC56" s="25">
        <f t="shared" si="6"/>
        <v>0.47661250615460371</v>
      </c>
      <c r="AD56" s="24">
        <v>1</v>
      </c>
    </row>
    <row r="57" spans="1:30" x14ac:dyDescent="0.25">
      <c r="A57" s="24">
        <v>56</v>
      </c>
      <c r="B57" s="24">
        <v>15.03</v>
      </c>
      <c r="C57" s="24">
        <v>14.77</v>
      </c>
      <c r="D57" s="24">
        <v>0.86580000000000001</v>
      </c>
      <c r="E57" s="24">
        <v>5.702</v>
      </c>
      <c r="F57" s="24">
        <v>3.2120000000000002</v>
      </c>
      <c r="G57" s="24">
        <v>1.9330000000000001</v>
      </c>
      <c r="H57" s="24">
        <v>5.4390000000000001</v>
      </c>
      <c r="I57" s="24">
        <v>1</v>
      </c>
      <c r="V57" s="24">
        <v>56</v>
      </c>
      <c r="W57" s="25">
        <f t="shared" si="0"/>
        <v>0.41926345609065152</v>
      </c>
      <c r="X57" s="25">
        <f t="shared" si="1"/>
        <v>0.48760330578512384</v>
      </c>
      <c r="Y57" s="25">
        <f t="shared" si="2"/>
        <v>0.5235934664246823</v>
      </c>
      <c r="Z57" s="25">
        <f t="shared" si="3"/>
        <v>0.45213963963963966</v>
      </c>
      <c r="AA57" s="25">
        <f t="shared" si="4"/>
        <v>0.41482537419814691</v>
      </c>
      <c r="AB57" s="25">
        <f t="shared" si="5"/>
        <v>0.15185478942646505</v>
      </c>
      <c r="AC57" s="25">
        <f t="shared" si="6"/>
        <v>0.4529788281634663</v>
      </c>
      <c r="AD57" s="24">
        <v>1</v>
      </c>
    </row>
    <row r="58" spans="1:30" x14ac:dyDescent="0.25">
      <c r="A58" s="24">
        <v>57</v>
      </c>
      <c r="B58" s="24">
        <v>14.46</v>
      </c>
      <c r="C58" s="24">
        <v>14.35</v>
      </c>
      <c r="D58" s="24">
        <v>0.88180000000000003</v>
      </c>
      <c r="E58" s="24">
        <v>5.3879999999999999</v>
      </c>
      <c r="F58" s="24">
        <v>3.3769999999999998</v>
      </c>
      <c r="G58" s="24">
        <v>2.802</v>
      </c>
      <c r="H58" s="24">
        <v>5.0439999999999996</v>
      </c>
      <c r="I58" s="24">
        <v>1</v>
      </c>
      <c r="V58" s="24">
        <v>57</v>
      </c>
      <c r="W58" s="25">
        <f t="shared" si="0"/>
        <v>0.36543909348441939</v>
      </c>
      <c r="X58" s="25">
        <f t="shared" si="1"/>
        <v>0.40082644628099162</v>
      </c>
      <c r="Y58" s="25">
        <f t="shared" si="2"/>
        <v>0.66878402903811263</v>
      </c>
      <c r="Z58" s="25">
        <f t="shared" si="3"/>
        <v>0.27533783783783777</v>
      </c>
      <c r="AA58" s="25">
        <f t="shared" si="4"/>
        <v>0.53243050605844588</v>
      </c>
      <c r="AB58" s="25">
        <f t="shared" si="5"/>
        <v>0.26484546672040987</v>
      </c>
      <c r="AC58" s="25">
        <f t="shared" si="6"/>
        <v>0.25849335302806475</v>
      </c>
      <c r="AD58" s="24">
        <v>1</v>
      </c>
    </row>
    <row r="59" spans="1:30" x14ac:dyDescent="0.25">
      <c r="A59" s="24">
        <v>58</v>
      </c>
      <c r="B59" s="24">
        <v>14.92</v>
      </c>
      <c r="C59" s="24">
        <v>14.43</v>
      </c>
      <c r="D59" s="24">
        <v>0.90059999999999996</v>
      </c>
      <c r="E59" s="24">
        <v>5.3840000000000003</v>
      </c>
      <c r="F59" s="24">
        <v>3.4119999999999999</v>
      </c>
      <c r="G59" s="24">
        <v>1.1419999999999999</v>
      </c>
      <c r="H59" s="24">
        <v>5.0880000000000001</v>
      </c>
      <c r="I59" s="24">
        <v>1</v>
      </c>
      <c r="V59" s="24">
        <v>58</v>
      </c>
      <c r="W59" s="25">
        <f t="shared" si="0"/>
        <v>0.40887629839471201</v>
      </c>
      <c r="X59" s="25">
        <f t="shared" si="1"/>
        <v>0.41735537190082639</v>
      </c>
      <c r="Y59" s="25">
        <f t="shared" si="2"/>
        <v>0.83938294010889247</v>
      </c>
      <c r="Z59" s="25">
        <f t="shared" si="3"/>
        <v>0.27308558558558582</v>
      </c>
      <c r="AA59" s="25">
        <f t="shared" si="4"/>
        <v>0.55737704918032771</v>
      </c>
      <c r="AB59" s="25">
        <f t="shared" si="5"/>
        <v>4.9005968092160859E-2</v>
      </c>
      <c r="AC59" s="25">
        <f t="shared" si="6"/>
        <v>0.28015755785327429</v>
      </c>
      <c r="AD59" s="24">
        <v>1</v>
      </c>
    </row>
    <row r="60" spans="1:30" x14ac:dyDescent="0.25">
      <c r="A60" s="24">
        <v>59</v>
      </c>
      <c r="B60" s="24">
        <v>15.38</v>
      </c>
      <c r="C60" s="24">
        <v>14.77</v>
      </c>
      <c r="D60" s="24">
        <v>0.88570000000000004</v>
      </c>
      <c r="E60" s="24">
        <v>5.6619999999999999</v>
      </c>
      <c r="F60" s="24">
        <v>3.419</v>
      </c>
      <c r="G60" s="24">
        <v>1.9990000000000001</v>
      </c>
      <c r="H60" s="24">
        <v>5.2220000000000004</v>
      </c>
      <c r="I60" s="24">
        <v>1</v>
      </c>
      <c r="V60" s="24">
        <v>59</v>
      </c>
      <c r="W60" s="25">
        <f t="shared" si="0"/>
        <v>0.4523135033050048</v>
      </c>
      <c r="X60" s="25">
        <f t="shared" si="1"/>
        <v>0.48760330578512384</v>
      </c>
      <c r="Y60" s="25">
        <f t="shared" si="2"/>
        <v>0.70417422867513635</v>
      </c>
      <c r="Z60" s="25">
        <f t="shared" si="3"/>
        <v>0.42961711711711709</v>
      </c>
      <c r="AA60" s="25">
        <f t="shared" si="4"/>
        <v>0.56236635780470412</v>
      </c>
      <c r="AB60" s="25">
        <f t="shared" si="5"/>
        <v>0.16043635985385329</v>
      </c>
      <c r="AC60" s="25">
        <f t="shared" si="6"/>
        <v>0.34613490891186627</v>
      </c>
      <c r="AD60" s="24">
        <v>1</v>
      </c>
    </row>
    <row r="61" spans="1:30" x14ac:dyDescent="0.25">
      <c r="A61" s="24">
        <v>60</v>
      </c>
      <c r="B61" s="24">
        <v>12.11</v>
      </c>
      <c r="C61" s="24">
        <v>13.47</v>
      </c>
      <c r="D61" s="24">
        <v>0.83919999999999995</v>
      </c>
      <c r="E61" s="24">
        <v>5.1589999999999998</v>
      </c>
      <c r="F61" s="24">
        <v>3.032</v>
      </c>
      <c r="G61" s="24">
        <v>1.502</v>
      </c>
      <c r="H61" s="24">
        <v>4.5190000000000001</v>
      </c>
      <c r="I61" s="24">
        <v>1</v>
      </c>
      <c r="V61" s="24">
        <v>60</v>
      </c>
      <c r="W61" s="25">
        <f t="shared" si="0"/>
        <v>0.14353163361661941</v>
      </c>
      <c r="X61" s="25">
        <f t="shared" si="1"/>
        <v>0.21900826446281002</v>
      </c>
      <c r="Y61" s="25">
        <f t="shared" si="2"/>
        <v>0.28221415607985406</v>
      </c>
      <c r="Z61" s="25">
        <f t="shared" si="3"/>
        <v>0.14639639639639629</v>
      </c>
      <c r="AA61" s="25">
        <f t="shared" si="4"/>
        <v>0.28652886671418387</v>
      </c>
      <c r="AB61" s="25">
        <f t="shared" si="5"/>
        <v>9.5814534059732948E-2</v>
      </c>
      <c r="AC61" s="25">
        <f t="shared" si="6"/>
        <v>0</v>
      </c>
      <c r="AD61" s="24">
        <v>1</v>
      </c>
    </row>
    <row r="62" spans="1:30" x14ac:dyDescent="0.25">
      <c r="A62" s="24">
        <v>61</v>
      </c>
      <c r="B62" s="24">
        <v>11.42</v>
      </c>
      <c r="C62" s="24">
        <v>12.86</v>
      </c>
      <c r="D62" s="24">
        <v>0.86829999999999996</v>
      </c>
      <c r="E62" s="24">
        <v>5.008</v>
      </c>
      <c r="F62" s="24">
        <v>2.85</v>
      </c>
      <c r="G62" s="24">
        <v>2.7</v>
      </c>
      <c r="H62" s="24">
        <v>4.6070000000000002</v>
      </c>
      <c r="I62" s="24">
        <v>1</v>
      </c>
      <c r="V62" s="24">
        <v>61</v>
      </c>
      <c r="W62" s="25">
        <f t="shared" si="0"/>
        <v>7.8375826251180364E-2</v>
      </c>
      <c r="X62" s="25">
        <f t="shared" si="1"/>
        <v>9.2975206611570105E-2</v>
      </c>
      <c r="Y62" s="25">
        <f t="shared" si="2"/>
        <v>0.54627949183303026</v>
      </c>
      <c r="Z62" s="25">
        <f t="shared" si="3"/>
        <v>6.1373873873873871E-2</v>
      </c>
      <c r="AA62" s="25">
        <f t="shared" si="4"/>
        <v>0.15680684248039922</v>
      </c>
      <c r="AB62" s="25">
        <f t="shared" si="5"/>
        <v>0.2515830396962645</v>
      </c>
      <c r="AC62" s="25">
        <f t="shared" si="6"/>
        <v>4.3328409650418558E-2</v>
      </c>
      <c r="AD62" s="24">
        <v>1</v>
      </c>
    </row>
    <row r="63" spans="1:30" x14ac:dyDescent="0.25">
      <c r="A63" s="24">
        <v>62</v>
      </c>
      <c r="B63" s="24">
        <v>11.23</v>
      </c>
      <c r="C63" s="24">
        <v>12.63</v>
      </c>
      <c r="D63" s="24">
        <v>0.88400000000000001</v>
      </c>
      <c r="E63" s="24">
        <v>4.9020000000000001</v>
      </c>
      <c r="F63" s="24">
        <v>2.879</v>
      </c>
      <c r="G63" s="24">
        <v>2.2690000000000001</v>
      </c>
      <c r="H63" s="24">
        <v>4.7030000000000003</v>
      </c>
      <c r="I63" s="24">
        <v>1</v>
      </c>
      <c r="V63" s="24">
        <v>62</v>
      </c>
      <c r="W63" s="25">
        <f t="shared" si="0"/>
        <v>6.0434372049102979E-2</v>
      </c>
      <c r="X63" s="25">
        <f t="shared" si="1"/>
        <v>4.5454545454545588E-2</v>
      </c>
      <c r="Y63" s="25">
        <f t="shared" si="2"/>
        <v>0.68874773139745904</v>
      </c>
      <c r="Z63" s="25">
        <f t="shared" si="3"/>
        <v>1.6891891891892535E-3</v>
      </c>
      <c r="AA63" s="25">
        <f t="shared" si="4"/>
        <v>0.17747683535281542</v>
      </c>
      <c r="AB63" s="25">
        <f t="shared" si="5"/>
        <v>0.19554278432953234</v>
      </c>
      <c r="AC63" s="25">
        <f t="shared" si="6"/>
        <v>9.0595765632693351E-2</v>
      </c>
      <c r="AD63" s="24">
        <v>1</v>
      </c>
    </row>
    <row r="64" spans="1:30" x14ac:dyDescent="0.25">
      <c r="A64" s="24">
        <v>63</v>
      </c>
      <c r="B64" s="24">
        <v>12.36</v>
      </c>
      <c r="C64" s="24">
        <v>13.19</v>
      </c>
      <c r="D64" s="24">
        <v>0.89229999999999998</v>
      </c>
      <c r="E64" s="24">
        <v>5.0759999999999996</v>
      </c>
      <c r="F64" s="24">
        <v>3.0419999999999998</v>
      </c>
      <c r="G64" s="24">
        <v>3.22</v>
      </c>
      <c r="H64" s="24">
        <v>4.6050000000000004</v>
      </c>
      <c r="I64" s="24">
        <v>1</v>
      </c>
      <c r="V64" s="24">
        <v>63</v>
      </c>
      <c r="W64" s="25">
        <f t="shared" si="0"/>
        <v>0.16713881019830024</v>
      </c>
      <c r="X64" s="25">
        <f t="shared" si="1"/>
        <v>0.16115702479338831</v>
      </c>
      <c r="Y64" s="25">
        <f t="shared" si="2"/>
        <v>0.76406533575317581</v>
      </c>
      <c r="Z64" s="25">
        <f t="shared" si="3"/>
        <v>9.9662162162161949E-2</v>
      </c>
      <c r="AA64" s="25">
        <f t="shared" si="4"/>
        <v>0.29365645046329281</v>
      </c>
      <c r="AB64" s="25">
        <f t="shared" si="5"/>
        <v>0.31919541276053526</v>
      </c>
      <c r="AC64" s="25">
        <f t="shared" si="6"/>
        <v>4.234367306745461E-2</v>
      </c>
      <c r="AD64" s="24">
        <v>1</v>
      </c>
    </row>
    <row r="65" spans="1:30" x14ac:dyDescent="0.25">
      <c r="A65" s="24">
        <v>64</v>
      </c>
      <c r="B65" s="24">
        <v>13.22</v>
      </c>
      <c r="C65" s="24">
        <v>13.84</v>
      </c>
      <c r="D65" s="24">
        <v>0.86799999999999999</v>
      </c>
      <c r="E65" s="24">
        <v>5.3949999999999996</v>
      </c>
      <c r="F65" s="24">
        <v>3.07</v>
      </c>
      <c r="G65" s="24">
        <v>4.157</v>
      </c>
      <c r="H65" s="24">
        <v>5.0880000000000001</v>
      </c>
      <c r="I65" s="24">
        <v>1</v>
      </c>
      <c r="V65" s="24">
        <v>64</v>
      </c>
      <c r="W65" s="25">
        <f t="shared" si="0"/>
        <v>0.24834749763928241</v>
      </c>
      <c r="X65" s="25">
        <f t="shared" si="1"/>
        <v>0.29545454545454541</v>
      </c>
      <c r="Y65" s="25">
        <f t="shared" si="2"/>
        <v>0.54355716878402882</v>
      </c>
      <c r="Z65" s="25">
        <f t="shared" si="3"/>
        <v>0.27927927927927904</v>
      </c>
      <c r="AA65" s="25">
        <f t="shared" si="4"/>
        <v>0.31361368496079817</v>
      </c>
      <c r="AB65" s="25">
        <f t="shared" si="5"/>
        <v>0.44102770807057701</v>
      </c>
      <c r="AC65" s="25">
        <f t="shared" si="6"/>
        <v>0.28015755785327429</v>
      </c>
      <c r="AD65" s="24">
        <v>1</v>
      </c>
    </row>
    <row r="66" spans="1:30" x14ac:dyDescent="0.25">
      <c r="A66" s="24">
        <v>65</v>
      </c>
      <c r="B66" s="24">
        <v>12.78</v>
      </c>
      <c r="C66" s="24">
        <v>13.57</v>
      </c>
      <c r="D66" s="24">
        <v>0.87160000000000004</v>
      </c>
      <c r="E66" s="24">
        <v>5.2619999999999996</v>
      </c>
      <c r="F66" s="24">
        <v>3.0259999999999998</v>
      </c>
      <c r="G66" s="24">
        <v>1.1759999999999999</v>
      </c>
      <c r="H66" s="24">
        <v>4.782</v>
      </c>
      <c r="I66" s="24">
        <v>1</v>
      </c>
      <c r="V66" s="24">
        <v>65</v>
      </c>
      <c r="W66" s="25">
        <f t="shared" ref="W66:W129" si="7">(B66-MIN($B$2:$B$211))/((MAX($B$2:$B$211)-MIN($B$2:$B$211)))</f>
        <v>0.20679886685552404</v>
      </c>
      <c r="X66" s="25">
        <f t="shared" ref="X66:X129" si="8">(C66-MIN($C$2:$C$211))/((MAX($C$2:$C$211)-MIN($C$2:$C$211)))</f>
        <v>0.23966942148760334</v>
      </c>
      <c r="Y66" s="25">
        <f t="shared" ref="Y66:Y129" si="9">(D66-MIN($D$2:$D$211))/((MAX($D$2:$D$211)-MIN($D$2:$D$211)))</f>
        <v>0.57622504537205099</v>
      </c>
      <c r="Z66" s="25">
        <f t="shared" ref="Z66:Z129" si="10">(E66-MIN($E$2:$E$211))/((MAX($E$2:$E$211)-MIN($E$2:$E$211)))</f>
        <v>0.20439189189189166</v>
      </c>
      <c r="AA66" s="25">
        <f t="shared" ref="AA66:AA129" si="11">(F66-MIN($F$2:$F$211))/((MAX($F$2:$F$211)-MIN($F$2:$F$211)))</f>
        <v>0.28225231646471832</v>
      </c>
      <c r="AB66" s="25">
        <f t="shared" si="5"/>
        <v>5.3426777100209336E-2</v>
      </c>
      <c r="AC66" s="25">
        <f t="shared" si="6"/>
        <v>0.12949286065977347</v>
      </c>
      <c r="AD66" s="24">
        <v>1</v>
      </c>
    </row>
    <row r="67" spans="1:30" x14ac:dyDescent="0.25">
      <c r="A67" s="24">
        <v>66</v>
      </c>
      <c r="B67" s="24">
        <v>12.88</v>
      </c>
      <c r="C67" s="24">
        <v>13.5</v>
      </c>
      <c r="D67" s="24">
        <v>0.88790000000000002</v>
      </c>
      <c r="E67" s="24">
        <v>5.1390000000000002</v>
      </c>
      <c r="F67" s="24">
        <v>3.1190000000000002</v>
      </c>
      <c r="G67" s="24">
        <v>2.3519999999999999</v>
      </c>
      <c r="H67" s="24">
        <v>4.6070000000000002</v>
      </c>
      <c r="I67" s="24">
        <v>1</v>
      </c>
      <c r="V67" s="24">
        <v>66</v>
      </c>
      <c r="W67" s="25">
        <f t="shared" si="7"/>
        <v>0.2162417374881965</v>
      </c>
      <c r="X67" s="25">
        <f t="shared" si="8"/>
        <v>0.22520661157024791</v>
      </c>
      <c r="Y67" s="25">
        <f t="shared" si="9"/>
        <v>0.72413793103448287</v>
      </c>
      <c r="Z67" s="25">
        <f t="shared" si="10"/>
        <v>0.13513513513513528</v>
      </c>
      <c r="AA67" s="25">
        <f t="shared" si="11"/>
        <v>0.34853884533143276</v>
      </c>
      <c r="AB67" s="25">
        <f t="shared" ref="AB67:AB130" si="12">(G67-MIN($G$2:$G$211))/((MAX($G$2:$G$211)-MIN($G$2:$G$211)))</f>
        <v>0.20633475926094477</v>
      </c>
      <c r="AC67" s="25">
        <f t="shared" ref="AC67:AC130" si="13">(H67-MIN($H$2:$H$211))/((MAX($H$2:$H$211)-MIN($H$2:$H$211)))</f>
        <v>4.3328409650418558E-2</v>
      </c>
      <c r="AD67" s="24">
        <v>1</v>
      </c>
    </row>
    <row r="68" spans="1:30" x14ac:dyDescent="0.25">
      <c r="A68" s="24">
        <v>67</v>
      </c>
      <c r="B68" s="24">
        <v>14.34</v>
      </c>
      <c r="C68" s="24">
        <v>14.37</v>
      </c>
      <c r="D68" s="24">
        <v>0.87260000000000004</v>
      </c>
      <c r="E68" s="24">
        <v>5.63</v>
      </c>
      <c r="F68" s="24">
        <v>3.19</v>
      </c>
      <c r="G68" s="24">
        <v>1.3129999999999999</v>
      </c>
      <c r="H68" s="24">
        <v>5.15</v>
      </c>
      <c r="I68" s="24">
        <v>1</v>
      </c>
      <c r="V68" s="24">
        <v>67</v>
      </c>
      <c r="W68" s="25">
        <f t="shared" si="7"/>
        <v>0.35410764872521244</v>
      </c>
      <c r="X68" s="25">
        <f t="shared" si="8"/>
        <v>0.40495867768595023</v>
      </c>
      <c r="Y68" s="25">
        <f t="shared" si="9"/>
        <v>0.58529945553539042</v>
      </c>
      <c r="Z68" s="25">
        <f t="shared" si="10"/>
        <v>0.41159909909909909</v>
      </c>
      <c r="AA68" s="25">
        <f t="shared" si="11"/>
        <v>0.39914468995010682</v>
      </c>
      <c r="AB68" s="25">
        <f t="shared" si="12"/>
        <v>7.1240036926757594E-2</v>
      </c>
      <c r="AC68" s="25">
        <f t="shared" si="13"/>
        <v>0.31068439192516017</v>
      </c>
      <c r="AD68" s="24">
        <v>1</v>
      </c>
    </row>
    <row r="69" spans="1:30" x14ac:dyDescent="0.25">
      <c r="A69" s="24">
        <v>68</v>
      </c>
      <c r="B69" s="24">
        <v>14.01</v>
      </c>
      <c r="C69" s="24">
        <v>14.29</v>
      </c>
      <c r="D69" s="24">
        <v>0.86250000000000004</v>
      </c>
      <c r="E69" s="24">
        <v>5.609</v>
      </c>
      <c r="F69" s="24">
        <v>3.1579999999999999</v>
      </c>
      <c r="G69" s="24">
        <v>2.2170000000000001</v>
      </c>
      <c r="H69" s="24">
        <v>5.1319999999999997</v>
      </c>
      <c r="I69" s="24">
        <v>1</v>
      </c>
      <c r="V69" s="24">
        <v>68</v>
      </c>
      <c r="W69" s="25">
        <f t="shared" si="7"/>
        <v>0.32294617563739375</v>
      </c>
      <c r="X69" s="25">
        <f t="shared" si="8"/>
        <v>0.38842975206611552</v>
      </c>
      <c r="Y69" s="25">
        <f t="shared" si="9"/>
        <v>0.49364791288566262</v>
      </c>
      <c r="Z69" s="25">
        <f t="shared" si="10"/>
        <v>0.3997747747747748</v>
      </c>
      <c r="AA69" s="25">
        <f t="shared" si="11"/>
        <v>0.37633642195295786</v>
      </c>
      <c r="AB69" s="25">
        <f t="shared" si="12"/>
        <v>0.18878154702310526</v>
      </c>
      <c r="AC69" s="25">
        <f t="shared" si="13"/>
        <v>0.30182176267848332</v>
      </c>
      <c r="AD69" s="24">
        <v>1</v>
      </c>
    </row>
    <row r="70" spans="1:30" x14ac:dyDescent="0.25">
      <c r="A70" s="24">
        <v>69</v>
      </c>
      <c r="B70" s="24">
        <v>14.37</v>
      </c>
      <c r="C70" s="24">
        <v>14.39</v>
      </c>
      <c r="D70" s="24">
        <v>0.87260000000000004</v>
      </c>
      <c r="E70" s="24">
        <v>5.569</v>
      </c>
      <c r="F70" s="24">
        <v>3.153</v>
      </c>
      <c r="G70" s="24">
        <v>1.464</v>
      </c>
      <c r="H70" s="24">
        <v>5.3</v>
      </c>
      <c r="I70" s="24">
        <v>1</v>
      </c>
      <c r="V70" s="24">
        <v>69</v>
      </c>
      <c r="W70" s="25">
        <f t="shared" si="7"/>
        <v>0.35694050991501408</v>
      </c>
      <c r="X70" s="25">
        <f t="shared" si="8"/>
        <v>0.40909090909090917</v>
      </c>
      <c r="Y70" s="25">
        <f t="shared" si="9"/>
        <v>0.58529945553539042</v>
      </c>
      <c r="Z70" s="25">
        <f t="shared" si="10"/>
        <v>0.37725225225225223</v>
      </c>
      <c r="AA70" s="25">
        <f t="shared" si="11"/>
        <v>0.37277263007840339</v>
      </c>
      <c r="AB70" s="25">
        <f t="shared" si="12"/>
        <v>9.087362987426699E-2</v>
      </c>
      <c r="AC70" s="25">
        <f t="shared" si="13"/>
        <v>0.38453963564746418</v>
      </c>
      <c r="AD70" s="24">
        <v>1</v>
      </c>
    </row>
    <row r="71" spans="1:30" x14ac:dyDescent="0.25">
      <c r="A71" s="24">
        <v>70</v>
      </c>
      <c r="B71" s="24">
        <v>12.73</v>
      </c>
      <c r="C71" s="24">
        <v>13.75</v>
      </c>
      <c r="D71" s="24">
        <v>0.8458</v>
      </c>
      <c r="E71" s="24">
        <v>5.4119999999999999</v>
      </c>
      <c r="F71" s="24">
        <v>2.8820000000000001</v>
      </c>
      <c r="G71" s="24">
        <v>3.5329999999999999</v>
      </c>
      <c r="H71" s="24">
        <v>5.0670000000000002</v>
      </c>
      <c r="I71" s="24">
        <v>1</v>
      </c>
      <c r="V71" s="24">
        <v>70</v>
      </c>
      <c r="W71" s="25">
        <f t="shared" si="7"/>
        <v>0.20207743153918797</v>
      </c>
      <c r="X71" s="25">
        <f t="shared" si="8"/>
        <v>0.27685950413223137</v>
      </c>
      <c r="Y71" s="25">
        <f t="shared" si="9"/>
        <v>0.34210526315789447</v>
      </c>
      <c r="Z71" s="25">
        <f t="shared" si="10"/>
        <v>0.28885135135135132</v>
      </c>
      <c r="AA71" s="25">
        <f t="shared" si="11"/>
        <v>0.17961511047754822</v>
      </c>
      <c r="AB71" s="25">
        <f t="shared" si="12"/>
        <v>0.35989286039345203</v>
      </c>
      <c r="AC71" s="25">
        <f t="shared" si="13"/>
        <v>0.26981782373215168</v>
      </c>
      <c r="AD71" s="24">
        <v>1</v>
      </c>
    </row>
    <row r="72" spans="1:30" x14ac:dyDescent="0.25">
      <c r="A72" s="24">
        <v>71</v>
      </c>
      <c r="B72" s="24">
        <v>17.63</v>
      </c>
      <c r="C72" s="24">
        <v>15.98</v>
      </c>
      <c r="D72" s="24">
        <v>0.86729999999999996</v>
      </c>
      <c r="E72" s="24">
        <v>6.1909999999999998</v>
      </c>
      <c r="F72" s="24">
        <v>3.5609999999999999</v>
      </c>
      <c r="G72" s="24">
        <v>4.0759999999999996</v>
      </c>
      <c r="H72" s="24">
        <v>6.06</v>
      </c>
      <c r="I72" s="24">
        <v>2</v>
      </c>
      <c r="V72" s="24">
        <v>71</v>
      </c>
      <c r="W72" s="25">
        <f t="shared" si="7"/>
        <v>0.66477809254013209</v>
      </c>
      <c r="X72" s="25">
        <f t="shared" si="8"/>
        <v>0.73760330578512401</v>
      </c>
      <c r="Y72" s="25">
        <f t="shared" si="9"/>
        <v>0.53720508166969094</v>
      </c>
      <c r="Z72" s="25">
        <f t="shared" si="10"/>
        <v>0.72747747747747749</v>
      </c>
      <c r="AA72" s="25">
        <f t="shared" si="11"/>
        <v>0.66357804704205259</v>
      </c>
      <c r="AB72" s="25">
        <f t="shared" si="12"/>
        <v>0.4304957807278732</v>
      </c>
      <c r="AC72" s="25">
        <f t="shared" si="13"/>
        <v>0.75873953717380582</v>
      </c>
      <c r="AD72" s="24">
        <v>2</v>
      </c>
    </row>
    <row r="73" spans="1:30" x14ac:dyDescent="0.25">
      <c r="A73" s="24">
        <v>72</v>
      </c>
      <c r="B73" s="24">
        <v>16.84</v>
      </c>
      <c r="C73" s="24">
        <v>15.67</v>
      </c>
      <c r="D73" s="24">
        <v>0.86229999999999996</v>
      </c>
      <c r="E73" s="24">
        <v>5.9980000000000002</v>
      </c>
      <c r="F73" s="24">
        <v>3.484</v>
      </c>
      <c r="G73" s="24">
        <v>4.6749999999999998</v>
      </c>
      <c r="H73" s="24">
        <v>5.8769999999999998</v>
      </c>
      <c r="I73" s="24">
        <v>2</v>
      </c>
      <c r="V73" s="24">
        <v>72</v>
      </c>
      <c r="W73" s="25">
        <f t="shared" si="7"/>
        <v>0.59017941454202083</v>
      </c>
      <c r="X73" s="25">
        <f t="shared" si="8"/>
        <v>0.67355371900826444</v>
      </c>
      <c r="Y73" s="25">
        <f t="shared" si="9"/>
        <v>0.49183303085299396</v>
      </c>
      <c r="Z73" s="25">
        <f t="shared" si="10"/>
        <v>0.61880630630630651</v>
      </c>
      <c r="AA73" s="25">
        <f t="shared" si="11"/>
        <v>0.60869565217391286</v>
      </c>
      <c r="AB73" s="25">
        <f t="shared" si="12"/>
        <v>0.50838003354613903</v>
      </c>
      <c r="AC73" s="25">
        <f t="shared" si="13"/>
        <v>0.66863613983259473</v>
      </c>
      <c r="AD73" s="24">
        <v>2</v>
      </c>
    </row>
    <row r="74" spans="1:30" x14ac:dyDescent="0.25">
      <c r="A74" s="24">
        <v>73</v>
      </c>
      <c r="B74" s="24">
        <v>17.260000000000002</v>
      </c>
      <c r="C74" s="24">
        <v>15.73</v>
      </c>
      <c r="D74" s="24">
        <v>0.87629999999999997</v>
      </c>
      <c r="E74" s="24">
        <v>5.9779999999999998</v>
      </c>
      <c r="F74" s="24">
        <v>3.5939999999999999</v>
      </c>
      <c r="G74" s="24">
        <v>4.5389999999999997</v>
      </c>
      <c r="H74" s="24">
        <v>5.7910000000000004</v>
      </c>
      <c r="I74" s="24">
        <v>2</v>
      </c>
      <c r="V74" s="24">
        <v>73</v>
      </c>
      <c r="W74" s="25">
        <f t="shared" si="7"/>
        <v>0.62983947119924477</v>
      </c>
      <c r="X74" s="25">
        <f t="shared" si="8"/>
        <v>0.68595041322314054</v>
      </c>
      <c r="Y74" s="25">
        <f t="shared" si="9"/>
        <v>0.61887477313974548</v>
      </c>
      <c r="Z74" s="25">
        <f t="shared" si="10"/>
        <v>0.60754504504504492</v>
      </c>
      <c r="AA74" s="25">
        <f t="shared" si="11"/>
        <v>0.68709907341411236</v>
      </c>
      <c r="AB74" s="25">
        <f t="shared" si="12"/>
        <v>0.49069679751394507</v>
      </c>
      <c r="AC74" s="25">
        <f t="shared" si="13"/>
        <v>0.6262924667651405</v>
      </c>
      <c r="AD74" s="24">
        <v>2</v>
      </c>
    </row>
    <row r="75" spans="1:30" x14ac:dyDescent="0.25">
      <c r="A75" s="24">
        <v>74</v>
      </c>
      <c r="B75" s="24">
        <v>19.11</v>
      </c>
      <c r="C75" s="24">
        <v>16.260000000000002</v>
      </c>
      <c r="D75" s="24">
        <v>0.90810000000000002</v>
      </c>
      <c r="E75" s="24">
        <v>6.1539999999999999</v>
      </c>
      <c r="F75" s="24">
        <v>3.93</v>
      </c>
      <c r="G75" s="24">
        <v>2.9359999999999999</v>
      </c>
      <c r="H75" s="24">
        <v>6.0789999999999997</v>
      </c>
      <c r="I75" s="24">
        <v>2</v>
      </c>
      <c r="V75" s="24">
        <v>74</v>
      </c>
      <c r="W75" s="25">
        <f t="shared" si="7"/>
        <v>0.80453257790368271</v>
      </c>
      <c r="X75" s="25">
        <f t="shared" si="8"/>
        <v>0.79545454545454575</v>
      </c>
      <c r="Y75" s="25">
        <f t="shared" si="9"/>
        <v>0.90744101633393837</v>
      </c>
      <c r="Z75" s="25">
        <f t="shared" si="10"/>
        <v>0.70664414414414412</v>
      </c>
      <c r="AA75" s="25">
        <f t="shared" si="11"/>
        <v>0.92658588738417669</v>
      </c>
      <c r="AB75" s="25">
        <f t="shared" si="12"/>
        <v>0.28226865516389504</v>
      </c>
      <c r="AC75" s="25">
        <f t="shared" si="13"/>
        <v>0.76809453471196443</v>
      </c>
      <c r="AD75" s="24">
        <v>2</v>
      </c>
    </row>
    <row r="76" spans="1:30" x14ac:dyDescent="0.25">
      <c r="A76" s="24">
        <v>75</v>
      </c>
      <c r="B76" s="24">
        <v>16.82</v>
      </c>
      <c r="C76" s="24">
        <v>15.51</v>
      </c>
      <c r="D76" s="24">
        <v>0.87860000000000005</v>
      </c>
      <c r="E76" s="24">
        <v>6.0170000000000003</v>
      </c>
      <c r="F76" s="24">
        <v>3.4860000000000002</v>
      </c>
      <c r="G76" s="24">
        <v>4.0039999999999996</v>
      </c>
      <c r="H76" s="24">
        <v>5.8410000000000002</v>
      </c>
      <c r="I76" s="24">
        <v>2</v>
      </c>
      <c r="V76" s="24">
        <v>75</v>
      </c>
      <c r="W76" s="25">
        <f t="shared" si="7"/>
        <v>0.5882908404154864</v>
      </c>
      <c r="X76" s="25">
        <f t="shared" si="8"/>
        <v>0.64049586776859502</v>
      </c>
      <c r="Y76" s="25">
        <f t="shared" si="9"/>
        <v>0.63974591651542678</v>
      </c>
      <c r="Z76" s="25">
        <f t="shared" si="10"/>
        <v>0.62950450450450479</v>
      </c>
      <c r="AA76" s="25">
        <f t="shared" si="11"/>
        <v>0.61012116892373491</v>
      </c>
      <c r="AB76" s="25">
        <f t="shared" si="12"/>
        <v>0.42113406753435878</v>
      </c>
      <c r="AC76" s="25">
        <f t="shared" si="13"/>
        <v>0.65091088133924191</v>
      </c>
      <c r="AD76" s="24">
        <v>2</v>
      </c>
    </row>
    <row r="77" spans="1:30" x14ac:dyDescent="0.25">
      <c r="A77" s="24">
        <v>76</v>
      </c>
      <c r="B77" s="24">
        <v>16.77</v>
      </c>
      <c r="C77" s="24">
        <v>15.62</v>
      </c>
      <c r="D77" s="24">
        <v>0.86380000000000001</v>
      </c>
      <c r="E77" s="24">
        <v>5.9269999999999996</v>
      </c>
      <c r="F77" s="24">
        <v>3.4380000000000002</v>
      </c>
      <c r="G77" s="24">
        <v>4.92</v>
      </c>
      <c r="H77" s="24">
        <v>5.7949999999999999</v>
      </c>
      <c r="I77" s="24">
        <v>2</v>
      </c>
      <c r="V77" s="24">
        <v>76</v>
      </c>
      <c r="W77" s="25">
        <f t="shared" si="7"/>
        <v>0.58356940509915012</v>
      </c>
      <c r="X77" s="25">
        <f t="shared" si="8"/>
        <v>0.66322314049586761</v>
      </c>
      <c r="Y77" s="25">
        <f t="shared" si="9"/>
        <v>0.50544464609800355</v>
      </c>
      <c r="Z77" s="25">
        <f t="shared" si="10"/>
        <v>0.57882882882882869</v>
      </c>
      <c r="AA77" s="25">
        <f t="shared" si="11"/>
        <v>0.57590876692801141</v>
      </c>
      <c r="AB77" s="25">
        <f t="shared" si="12"/>
        <v>0.5402358631629588</v>
      </c>
      <c r="AC77" s="25">
        <f t="shared" si="13"/>
        <v>0.62826193993106838</v>
      </c>
      <c r="AD77" s="24">
        <v>2</v>
      </c>
    </row>
    <row r="78" spans="1:30" x14ac:dyDescent="0.25">
      <c r="A78" s="24">
        <v>77</v>
      </c>
      <c r="B78" s="24">
        <v>17.32</v>
      </c>
      <c r="C78" s="24">
        <v>15.91</v>
      </c>
      <c r="D78" s="24">
        <v>0.8599</v>
      </c>
      <c r="E78" s="24">
        <v>6.0640000000000001</v>
      </c>
      <c r="F78" s="24">
        <v>3.403</v>
      </c>
      <c r="G78" s="24">
        <v>3.8239999999999998</v>
      </c>
      <c r="H78" s="24">
        <v>5.9219999999999997</v>
      </c>
      <c r="I78" s="24">
        <v>2</v>
      </c>
      <c r="V78" s="24">
        <v>77</v>
      </c>
      <c r="W78" s="25">
        <f t="shared" si="7"/>
        <v>0.63550519357884805</v>
      </c>
      <c r="X78" s="25">
        <f t="shared" si="8"/>
        <v>0.72314049586776863</v>
      </c>
      <c r="Y78" s="25">
        <f t="shared" si="9"/>
        <v>0.47005444646097982</v>
      </c>
      <c r="Z78" s="25">
        <f t="shared" si="10"/>
        <v>0.65596846846846857</v>
      </c>
      <c r="AA78" s="25">
        <f t="shared" si="11"/>
        <v>0.55096222380612958</v>
      </c>
      <c r="AB78" s="25">
        <f t="shared" si="12"/>
        <v>0.39772978455057278</v>
      </c>
      <c r="AC78" s="25">
        <f t="shared" si="13"/>
        <v>0.69079271294928601</v>
      </c>
      <c r="AD78" s="24">
        <v>2</v>
      </c>
    </row>
    <row r="79" spans="1:30" x14ac:dyDescent="0.25">
      <c r="A79" s="24">
        <v>78</v>
      </c>
      <c r="B79" s="24">
        <v>20.71</v>
      </c>
      <c r="C79" s="24">
        <v>17.23</v>
      </c>
      <c r="D79" s="24">
        <v>0.87629999999999997</v>
      </c>
      <c r="E79" s="24">
        <v>6.5789999999999997</v>
      </c>
      <c r="F79" s="24">
        <v>3.8140000000000001</v>
      </c>
      <c r="G79" s="24">
        <v>4.4509999999999996</v>
      </c>
      <c r="H79" s="24">
        <v>6.4509999999999996</v>
      </c>
      <c r="I79" s="24">
        <v>2</v>
      </c>
      <c r="V79" s="24">
        <v>78</v>
      </c>
      <c r="W79" s="25">
        <f t="shared" si="7"/>
        <v>0.95561850802644011</v>
      </c>
      <c r="X79" s="25">
        <f t="shared" si="8"/>
        <v>0.99586776859504145</v>
      </c>
      <c r="Y79" s="25">
        <f t="shared" si="9"/>
        <v>0.61887477313974548</v>
      </c>
      <c r="Z79" s="25">
        <f t="shared" si="10"/>
        <v>0.94594594594594594</v>
      </c>
      <c r="AA79" s="25">
        <f t="shared" si="11"/>
        <v>0.84390591589451158</v>
      </c>
      <c r="AB79" s="25">
        <f t="shared" si="12"/>
        <v>0.47925470361076078</v>
      </c>
      <c r="AC79" s="25">
        <f t="shared" si="13"/>
        <v>0.95125553914327909</v>
      </c>
      <c r="AD79" s="24">
        <v>2</v>
      </c>
    </row>
    <row r="80" spans="1:30" x14ac:dyDescent="0.25">
      <c r="A80" s="24">
        <v>79</v>
      </c>
      <c r="B80" s="24">
        <v>18.940000000000001</v>
      </c>
      <c r="C80" s="24">
        <v>16.489999999999998</v>
      </c>
      <c r="D80" s="24">
        <v>0.875</v>
      </c>
      <c r="E80" s="24">
        <v>6.4450000000000003</v>
      </c>
      <c r="F80" s="24">
        <v>3.6389999999999998</v>
      </c>
      <c r="G80" s="24">
        <v>5.0640000000000001</v>
      </c>
      <c r="H80" s="24">
        <v>6.3620000000000001</v>
      </c>
      <c r="I80" s="24">
        <v>2</v>
      </c>
      <c r="V80" s="24">
        <v>79</v>
      </c>
      <c r="W80" s="25">
        <f t="shared" si="7"/>
        <v>0.78847969782813987</v>
      </c>
      <c r="X80" s="25">
        <f t="shared" si="8"/>
        <v>0.84297520661156988</v>
      </c>
      <c r="Y80" s="25">
        <f t="shared" si="9"/>
        <v>0.6070780399274045</v>
      </c>
      <c r="Z80" s="25">
        <f t="shared" si="10"/>
        <v>0.87049549549549576</v>
      </c>
      <c r="AA80" s="25">
        <f t="shared" si="11"/>
        <v>0.71917320028510301</v>
      </c>
      <c r="AB80" s="25">
        <f t="shared" si="12"/>
        <v>0.55895928954998764</v>
      </c>
      <c r="AC80" s="25">
        <f t="shared" si="13"/>
        <v>0.90743476120137878</v>
      </c>
      <c r="AD80" s="24">
        <v>2</v>
      </c>
    </row>
    <row r="81" spans="1:30" x14ac:dyDescent="0.25">
      <c r="A81" s="24">
        <v>80</v>
      </c>
      <c r="B81" s="24">
        <v>17.12</v>
      </c>
      <c r="C81" s="24">
        <v>15.55</v>
      </c>
      <c r="D81" s="24">
        <v>0.88919999999999999</v>
      </c>
      <c r="E81" s="24">
        <v>5.85</v>
      </c>
      <c r="F81" s="24">
        <v>3.5659999999999998</v>
      </c>
      <c r="G81" s="24">
        <v>2.8580000000000001</v>
      </c>
      <c r="H81" s="24">
        <v>5.7460000000000004</v>
      </c>
      <c r="I81" s="24">
        <v>2</v>
      </c>
      <c r="V81" s="24">
        <v>80</v>
      </c>
      <c r="W81" s="25">
        <f t="shared" si="7"/>
        <v>0.61661945231350346</v>
      </c>
      <c r="X81" s="25">
        <f t="shared" si="8"/>
        <v>0.64876033057851257</v>
      </c>
      <c r="Y81" s="25">
        <f t="shared" si="9"/>
        <v>0.73593466424682374</v>
      </c>
      <c r="Z81" s="25">
        <f t="shared" si="10"/>
        <v>0.5354729729729728</v>
      </c>
      <c r="AA81" s="25">
        <f t="shared" si="11"/>
        <v>0.66714183891660706</v>
      </c>
      <c r="AB81" s="25">
        <f t="shared" si="12"/>
        <v>0.27212679920425442</v>
      </c>
      <c r="AC81" s="25">
        <f t="shared" si="13"/>
        <v>0.60413589364844933</v>
      </c>
      <c r="AD81" s="24">
        <v>2</v>
      </c>
    </row>
    <row r="82" spans="1:30" x14ac:dyDescent="0.25">
      <c r="A82" s="24">
        <v>81</v>
      </c>
      <c r="B82" s="24">
        <v>16.53</v>
      </c>
      <c r="C82" s="24">
        <v>15.34</v>
      </c>
      <c r="D82" s="24">
        <v>0.88229999999999997</v>
      </c>
      <c r="E82" s="24">
        <v>5.875</v>
      </c>
      <c r="F82" s="24">
        <v>3.4670000000000001</v>
      </c>
      <c r="G82" s="24">
        <v>5.532</v>
      </c>
      <c r="H82" s="24">
        <v>5.88</v>
      </c>
      <c r="I82" s="24">
        <v>2</v>
      </c>
      <c r="V82" s="24">
        <v>81</v>
      </c>
      <c r="W82" s="25">
        <f t="shared" si="7"/>
        <v>0.56090651558073668</v>
      </c>
      <c r="X82" s="25">
        <f t="shared" si="8"/>
        <v>0.60537190082644621</v>
      </c>
      <c r="Y82" s="25">
        <f t="shared" si="9"/>
        <v>0.67332123411978184</v>
      </c>
      <c r="Z82" s="25">
        <f t="shared" si="10"/>
        <v>0.5495495495495496</v>
      </c>
      <c r="AA82" s="25">
        <f t="shared" si="11"/>
        <v>0.59657875980042763</v>
      </c>
      <c r="AB82" s="25">
        <f t="shared" si="12"/>
        <v>0.61981042530783137</v>
      </c>
      <c r="AC82" s="25">
        <f t="shared" si="13"/>
        <v>0.67011324470704081</v>
      </c>
      <c r="AD82" s="24">
        <v>2</v>
      </c>
    </row>
    <row r="83" spans="1:30" x14ac:dyDescent="0.25">
      <c r="A83" s="24">
        <v>82</v>
      </c>
      <c r="B83" s="24">
        <v>18.72</v>
      </c>
      <c r="C83" s="24">
        <v>16.190000000000001</v>
      </c>
      <c r="D83" s="24">
        <v>0.89770000000000005</v>
      </c>
      <c r="E83" s="24">
        <v>6.0060000000000002</v>
      </c>
      <c r="F83" s="24">
        <v>3.8570000000000002</v>
      </c>
      <c r="G83" s="24">
        <v>5.3239999999999998</v>
      </c>
      <c r="H83" s="24">
        <v>5.8789999999999996</v>
      </c>
      <c r="I83" s="24">
        <v>2</v>
      </c>
      <c r="V83" s="24">
        <v>82</v>
      </c>
      <c r="W83" s="25">
        <f t="shared" si="7"/>
        <v>0.76770538243626052</v>
      </c>
      <c r="X83" s="25">
        <f t="shared" si="8"/>
        <v>0.78099173553719037</v>
      </c>
      <c r="Y83" s="25">
        <f t="shared" si="9"/>
        <v>0.81306715063520907</v>
      </c>
      <c r="Z83" s="25">
        <f t="shared" si="10"/>
        <v>0.62331081081081097</v>
      </c>
      <c r="AA83" s="25">
        <f t="shared" si="11"/>
        <v>0.87455452601568062</v>
      </c>
      <c r="AB83" s="25">
        <f t="shared" si="12"/>
        <v>0.59276547608212304</v>
      </c>
      <c r="AC83" s="25">
        <f t="shared" si="13"/>
        <v>0.66962087641555867</v>
      </c>
      <c r="AD83" s="24">
        <v>2</v>
      </c>
    </row>
    <row r="84" spans="1:30" x14ac:dyDescent="0.25">
      <c r="A84" s="24">
        <v>83</v>
      </c>
      <c r="B84" s="24">
        <v>20.2</v>
      </c>
      <c r="C84" s="24">
        <v>16.89</v>
      </c>
      <c r="D84" s="24">
        <v>0.88939999999999997</v>
      </c>
      <c r="E84" s="24">
        <v>6.2850000000000001</v>
      </c>
      <c r="F84" s="24">
        <v>3.8639999999999999</v>
      </c>
      <c r="G84" s="24">
        <v>5.173</v>
      </c>
      <c r="H84" s="24">
        <v>6.1870000000000003</v>
      </c>
      <c r="I84" s="24">
        <v>2</v>
      </c>
      <c r="V84" s="24">
        <v>83</v>
      </c>
      <c r="W84" s="25">
        <f t="shared" si="7"/>
        <v>0.90745986779981114</v>
      </c>
      <c r="X84" s="25">
        <f t="shared" si="8"/>
        <v>0.92561983471074394</v>
      </c>
      <c r="Y84" s="25">
        <f t="shared" si="9"/>
        <v>0.73774954627949141</v>
      </c>
      <c r="Z84" s="25">
        <f t="shared" si="10"/>
        <v>0.78040540540540559</v>
      </c>
      <c r="AA84" s="25">
        <f t="shared" si="11"/>
        <v>0.8795438346400567</v>
      </c>
      <c r="AB84" s="25">
        <f t="shared" si="12"/>
        <v>0.57313188313461361</v>
      </c>
      <c r="AC84" s="25">
        <f t="shared" si="13"/>
        <v>0.82127031019202379</v>
      </c>
      <c r="AD84" s="24">
        <v>2</v>
      </c>
    </row>
    <row r="85" spans="1:30" x14ac:dyDescent="0.25">
      <c r="A85" s="24">
        <v>84</v>
      </c>
      <c r="B85" s="24">
        <v>19.57</v>
      </c>
      <c r="C85" s="24">
        <v>16.739999999999998</v>
      </c>
      <c r="D85" s="24">
        <v>0.87790000000000001</v>
      </c>
      <c r="E85" s="24">
        <v>6.3840000000000003</v>
      </c>
      <c r="F85" s="24">
        <v>3.7719999999999998</v>
      </c>
      <c r="G85" s="24">
        <v>1.472</v>
      </c>
      <c r="H85" s="24">
        <v>6.2729999999999997</v>
      </c>
      <c r="I85" s="24">
        <v>2</v>
      </c>
      <c r="V85" s="24">
        <v>84</v>
      </c>
      <c r="W85" s="25">
        <f t="shared" si="7"/>
        <v>0.8479697828139755</v>
      </c>
      <c r="X85" s="25">
        <f t="shared" si="8"/>
        <v>0.89462809917355335</v>
      </c>
      <c r="Y85" s="25">
        <f t="shared" si="9"/>
        <v>0.6333938294010889</v>
      </c>
      <c r="Z85" s="25">
        <f t="shared" si="10"/>
        <v>0.83614864864864891</v>
      </c>
      <c r="AA85" s="25">
        <f t="shared" si="11"/>
        <v>0.81397006414825335</v>
      </c>
      <c r="AB85" s="25">
        <f t="shared" si="12"/>
        <v>9.1913820229101925E-2</v>
      </c>
      <c r="AC85" s="25">
        <f t="shared" si="13"/>
        <v>0.86361398325947802</v>
      </c>
      <c r="AD85" s="24">
        <v>2</v>
      </c>
    </row>
    <row r="86" spans="1:30" x14ac:dyDescent="0.25">
      <c r="A86" s="24">
        <v>85</v>
      </c>
      <c r="B86" s="24">
        <v>19.510000000000002</v>
      </c>
      <c r="C86" s="24">
        <v>16.71</v>
      </c>
      <c r="D86" s="24">
        <v>0.878</v>
      </c>
      <c r="E86" s="24">
        <v>6.3659999999999997</v>
      </c>
      <c r="F86" s="24">
        <v>3.8010000000000002</v>
      </c>
      <c r="G86" s="24">
        <v>2.9620000000000002</v>
      </c>
      <c r="H86" s="24">
        <v>6.1849999999999996</v>
      </c>
      <c r="I86" s="24">
        <v>2</v>
      </c>
      <c r="V86" s="24">
        <v>85</v>
      </c>
      <c r="W86" s="25">
        <f t="shared" si="7"/>
        <v>0.84230406043437223</v>
      </c>
      <c r="X86" s="25">
        <f t="shared" si="8"/>
        <v>0.88842975206611585</v>
      </c>
      <c r="Y86" s="25">
        <f t="shared" si="9"/>
        <v>0.63430127041742268</v>
      </c>
      <c r="Z86" s="25">
        <f t="shared" si="10"/>
        <v>0.82601351351351338</v>
      </c>
      <c r="AA86" s="25">
        <f t="shared" si="11"/>
        <v>0.8346400570206699</v>
      </c>
      <c r="AB86" s="25">
        <f t="shared" si="12"/>
        <v>0.28564927381710858</v>
      </c>
      <c r="AC86" s="25">
        <f t="shared" si="13"/>
        <v>0.8202855736090594</v>
      </c>
      <c r="AD86" s="24">
        <v>2</v>
      </c>
    </row>
    <row r="87" spans="1:30" x14ac:dyDescent="0.25">
      <c r="A87" s="24">
        <v>86</v>
      </c>
      <c r="B87" s="24">
        <v>18.27</v>
      </c>
      <c r="C87" s="24">
        <v>16.09</v>
      </c>
      <c r="D87" s="24">
        <v>0.88700000000000001</v>
      </c>
      <c r="E87" s="24">
        <v>6.173</v>
      </c>
      <c r="F87" s="24">
        <v>3.6509999999999998</v>
      </c>
      <c r="G87" s="24">
        <v>2.4430000000000001</v>
      </c>
      <c r="H87" s="24">
        <v>6.1970000000000001</v>
      </c>
      <c r="I87" s="24">
        <v>2</v>
      </c>
      <c r="V87" s="24">
        <v>86</v>
      </c>
      <c r="W87" s="25">
        <f t="shared" si="7"/>
        <v>0.72521246458923516</v>
      </c>
      <c r="X87" s="25">
        <f t="shared" si="8"/>
        <v>0.7603305785123966</v>
      </c>
      <c r="Y87" s="25">
        <f t="shared" si="9"/>
        <v>0.71597096188747722</v>
      </c>
      <c r="Z87" s="25">
        <f t="shared" si="10"/>
        <v>0.7173423423423424</v>
      </c>
      <c r="AA87" s="25">
        <f t="shared" si="11"/>
        <v>0.72772630078403389</v>
      </c>
      <c r="AB87" s="25">
        <f t="shared" si="12"/>
        <v>0.21816692454719219</v>
      </c>
      <c r="AC87" s="25">
        <f t="shared" si="13"/>
        <v>0.82619399310684405</v>
      </c>
      <c r="AD87" s="24">
        <v>2</v>
      </c>
    </row>
    <row r="88" spans="1:30" x14ac:dyDescent="0.25">
      <c r="A88" s="24">
        <v>87</v>
      </c>
      <c r="B88" s="24">
        <v>18.88</v>
      </c>
      <c r="C88" s="24">
        <v>16.260000000000002</v>
      </c>
      <c r="D88" s="24">
        <v>0.89690000000000003</v>
      </c>
      <c r="E88" s="24">
        <v>6.0839999999999996</v>
      </c>
      <c r="F88" s="24">
        <v>3.7639999999999998</v>
      </c>
      <c r="G88" s="24">
        <v>1.649</v>
      </c>
      <c r="H88" s="24">
        <v>6.109</v>
      </c>
      <c r="I88" s="24">
        <v>2</v>
      </c>
      <c r="V88" s="24">
        <v>87</v>
      </c>
      <c r="W88" s="25">
        <f t="shared" si="7"/>
        <v>0.78281397544853626</v>
      </c>
      <c r="X88" s="25">
        <f t="shared" si="8"/>
        <v>0.79545454545454575</v>
      </c>
      <c r="Y88" s="25">
        <f t="shared" si="9"/>
        <v>0.80580762250453741</v>
      </c>
      <c r="Z88" s="25">
        <f t="shared" si="10"/>
        <v>0.6672297297297296</v>
      </c>
      <c r="AA88" s="25">
        <f t="shared" si="11"/>
        <v>0.80826799714896613</v>
      </c>
      <c r="AB88" s="25">
        <f t="shared" si="12"/>
        <v>0.11492803182982488</v>
      </c>
      <c r="AC88" s="25">
        <f t="shared" si="13"/>
        <v>0.78286558345642543</v>
      </c>
      <c r="AD88" s="24">
        <v>2</v>
      </c>
    </row>
    <row r="89" spans="1:30" x14ac:dyDescent="0.25">
      <c r="A89" s="24">
        <v>88</v>
      </c>
      <c r="B89" s="24">
        <v>18.98</v>
      </c>
      <c r="C89" s="24">
        <v>16.66</v>
      </c>
      <c r="D89" s="24">
        <v>0.85899999999999999</v>
      </c>
      <c r="E89" s="24">
        <v>6.5490000000000004</v>
      </c>
      <c r="F89" s="24">
        <v>3.67</v>
      </c>
      <c r="G89" s="24">
        <v>3.6909999999999998</v>
      </c>
      <c r="H89" s="24">
        <v>6.4980000000000002</v>
      </c>
      <c r="I89" s="24">
        <v>2</v>
      </c>
      <c r="V89" s="24">
        <v>88</v>
      </c>
      <c r="W89" s="25">
        <f t="shared" si="7"/>
        <v>0.79225684608120872</v>
      </c>
      <c r="X89" s="25">
        <f t="shared" si="8"/>
        <v>0.87809917355371903</v>
      </c>
      <c r="Y89" s="25">
        <f t="shared" si="9"/>
        <v>0.46188747731397423</v>
      </c>
      <c r="Z89" s="25">
        <f t="shared" si="10"/>
        <v>0.92905405405405439</v>
      </c>
      <c r="AA89" s="25">
        <f t="shared" si="11"/>
        <v>0.74126870990734117</v>
      </c>
      <c r="AB89" s="25">
        <f t="shared" si="12"/>
        <v>0.38043661990144201</v>
      </c>
      <c r="AC89" s="25">
        <f t="shared" si="13"/>
        <v>0.97439684884293476</v>
      </c>
      <c r="AD89" s="24">
        <v>2</v>
      </c>
    </row>
    <row r="90" spans="1:30" x14ac:dyDescent="0.25">
      <c r="A90" s="24">
        <v>89</v>
      </c>
      <c r="B90" s="24">
        <v>21.18</v>
      </c>
      <c r="C90" s="24">
        <v>17.21</v>
      </c>
      <c r="D90" s="24">
        <v>0.89890000000000003</v>
      </c>
      <c r="E90" s="24">
        <v>6.5730000000000004</v>
      </c>
      <c r="F90" s="24">
        <v>4.0330000000000004</v>
      </c>
      <c r="G90" s="24">
        <v>5.78</v>
      </c>
      <c r="H90" s="24">
        <v>6.2309999999999999</v>
      </c>
      <c r="I90" s="24">
        <v>2</v>
      </c>
      <c r="V90" s="24">
        <v>89</v>
      </c>
      <c r="W90" s="25">
        <f t="shared" si="7"/>
        <v>1</v>
      </c>
      <c r="X90" s="25">
        <f t="shared" si="8"/>
        <v>0.99173553719008278</v>
      </c>
      <c r="Y90" s="25">
        <f t="shared" si="9"/>
        <v>0.82395644283121616</v>
      </c>
      <c r="Z90" s="25">
        <f t="shared" si="10"/>
        <v>0.94256756756756788</v>
      </c>
      <c r="AA90" s="25">
        <f t="shared" si="11"/>
        <v>1</v>
      </c>
      <c r="AB90" s="25">
        <f t="shared" si="12"/>
        <v>0.65205632630771437</v>
      </c>
      <c r="AC90" s="25">
        <f t="shared" si="13"/>
        <v>0.84293451501723293</v>
      </c>
      <c r="AD90" s="24">
        <v>2</v>
      </c>
    </row>
    <row r="91" spans="1:30" x14ac:dyDescent="0.25">
      <c r="A91" s="24">
        <v>90</v>
      </c>
      <c r="B91" s="24">
        <v>20.88</v>
      </c>
      <c r="C91" s="24">
        <v>17.05</v>
      </c>
      <c r="D91" s="24">
        <v>0.90310000000000001</v>
      </c>
      <c r="E91" s="24">
        <v>6.45</v>
      </c>
      <c r="F91" s="24">
        <v>4.032</v>
      </c>
      <c r="G91" s="24">
        <v>5.016</v>
      </c>
      <c r="H91" s="24">
        <v>6.3209999999999997</v>
      </c>
      <c r="I91" s="24">
        <v>2</v>
      </c>
      <c r="V91" s="24">
        <v>90</v>
      </c>
      <c r="W91" s="25">
        <f t="shared" si="7"/>
        <v>0.97167138810198295</v>
      </c>
      <c r="X91" s="25">
        <f t="shared" si="8"/>
        <v>0.95867768595041336</v>
      </c>
      <c r="Y91" s="25">
        <f t="shared" si="9"/>
        <v>0.86206896551724144</v>
      </c>
      <c r="Z91" s="25">
        <f t="shared" si="10"/>
        <v>0.87331081081081097</v>
      </c>
      <c r="AA91" s="25">
        <f t="shared" si="11"/>
        <v>0.99928724162508886</v>
      </c>
      <c r="AB91" s="25">
        <f t="shared" si="12"/>
        <v>0.55271814742097802</v>
      </c>
      <c r="AC91" s="25">
        <f t="shared" si="13"/>
        <v>0.88724766125061538</v>
      </c>
      <c r="AD91" s="24">
        <v>2</v>
      </c>
    </row>
    <row r="92" spans="1:30" x14ac:dyDescent="0.25">
      <c r="A92" s="24">
        <v>91</v>
      </c>
      <c r="B92" s="24">
        <v>20.100000000000001</v>
      </c>
      <c r="C92" s="24">
        <v>16.989999999999998</v>
      </c>
      <c r="D92" s="24">
        <v>0.87460000000000004</v>
      </c>
      <c r="E92" s="24">
        <v>6.5810000000000004</v>
      </c>
      <c r="F92" s="24">
        <v>3.7850000000000001</v>
      </c>
      <c r="G92" s="24">
        <v>1.9550000000000001</v>
      </c>
      <c r="H92" s="24">
        <v>6.4489999999999998</v>
      </c>
      <c r="I92" s="24">
        <v>2</v>
      </c>
      <c r="V92" s="24">
        <v>91</v>
      </c>
      <c r="W92" s="25">
        <f t="shared" si="7"/>
        <v>0.89801699716713901</v>
      </c>
      <c r="X92" s="25">
        <f t="shared" si="8"/>
        <v>0.94628099173553681</v>
      </c>
      <c r="Y92" s="25">
        <f t="shared" si="9"/>
        <v>0.60344827586206917</v>
      </c>
      <c r="Z92" s="25">
        <f t="shared" si="10"/>
        <v>0.94707207207207245</v>
      </c>
      <c r="AA92" s="25">
        <f t="shared" si="11"/>
        <v>0.82323592302209536</v>
      </c>
      <c r="AB92" s="25">
        <f t="shared" si="12"/>
        <v>0.15471531290226115</v>
      </c>
      <c r="AC92" s="25">
        <f t="shared" si="13"/>
        <v>0.95027080256031515</v>
      </c>
      <c r="AD92" s="24">
        <v>2</v>
      </c>
    </row>
    <row r="93" spans="1:30" x14ac:dyDescent="0.25">
      <c r="A93" s="24">
        <v>92</v>
      </c>
      <c r="B93" s="24">
        <v>18.760000000000002</v>
      </c>
      <c r="C93" s="24">
        <v>16.2</v>
      </c>
      <c r="D93" s="24">
        <v>0.89839999999999998</v>
      </c>
      <c r="E93" s="24">
        <v>6.1719999999999997</v>
      </c>
      <c r="F93" s="24">
        <v>3.7959999999999998</v>
      </c>
      <c r="G93" s="24">
        <v>3.12</v>
      </c>
      <c r="H93" s="24">
        <v>6.0529999999999999</v>
      </c>
      <c r="I93" s="24">
        <v>2</v>
      </c>
      <c r="V93" s="24">
        <v>92</v>
      </c>
      <c r="W93" s="25">
        <f t="shared" si="7"/>
        <v>0.7714825306893297</v>
      </c>
      <c r="X93" s="25">
        <f t="shared" si="8"/>
        <v>0.78305785123966931</v>
      </c>
      <c r="Y93" s="25">
        <f t="shared" si="9"/>
        <v>0.81941923774954595</v>
      </c>
      <c r="Z93" s="25">
        <f t="shared" si="10"/>
        <v>0.7167792792792792</v>
      </c>
      <c r="AA93" s="25">
        <f t="shared" si="11"/>
        <v>0.8310762651461151</v>
      </c>
      <c r="AB93" s="25">
        <f t="shared" si="12"/>
        <v>0.30619303332509856</v>
      </c>
      <c r="AC93" s="25">
        <f t="shared" si="13"/>
        <v>0.75529295913343186</v>
      </c>
      <c r="AD93" s="24">
        <v>2</v>
      </c>
    </row>
    <row r="94" spans="1:30" x14ac:dyDescent="0.25">
      <c r="A94" s="24">
        <v>93</v>
      </c>
      <c r="B94" s="24">
        <v>18.809999999999999</v>
      </c>
      <c r="C94" s="24">
        <v>16.29</v>
      </c>
      <c r="D94" s="24">
        <v>0.89059999999999995</v>
      </c>
      <c r="E94" s="24">
        <v>6.2720000000000002</v>
      </c>
      <c r="F94" s="24">
        <v>3.6930000000000001</v>
      </c>
      <c r="G94" s="24">
        <v>3.2370000000000001</v>
      </c>
      <c r="H94" s="24">
        <v>6.0529999999999999</v>
      </c>
      <c r="I94" s="24">
        <v>2</v>
      </c>
      <c r="V94" s="24">
        <v>93</v>
      </c>
      <c r="W94" s="25">
        <f t="shared" si="7"/>
        <v>0.77620396600566566</v>
      </c>
      <c r="X94" s="25">
        <f t="shared" si="8"/>
        <v>0.80165289256198324</v>
      </c>
      <c r="Y94" s="25">
        <f t="shared" si="9"/>
        <v>0.7486388384754985</v>
      </c>
      <c r="Z94" s="25">
        <f t="shared" si="10"/>
        <v>0.77308558558558582</v>
      </c>
      <c r="AA94" s="25">
        <f t="shared" si="11"/>
        <v>0.75766215253029212</v>
      </c>
      <c r="AB94" s="25">
        <f t="shared" si="12"/>
        <v>0.32140581726455947</v>
      </c>
      <c r="AC94" s="25">
        <f t="shared" si="13"/>
        <v>0.75529295913343186</v>
      </c>
      <c r="AD94" s="24">
        <v>2</v>
      </c>
    </row>
    <row r="95" spans="1:30" x14ac:dyDescent="0.25">
      <c r="A95" s="24">
        <v>94</v>
      </c>
      <c r="B95" s="24">
        <v>18.59</v>
      </c>
      <c r="C95" s="24">
        <v>16.05</v>
      </c>
      <c r="D95" s="24">
        <v>0.90659999999999996</v>
      </c>
      <c r="E95" s="24">
        <v>6.0369999999999999</v>
      </c>
      <c r="F95" s="24">
        <v>3.86</v>
      </c>
      <c r="G95" s="24">
        <v>6.0010000000000003</v>
      </c>
      <c r="H95" s="24">
        <v>5.8769999999999998</v>
      </c>
      <c r="I95" s="24">
        <v>2</v>
      </c>
      <c r="V95" s="24">
        <v>94</v>
      </c>
      <c r="W95" s="25">
        <f t="shared" si="7"/>
        <v>0.75542965061378664</v>
      </c>
      <c r="X95" s="25">
        <f t="shared" si="8"/>
        <v>0.7520661157024795</v>
      </c>
      <c r="Y95" s="25">
        <f t="shared" si="9"/>
        <v>0.89382940108892883</v>
      </c>
      <c r="Z95" s="25">
        <f t="shared" si="10"/>
        <v>0.64076576576576583</v>
      </c>
      <c r="AA95" s="25">
        <f t="shared" si="11"/>
        <v>0.87669280114041315</v>
      </c>
      <c r="AB95" s="25">
        <f t="shared" si="12"/>
        <v>0.68079158486002944</v>
      </c>
      <c r="AC95" s="25">
        <f t="shared" si="13"/>
        <v>0.66863613983259473</v>
      </c>
      <c r="AD95" s="24">
        <v>2</v>
      </c>
    </row>
    <row r="96" spans="1:30" x14ac:dyDescent="0.25">
      <c r="A96" s="24">
        <v>95</v>
      </c>
      <c r="B96" s="24">
        <v>18.36</v>
      </c>
      <c r="C96" s="24">
        <v>16.52</v>
      </c>
      <c r="D96" s="24">
        <v>0.84519999999999995</v>
      </c>
      <c r="E96" s="24">
        <v>6.6660000000000004</v>
      </c>
      <c r="F96" s="24">
        <v>3.4849999999999999</v>
      </c>
      <c r="G96" s="24">
        <v>4.9329999999999998</v>
      </c>
      <c r="H96" s="24">
        <v>6.4480000000000004</v>
      </c>
      <c r="I96" s="24">
        <v>2</v>
      </c>
      <c r="V96" s="24">
        <v>95</v>
      </c>
      <c r="W96" s="25">
        <f t="shared" si="7"/>
        <v>0.73371104815864019</v>
      </c>
      <c r="X96" s="25">
        <f t="shared" si="8"/>
        <v>0.84917355371900816</v>
      </c>
      <c r="Y96" s="25">
        <f t="shared" si="9"/>
        <v>0.33666061705989042</v>
      </c>
      <c r="Z96" s="25">
        <f t="shared" si="10"/>
        <v>0.99493243243243279</v>
      </c>
      <c r="AA96" s="25">
        <f t="shared" si="11"/>
        <v>0.60940841054882378</v>
      </c>
      <c r="AB96" s="25">
        <f t="shared" si="12"/>
        <v>0.54192617248956554</v>
      </c>
      <c r="AC96" s="25">
        <f t="shared" si="13"/>
        <v>0.94977843426883335</v>
      </c>
      <c r="AD96" s="24">
        <v>2</v>
      </c>
    </row>
    <row r="97" spans="1:30" x14ac:dyDescent="0.25">
      <c r="A97" s="24">
        <v>96</v>
      </c>
      <c r="B97" s="24">
        <v>16.87</v>
      </c>
      <c r="C97" s="24">
        <v>15.65</v>
      </c>
      <c r="D97" s="24">
        <v>0.86480000000000001</v>
      </c>
      <c r="E97" s="24">
        <v>6.1390000000000002</v>
      </c>
      <c r="F97" s="24">
        <v>3.4630000000000001</v>
      </c>
      <c r="G97" s="24">
        <v>3.6960000000000002</v>
      </c>
      <c r="H97" s="24">
        <v>5.9669999999999996</v>
      </c>
      <c r="I97" s="24">
        <v>2</v>
      </c>
      <c r="V97" s="24">
        <v>96</v>
      </c>
      <c r="W97" s="25">
        <f t="shared" si="7"/>
        <v>0.59301227573182258</v>
      </c>
      <c r="X97" s="25">
        <f t="shared" si="8"/>
        <v>0.66942148760330589</v>
      </c>
      <c r="Y97" s="25">
        <f t="shared" si="9"/>
        <v>0.51451905626134298</v>
      </c>
      <c r="Z97" s="25">
        <f t="shared" si="10"/>
        <v>0.69819819819819839</v>
      </c>
      <c r="AA97" s="25">
        <f t="shared" si="11"/>
        <v>0.59372772630078396</v>
      </c>
      <c r="AB97" s="25">
        <f t="shared" si="12"/>
        <v>0.38108673887321387</v>
      </c>
      <c r="AC97" s="25">
        <f t="shared" si="13"/>
        <v>0.71294928606597718</v>
      </c>
      <c r="AD97" s="24">
        <v>2</v>
      </c>
    </row>
    <row r="98" spans="1:30" x14ac:dyDescent="0.25">
      <c r="A98" s="24">
        <v>97</v>
      </c>
      <c r="B98" s="24">
        <v>19.309999999999999</v>
      </c>
      <c r="C98" s="24">
        <v>16.59</v>
      </c>
      <c r="D98" s="24">
        <v>0.88149999999999995</v>
      </c>
      <c r="E98" s="24">
        <v>6.3410000000000002</v>
      </c>
      <c r="F98" s="24">
        <v>3.81</v>
      </c>
      <c r="G98" s="24">
        <v>3.4769999999999999</v>
      </c>
      <c r="H98" s="24">
        <v>6.2380000000000004</v>
      </c>
      <c r="I98" s="24">
        <v>2</v>
      </c>
      <c r="V98" s="24">
        <v>97</v>
      </c>
      <c r="W98" s="25">
        <f t="shared" si="7"/>
        <v>0.8234183191690273</v>
      </c>
      <c r="X98" s="25">
        <f t="shared" si="8"/>
        <v>0.86363636363636365</v>
      </c>
      <c r="Y98" s="25">
        <f t="shared" si="9"/>
        <v>0.66606170598911008</v>
      </c>
      <c r="Z98" s="25">
        <f t="shared" si="10"/>
        <v>0.81193693693693714</v>
      </c>
      <c r="AA98" s="25">
        <f t="shared" si="11"/>
        <v>0.84105488239486792</v>
      </c>
      <c r="AB98" s="25">
        <f t="shared" si="12"/>
        <v>0.35261152790960748</v>
      </c>
      <c r="AC98" s="25">
        <f t="shared" si="13"/>
        <v>0.84638109305760734</v>
      </c>
      <c r="AD98" s="24">
        <v>2</v>
      </c>
    </row>
    <row r="99" spans="1:30" x14ac:dyDescent="0.25">
      <c r="A99" s="24">
        <v>98</v>
      </c>
      <c r="B99" s="24">
        <v>18.98</v>
      </c>
      <c r="C99" s="24">
        <v>16.57</v>
      </c>
      <c r="D99" s="24">
        <v>0.86870000000000003</v>
      </c>
      <c r="E99" s="24">
        <v>6.4489999999999998</v>
      </c>
      <c r="F99" s="24">
        <v>3.552</v>
      </c>
      <c r="G99" s="24">
        <v>2.1440000000000001</v>
      </c>
      <c r="H99" s="24">
        <v>6.4530000000000003</v>
      </c>
      <c r="I99" s="24">
        <v>2</v>
      </c>
      <c r="V99" s="24">
        <v>98</v>
      </c>
      <c r="W99" s="25">
        <f t="shared" si="7"/>
        <v>0.79225684608120872</v>
      </c>
      <c r="X99" s="25">
        <f t="shared" si="8"/>
        <v>0.85950413223140498</v>
      </c>
      <c r="Y99" s="25">
        <f t="shared" si="9"/>
        <v>0.5499092558983667</v>
      </c>
      <c r="Z99" s="25">
        <f t="shared" si="10"/>
        <v>0.87274774774774777</v>
      </c>
      <c r="AA99" s="25">
        <f t="shared" si="11"/>
        <v>0.65716322166785446</v>
      </c>
      <c r="AB99" s="25">
        <f t="shared" si="12"/>
        <v>0.1792898100352365</v>
      </c>
      <c r="AC99" s="25">
        <f t="shared" si="13"/>
        <v>0.95224027572624348</v>
      </c>
      <c r="AD99" s="24">
        <v>2</v>
      </c>
    </row>
    <row r="100" spans="1:30" x14ac:dyDescent="0.25">
      <c r="A100" s="24">
        <v>99</v>
      </c>
      <c r="B100" s="24">
        <v>18.170000000000002</v>
      </c>
      <c r="C100" s="24">
        <v>16.260000000000002</v>
      </c>
      <c r="D100" s="24">
        <v>0.86370000000000002</v>
      </c>
      <c r="E100" s="24">
        <v>6.2709999999999999</v>
      </c>
      <c r="F100" s="24">
        <v>3.512</v>
      </c>
      <c r="G100" s="24">
        <v>2.8530000000000002</v>
      </c>
      <c r="H100" s="24">
        <v>6.2729999999999997</v>
      </c>
      <c r="I100" s="24">
        <v>2</v>
      </c>
      <c r="V100" s="24">
        <v>99</v>
      </c>
      <c r="W100" s="25">
        <f t="shared" si="7"/>
        <v>0.71576959395656303</v>
      </c>
      <c r="X100" s="25">
        <f t="shared" si="8"/>
        <v>0.79545454545454575</v>
      </c>
      <c r="Y100" s="25">
        <f t="shared" si="9"/>
        <v>0.50453720508166966</v>
      </c>
      <c r="Z100" s="25">
        <f t="shared" si="10"/>
        <v>0.77252252252252251</v>
      </c>
      <c r="AA100" s="25">
        <f t="shared" si="11"/>
        <v>0.62865288667141828</v>
      </c>
      <c r="AB100" s="25">
        <f t="shared" si="12"/>
        <v>0.27147668023248261</v>
      </c>
      <c r="AC100" s="25">
        <f t="shared" si="13"/>
        <v>0.86361398325947802</v>
      </c>
      <c r="AD100" s="24">
        <v>2</v>
      </c>
    </row>
    <row r="101" spans="1:30" x14ac:dyDescent="0.25">
      <c r="A101" s="24">
        <v>100</v>
      </c>
      <c r="B101" s="24">
        <v>18.72</v>
      </c>
      <c r="C101" s="24">
        <v>16.34</v>
      </c>
      <c r="D101" s="24">
        <v>0.88100000000000001</v>
      </c>
      <c r="E101" s="24">
        <v>6.2190000000000003</v>
      </c>
      <c r="F101" s="24">
        <v>3.6840000000000002</v>
      </c>
      <c r="G101" s="24">
        <v>2.1880000000000002</v>
      </c>
      <c r="H101" s="24">
        <v>6.0970000000000004</v>
      </c>
      <c r="I101" s="24">
        <v>2</v>
      </c>
      <c r="V101" s="24">
        <v>100</v>
      </c>
      <c r="W101" s="25">
        <f t="shared" si="7"/>
        <v>0.76770538243626052</v>
      </c>
      <c r="X101" s="25">
        <f t="shared" si="8"/>
        <v>0.81198347107438018</v>
      </c>
      <c r="Y101" s="25">
        <f t="shared" si="9"/>
        <v>0.66152450090744086</v>
      </c>
      <c r="Z101" s="25">
        <f t="shared" si="10"/>
        <v>0.74324324324324353</v>
      </c>
      <c r="AA101" s="25">
        <f t="shared" si="11"/>
        <v>0.75124732715609399</v>
      </c>
      <c r="AB101" s="25">
        <f t="shared" si="12"/>
        <v>0.18501085698682865</v>
      </c>
      <c r="AC101" s="25">
        <f t="shared" si="13"/>
        <v>0.77695716395864134</v>
      </c>
      <c r="AD101" s="24">
        <v>2</v>
      </c>
    </row>
    <row r="102" spans="1:30" x14ac:dyDescent="0.25">
      <c r="A102" s="24">
        <v>101</v>
      </c>
      <c r="B102" s="24">
        <v>16.41</v>
      </c>
      <c r="C102" s="24">
        <v>15.25</v>
      </c>
      <c r="D102" s="24">
        <v>0.88660000000000005</v>
      </c>
      <c r="E102" s="24">
        <v>5.718</v>
      </c>
      <c r="F102" s="24">
        <v>3.5249999999999999</v>
      </c>
      <c r="G102" s="24">
        <v>4.2169999999999996</v>
      </c>
      <c r="H102" s="24">
        <v>5.6180000000000003</v>
      </c>
      <c r="I102" s="24">
        <v>2</v>
      </c>
      <c r="V102" s="24">
        <v>101</v>
      </c>
      <c r="W102" s="25">
        <f t="shared" si="7"/>
        <v>0.54957507082152979</v>
      </c>
      <c r="X102" s="25">
        <f t="shared" si="8"/>
        <v>0.58677685950413216</v>
      </c>
      <c r="Y102" s="25">
        <f t="shared" si="9"/>
        <v>0.71234119782214189</v>
      </c>
      <c r="Z102" s="25">
        <f t="shared" si="10"/>
        <v>0.46114864864864868</v>
      </c>
      <c r="AA102" s="25">
        <f t="shared" si="11"/>
        <v>0.63791874554525996</v>
      </c>
      <c r="AB102" s="25">
        <f t="shared" si="12"/>
        <v>0.44882913573183897</v>
      </c>
      <c r="AC102" s="25">
        <f t="shared" si="13"/>
        <v>0.54111275233874956</v>
      </c>
      <c r="AD102" s="24">
        <v>2</v>
      </c>
    </row>
    <row r="103" spans="1:30" x14ac:dyDescent="0.25">
      <c r="A103" s="24">
        <v>102</v>
      </c>
      <c r="B103" s="24">
        <v>17.989999999999998</v>
      </c>
      <c r="C103" s="24">
        <v>15.86</v>
      </c>
      <c r="D103" s="24">
        <v>0.8992</v>
      </c>
      <c r="E103" s="24">
        <v>5.89</v>
      </c>
      <c r="F103" s="24">
        <v>3.694</v>
      </c>
      <c r="G103" s="24">
        <v>2.0680000000000001</v>
      </c>
      <c r="H103" s="24">
        <v>5.8369999999999997</v>
      </c>
      <c r="I103" s="24">
        <v>2</v>
      </c>
      <c r="V103" s="24">
        <v>102</v>
      </c>
      <c r="W103" s="25">
        <f t="shared" si="7"/>
        <v>0.69877242681775242</v>
      </c>
      <c r="X103" s="25">
        <f t="shared" si="8"/>
        <v>0.7128099173553718</v>
      </c>
      <c r="Y103" s="25">
        <f t="shared" si="9"/>
        <v>0.82667876588021771</v>
      </c>
      <c r="Z103" s="25">
        <f t="shared" si="10"/>
        <v>0.55799549549549532</v>
      </c>
      <c r="AA103" s="25">
        <f t="shared" si="11"/>
        <v>0.75837491090520293</v>
      </c>
      <c r="AB103" s="25">
        <f t="shared" si="12"/>
        <v>0.16940800166430461</v>
      </c>
      <c r="AC103" s="25">
        <f t="shared" si="13"/>
        <v>0.64894140817331358</v>
      </c>
      <c r="AD103" s="24">
        <v>2</v>
      </c>
    </row>
    <row r="104" spans="1:30" x14ac:dyDescent="0.25">
      <c r="A104" s="24">
        <v>103</v>
      </c>
      <c r="B104" s="24">
        <v>19.46</v>
      </c>
      <c r="C104" s="24">
        <v>16.5</v>
      </c>
      <c r="D104" s="24">
        <v>0.89849999999999997</v>
      </c>
      <c r="E104" s="24">
        <v>6.1130000000000004</v>
      </c>
      <c r="F104" s="24">
        <v>3.8919999999999999</v>
      </c>
      <c r="G104" s="24">
        <v>4.3079999999999998</v>
      </c>
      <c r="H104" s="24">
        <v>6.0090000000000003</v>
      </c>
      <c r="I104" s="24">
        <v>2</v>
      </c>
      <c r="V104" s="24">
        <v>103</v>
      </c>
      <c r="W104" s="25">
        <f t="shared" si="7"/>
        <v>0.83758262511803594</v>
      </c>
      <c r="X104" s="25">
        <f t="shared" si="8"/>
        <v>0.8450413223140496</v>
      </c>
      <c r="Y104" s="25">
        <f t="shared" si="9"/>
        <v>0.82032667876587984</v>
      </c>
      <c r="Z104" s="25">
        <f t="shared" si="10"/>
        <v>0.68355855855855885</v>
      </c>
      <c r="AA104" s="25">
        <f t="shared" si="11"/>
        <v>0.89950106913756211</v>
      </c>
      <c r="AB104" s="25">
        <f t="shared" si="12"/>
        <v>0.46066130101808633</v>
      </c>
      <c r="AC104" s="25">
        <f t="shared" si="13"/>
        <v>0.73362875430822272</v>
      </c>
      <c r="AD104" s="24">
        <v>2</v>
      </c>
    </row>
    <row r="105" spans="1:30" x14ac:dyDescent="0.25">
      <c r="A105" s="24">
        <v>104</v>
      </c>
      <c r="B105" s="24">
        <v>19.18</v>
      </c>
      <c r="C105" s="24">
        <v>16.63</v>
      </c>
      <c r="D105" s="24">
        <v>0.87170000000000003</v>
      </c>
      <c r="E105" s="24">
        <v>6.3689999999999998</v>
      </c>
      <c r="F105" s="24">
        <v>3.681</v>
      </c>
      <c r="G105" s="24">
        <v>3.3570000000000002</v>
      </c>
      <c r="H105" s="24">
        <v>6.2290000000000001</v>
      </c>
      <c r="I105" s="24">
        <v>2</v>
      </c>
      <c r="V105" s="24">
        <v>104</v>
      </c>
      <c r="W105" s="25">
        <f t="shared" si="7"/>
        <v>0.81114258734655331</v>
      </c>
      <c r="X105" s="25">
        <f t="shared" si="8"/>
        <v>0.87190082644628075</v>
      </c>
      <c r="Y105" s="25">
        <f t="shared" si="9"/>
        <v>0.57713248638838488</v>
      </c>
      <c r="Z105" s="25">
        <f t="shared" si="10"/>
        <v>0.82770270270270263</v>
      </c>
      <c r="AA105" s="25">
        <f t="shared" si="11"/>
        <v>0.74910905203136124</v>
      </c>
      <c r="AB105" s="25">
        <f t="shared" si="12"/>
        <v>0.3370086725870835</v>
      </c>
      <c r="AC105" s="25">
        <f t="shared" si="13"/>
        <v>0.84194977843426899</v>
      </c>
      <c r="AD105" s="24">
        <v>2</v>
      </c>
    </row>
    <row r="106" spans="1:30" x14ac:dyDescent="0.25">
      <c r="A106" s="24">
        <v>105</v>
      </c>
      <c r="B106" s="24">
        <v>18.95</v>
      </c>
      <c r="C106" s="24">
        <v>16.420000000000002</v>
      </c>
      <c r="D106" s="24">
        <v>0.88290000000000002</v>
      </c>
      <c r="E106" s="24">
        <v>6.2480000000000002</v>
      </c>
      <c r="F106" s="24">
        <v>3.7549999999999999</v>
      </c>
      <c r="G106" s="24">
        <v>3.3679999999999999</v>
      </c>
      <c r="H106" s="24">
        <v>6.1479999999999997</v>
      </c>
      <c r="I106" s="24">
        <v>2</v>
      </c>
      <c r="V106" s="24">
        <v>105</v>
      </c>
      <c r="W106" s="25">
        <f t="shared" si="7"/>
        <v>0.78942398489140697</v>
      </c>
      <c r="X106" s="25">
        <f t="shared" si="8"/>
        <v>0.82851239669421517</v>
      </c>
      <c r="Y106" s="25">
        <f t="shared" si="9"/>
        <v>0.67876588021778583</v>
      </c>
      <c r="Z106" s="25">
        <f t="shared" si="10"/>
        <v>0.75957207207207222</v>
      </c>
      <c r="AA106" s="25">
        <f t="shared" si="11"/>
        <v>0.80185317177476811</v>
      </c>
      <c r="AB106" s="25">
        <f t="shared" si="12"/>
        <v>0.33843893432498151</v>
      </c>
      <c r="AC106" s="25">
        <f t="shared" si="13"/>
        <v>0.80206794682422444</v>
      </c>
      <c r="AD106" s="24">
        <v>2</v>
      </c>
    </row>
    <row r="107" spans="1:30" x14ac:dyDescent="0.25">
      <c r="A107" s="24">
        <v>106</v>
      </c>
      <c r="B107" s="24">
        <v>18.829999999999998</v>
      </c>
      <c r="C107" s="24">
        <v>16.29</v>
      </c>
      <c r="D107" s="24">
        <v>0.89170000000000005</v>
      </c>
      <c r="E107" s="24">
        <v>6.0369999999999999</v>
      </c>
      <c r="F107" s="24">
        <v>3.786</v>
      </c>
      <c r="G107" s="24">
        <v>2.5529999999999999</v>
      </c>
      <c r="H107" s="24">
        <v>5.8789999999999996</v>
      </c>
      <c r="I107" s="24">
        <v>2</v>
      </c>
      <c r="V107" s="24">
        <v>106</v>
      </c>
      <c r="W107" s="25">
        <f t="shared" si="7"/>
        <v>0.77809254013220008</v>
      </c>
      <c r="X107" s="25">
        <f t="shared" si="8"/>
        <v>0.80165289256198324</v>
      </c>
      <c r="Y107" s="25">
        <f t="shared" si="9"/>
        <v>0.75862068965517271</v>
      </c>
      <c r="Z107" s="25">
        <f t="shared" si="10"/>
        <v>0.64076576576576583</v>
      </c>
      <c r="AA107" s="25">
        <f t="shared" si="11"/>
        <v>0.82394868139700628</v>
      </c>
      <c r="AB107" s="25">
        <f t="shared" si="12"/>
        <v>0.23246954192617253</v>
      </c>
      <c r="AC107" s="25">
        <f t="shared" si="13"/>
        <v>0.66962087641555867</v>
      </c>
      <c r="AD107" s="24">
        <v>2</v>
      </c>
    </row>
    <row r="108" spans="1:30" x14ac:dyDescent="0.25">
      <c r="A108" s="24">
        <v>107</v>
      </c>
      <c r="B108" s="24">
        <v>18.850000000000001</v>
      </c>
      <c r="C108" s="24">
        <v>16.170000000000002</v>
      </c>
      <c r="D108" s="24">
        <v>0.90559999999999996</v>
      </c>
      <c r="E108" s="24">
        <v>6.1520000000000001</v>
      </c>
      <c r="F108" s="24">
        <v>3.806</v>
      </c>
      <c r="G108" s="24">
        <v>2.843</v>
      </c>
      <c r="H108" s="24">
        <v>6.2</v>
      </c>
      <c r="I108" s="24">
        <v>2</v>
      </c>
      <c r="V108" s="24">
        <v>107</v>
      </c>
      <c r="W108" s="25">
        <f t="shared" si="7"/>
        <v>0.77998111425873484</v>
      </c>
      <c r="X108" s="25">
        <f t="shared" si="8"/>
        <v>0.7768595041322317</v>
      </c>
      <c r="Y108" s="25">
        <f t="shared" si="9"/>
        <v>0.8847549909255894</v>
      </c>
      <c r="Z108" s="25">
        <f t="shared" si="10"/>
        <v>0.70551801801801817</v>
      </c>
      <c r="AA108" s="25">
        <f t="shared" si="11"/>
        <v>0.83820384889522437</v>
      </c>
      <c r="AB108" s="25">
        <f t="shared" si="12"/>
        <v>0.27017644228893889</v>
      </c>
      <c r="AC108" s="25">
        <f t="shared" si="13"/>
        <v>0.82767109798129013</v>
      </c>
      <c r="AD108" s="24">
        <v>2</v>
      </c>
    </row>
    <row r="109" spans="1:30" x14ac:dyDescent="0.25">
      <c r="A109" s="24">
        <v>108</v>
      </c>
      <c r="B109" s="24">
        <v>17.63</v>
      </c>
      <c r="C109" s="24">
        <v>15.86</v>
      </c>
      <c r="D109" s="24">
        <v>0.88</v>
      </c>
      <c r="E109" s="24">
        <v>6.0330000000000004</v>
      </c>
      <c r="F109" s="24">
        <v>3.573</v>
      </c>
      <c r="G109" s="24">
        <v>3.7469999999999999</v>
      </c>
      <c r="H109" s="24">
        <v>5.9290000000000003</v>
      </c>
      <c r="I109" s="24">
        <v>2</v>
      </c>
      <c r="V109" s="24">
        <v>108</v>
      </c>
      <c r="W109" s="25">
        <f t="shared" si="7"/>
        <v>0.66477809254013209</v>
      </c>
      <c r="X109" s="25">
        <f t="shared" si="8"/>
        <v>0.7128099173553718</v>
      </c>
      <c r="Y109" s="25">
        <f t="shared" si="9"/>
        <v>0.65245009074410154</v>
      </c>
      <c r="Z109" s="25">
        <f t="shared" si="10"/>
        <v>0.63851351351351382</v>
      </c>
      <c r="AA109" s="25">
        <f t="shared" si="11"/>
        <v>0.67213114754098346</v>
      </c>
      <c r="AB109" s="25">
        <f t="shared" si="12"/>
        <v>0.38771795238528656</v>
      </c>
      <c r="AC109" s="25">
        <f t="shared" si="13"/>
        <v>0.69423929098966042</v>
      </c>
      <c r="AD109" s="24">
        <v>2</v>
      </c>
    </row>
    <row r="110" spans="1:30" x14ac:dyDescent="0.25">
      <c r="A110" s="24">
        <v>109</v>
      </c>
      <c r="B110" s="24">
        <v>19.940000000000001</v>
      </c>
      <c r="C110" s="24">
        <v>16.920000000000002</v>
      </c>
      <c r="D110" s="24">
        <v>0.87519999999999998</v>
      </c>
      <c r="E110" s="24">
        <v>6.6749999999999998</v>
      </c>
      <c r="F110" s="24">
        <v>3.7629999999999999</v>
      </c>
      <c r="G110" s="24">
        <v>3.2519999999999998</v>
      </c>
      <c r="H110" s="24">
        <v>6.55</v>
      </c>
      <c r="I110" s="24">
        <v>2</v>
      </c>
      <c r="V110" s="24">
        <v>109</v>
      </c>
      <c r="W110" s="25">
        <f t="shared" si="7"/>
        <v>0.88290840415486327</v>
      </c>
      <c r="X110" s="25">
        <f t="shared" si="8"/>
        <v>0.93181818181818221</v>
      </c>
      <c r="Y110" s="25">
        <f t="shared" si="9"/>
        <v>0.60889292196007228</v>
      </c>
      <c r="Z110" s="25">
        <f t="shared" si="10"/>
        <v>1</v>
      </c>
      <c r="AA110" s="25">
        <f t="shared" si="11"/>
        <v>0.80755523877405533</v>
      </c>
      <c r="AB110" s="25">
        <f t="shared" si="12"/>
        <v>0.32335617417987494</v>
      </c>
      <c r="AC110" s="25">
        <f t="shared" si="13"/>
        <v>1</v>
      </c>
      <c r="AD110" s="24">
        <v>2</v>
      </c>
    </row>
    <row r="111" spans="1:30" x14ac:dyDescent="0.25">
      <c r="A111" s="24">
        <v>110</v>
      </c>
      <c r="B111" s="24">
        <v>18.55</v>
      </c>
      <c r="C111" s="24">
        <v>16.22</v>
      </c>
      <c r="D111" s="24">
        <v>0.88649999999999995</v>
      </c>
      <c r="E111" s="24">
        <v>6.1529999999999996</v>
      </c>
      <c r="F111" s="24">
        <v>3.6739999999999999</v>
      </c>
      <c r="G111" s="24">
        <v>1.738</v>
      </c>
      <c r="H111" s="24">
        <v>5.8940000000000001</v>
      </c>
      <c r="I111" s="24">
        <v>2</v>
      </c>
      <c r="V111" s="24">
        <v>110</v>
      </c>
      <c r="W111" s="25">
        <f t="shared" si="7"/>
        <v>0.75165250236071779</v>
      </c>
      <c r="X111" s="25">
        <f t="shared" si="8"/>
        <v>0.78719008264462786</v>
      </c>
      <c r="Y111" s="25">
        <f t="shared" si="9"/>
        <v>0.71143375680580712</v>
      </c>
      <c r="Z111" s="25">
        <f t="shared" si="10"/>
        <v>0.70608108108108092</v>
      </c>
      <c r="AA111" s="25">
        <f t="shared" si="11"/>
        <v>0.74411974340698483</v>
      </c>
      <c r="AB111" s="25">
        <f t="shared" si="12"/>
        <v>0.12650014952736352</v>
      </c>
      <c r="AC111" s="25">
        <f t="shared" si="13"/>
        <v>0.6770064007877894</v>
      </c>
      <c r="AD111" s="24">
        <v>2</v>
      </c>
    </row>
    <row r="112" spans="1:30" x14ac:dyDescent="0.25">
      <c r="A112" s="24">
        <v>111</v>
      </c>
      <c r="B112" s="24">
        <v>18.45</v>
      </c>
      <c r="C112" s="24">
        <v>16.12</v>
      </c>
      <c r="D112" s="24">
        <v>0.8921</v>
      </c>
      <c r="E112" s="24">
        <v>6.1070000000000002</v>
      </c>
      <c r="F112" s="24">
        <v>3.7690000000000001</v>
      </c>
      <c r="G112" s="24">
        <v>2.2349999999999999</v>
      </c>
      <c r="H112" s="24">
        <v>5.7939999999999996</v>
      </c>
      <c r="I112" s="24">
        <v>2</v>
      </c>
      <c r="V112" s="24">
        <v>111</v>
      </c>
      <c r="W112" s="25">
        <f t="shared" si="7"/>
        <v>0.74220963172804533</v>
      </c>
      <c r="X112" s="25">
        <f t="shared" si="8"/>
        <v>0.76652892561983488</v>
      </c>
      <c r="Y112" s="25">
        <f t="shared" si="9"/>
        <v>0.76225045372050804</v>
      </c>
      <c r="Z112" s="25">
        <f t="shared" si="10"/>
        <v>0.68018018018018034</v>
      </c>
      <c r="AA112" s="25">
        <f t="shared" si="11"/>
        <v>0.81183178902352093</v>
      </c>
      <c r="AB112" s="25">
        <f t="shared" si="12"/>
        <v>0.19112197532148384</v>
      </c>
      <c r="AC112" s="25">
        <f t="shared" si="13"/>
        <v>0.62776957163958624</v>
      </c>
      <c r="AD112" s="24">
        <v>2</v>
      </c>
    </row>
    <row r="113" spans="1:30" x14ac:dyDescent="0.25">
      <c r="A113" s="24">
        <v>112</v>
      </c>
      <c r="B113" s="24">
        <v>19.38</v>
      </c>
      <c r="C113" s="24">
        <v>16.72</v>
      </c>
      <c r="D113" s="24">
        <v>0.87160000000000004</v>
      </c>
      <c r="E113" s="24">
        <v>6.3029999999999999</v>
      </c>
      <c r="F113" s="24">
        <v>3.7909999999999999</v>
      </c>
      <c r="G113" s="24">
        <v>3.6779999999999999</v>
      </c>
      <c r="H113" s="24">
        <v>5.9649999999999999</v>
      </c>
      <c r="I113" s="24">
        <v>2</v>
      </c>
      <c r="V113" s="24">
        <v>112</v>
      </c>
      <c r="W113" s="25">
        <f t="shared" si="7"/>
        <v>0.8300283286118979</v>
      </c>
      <c r="X113" s="25">
        <f t="shared" si="8"/>
        <v>0.8904958677685948</v>
      </c>
      <c r="Y113" s="25">
        <f t="shared" si="9"/>
        <v>0.57622504537205099</v>
      </c>
      <c r="Z113" s="25">
        <f t="shared" si="10"/>
        <v>0.79054054054054057</v>
      </c>
      <c r="AA113" s="25">
        <f t="shared" si="11"/>
        <v>0.82751247327156063</v>
      </c>
      <c r="AB113" s="25">
        <f t="shared" si="12"/>
        <v>0.37874631057483527</v>
      </c>
      <c r="AC113" s="25">
        <f t="shared" si="13"/>
        <v>0.71196454948301324</v>
      </c>
      <c r="AD113" s="24">
        <v>2</v>
      </c>
    </row>
    <row r="114" spans="1:30" x14ac:dyDescent="0.25">
      <c r="A114" s="24">
        <v>113</v>
      </c>
      <c r="B114" s="24">
        <v>19.13</v>
      </c>
      <c r="C114" s="24">
        <v>16.309999999999999</v>
      </c>
      <c r="D114" s="24">
        <v>0.90349999999999997</v>
      </c>
      <c r="E114" s="24">
        <v>6.1829999999999998</v>
      </c>
      <c r="F114" s="24">
        <v>3.9020000000000001</v>
      </c>
      <c r="G114" s="24">
        <v>2.109</v>
      </c>
      <c r="H114" s="24">
        <v>5.9240000000000004</v>
      </c>
      <c r="I114" s="24">
        <v>2</v>
      </c>
      <c r="V114" s="24">
        <v>113</v>
      </c>
      <c r="W114" s="25">
        <f t="shared" si="7"/>
        <v>0.80642115203021714</v>
      </c>
      <c r="X114" s="25">
        <f t="shared" si="8"/>
        <v>0.80578512396694191</v>
      </c>
      <c r="Y114" s="25">
        <f t="shared" si="9"/>
        <v>0.86569872958257676</v>
      </c>
      <c r="Z114" s="25">
        <f t="shared" si="10"/>
        <v>0.72297297297297292</v>
      </c>
      <c r="AA114" s="25">
        <f t="shared" si="11"/>
        <v>0.90662865288667127</v>
      </c>
      <c r="AB114" s="25">
        <f t="shared" si="12"/>
        <v>0.17473897723283363</v>
      </c>
      <c r="AC114" s="25">
        <f t="shared" si="13"/>
        <v>0.6917774495322504</v>
      </c>
      <c r="AD114" s="24">
        <v>2</v>
      </c>
    </row>
    <row r="115" spans="1:30" x14ac:dyDescent="0.25">
      <c r="A115" s="24">
        <v>114</v>
      </c>
      <c r="B115" s="24">
        <v>19.14</v>
      </c>
      <c r="C115" s="24">
        <v>16.61</v>
      </c>
      <c r="D115" s="24">
        <v>0.87219999999999998</v>
      </c>
      <c r="E115" s="24">
        <v>6.2590000000000003</v>
      </c>
      <c r="F115" s="24">
        <v>3.7370000000000001</v>
      </c>
      <c r="G115" s="24">
        <v>6.6820000000000004</v>
      </c>
      <c r="H115" s="24">
        <v>6.0529999999999999</v>
      </c>
      <c r="I115" s="24">
        <v>2</v>
      </c>
      <c r="V115" s="24">
        <v>114</v>
      </c>
      <c r="W115" s="25">
        <f t="shared" si="7"/>
        <v>0.80736543909348446</v>
      </c>
      <c r="X115" s="25">
        <f t="shared" si="8"/>
        <v>0.8677685950413222</v>
      </c>
      <c r="Y115" s="25">
        <f t="shared" si="9"/>
        <v>0.5816696914700541</v>
      </c>
      <c r="Z115" s="25">
        <f t="shared" si="10"/>
        <v>0.76576576576576605</v>
      </c>
      <c r="AA115" s="25">
        <f t="shared" si="11"/>
        <v>0.78902352102637197</v>
      </c>
      <c r="AB115" s="25">
        <f t="shared" si="12"/>
        <v>0.76933778881535331</v>
      </c>
      <c r="AC115" s="25">
        <f t="shared" si="13"/>
        <v>0.75529295913343186</v>
      </c>
      <c r="AD115" s="24">
        <v>2</v>
      </c>
    </row>
    <row r="116" spans="1:30" x14ac:dyDescent="0.25">
      <c r="A116" s="24">
        <v>115</v>
      </c>
      <c r="B116" s="24">
        <v>20.97</v>
      </c>
      <c r="C116" s="24">
        <v>17.25</v>
      </c>
      <c r="D116" s="24">
        <v>0.88590000000000002</v>
      </c>
      <c r="E116" s="24">
        <v>6.5629999999999997</v>
      </c>
      <c r="F116" s="24">
        <v>3.9910000000000001</v>
      </c>
      <c r="G116" s="24">
        <v>4.6769999999999996</v>
      </c>
      <c r="H116" s="24">
        <v>6.3159999999999998</v>
      </c>
      <c r="I116" s="24">
        <v>2</v>
      </c>
      <c r="V116" s="24">
        <v>115</v>
      </c>
      <c r="W116" s="25">
        <f t="shared" si="7"/>
        <v>0.98016997167138797</v>
      </c>
      <c r="X116" s="25">
        <f t="shared" si="8"/>
        <v>1</v>
      </c>
      <c r="Y116" s="25">
        <f t="shared" si="9"/>
        <v>0.70598911070780401</v>
      </c>
      <c r="Z116" s="25">
        <f t="shared" si="10"/>
        <v>0.93693693693693691</v>
      </c>
      <c r="AA116" s="25">
        <f t="shared" si="11"/>
        <v>0.97006414825374176</v>
      </c>
      <c r="AB116" s="25">
        <f t="shared" si="12"/>
        <v>0.50864008113484771</v>
      </c>
      <c r="AC116" s="25">
        <f t="shared" si="13"/>
        <v>0.88478581979320525</v>
      </c>
      <c r="AD116" s="24">
        <v>2</v>
      </c>
    </row>
    <row r="117" spans="1:30" x14ac:dyDescent="0.25">
      <c r="A117" s="24">
        <v>116</v>
      </c>
      <c r="B117" s="24">
        <v>19.059999999999999</v>
      </c>
      <c r="C117" s="24">
        <v>16.45</v>
      </c>
      <c r="D117" s="24">
        <v>0.88539999999999996</v>
      </c>
      <c r="E117" s="24">
        <v>6.4160000000000004</v>
      </c>
      <c r="F117" s="24">
        <v>3.7189999999999999</v>
      </c>
      <c r="G117" s="24">
        <v>2.2480000000000002</v>
      </c>
      <c r="H117" s="24">
        <v>6.1630000000000003</v>
      </c>
      <c r="I117" s="24">
        <v>2</v>
      </c>
      <c r="V117" s="24">
        <v>116</v>
      </c>
      <c r="W117" s="25">
        <f t="shared" si="7"/>
        <v>0.79981114258734642</v>
      </c>
      <c r="X117" s="25">
        <f t="shared" si="8"/>
        <v>0.83471074380165278</v>
      </c>
      <c r="Y117" s="25">
        <f t="shared" si="9"/>
        <v>0.7014519056261338</v>
      </c>
      <c r="Z117" s="25">
        <f t="shared" si="10"/>
        <v>0.85416666666666696</v>
      </c>
      <c r="AA117" s="25">
        <f t="shared" si="11"/>
        <v>0.77619387027797548</v>
      </c>
      <c r="AB117" s="25">
        <f t="shared" si="12"/>
        <v>0.19281228464809066</v>
      </c>
      <c r="AC117" s="25">
        <f t="shared" si="13"/>
        <v>0.80945347119645517</v>
      </c>
      <c r="AD117" s="24">
        <v>2</v>
      </c>
    </row>
    <row r="118" spans="1:30" x14ac:dyDescent="0.25">
      <c r="A118" s="24">
        <v>117</v>
      </c>
      <c r="B118" s="24">
        <v>18.96</v>
      </c>
      <c r="C118" s="24">
        <v>16.2</v>
      </c>
      <c r="D118" s="24">
        <v>0.90769999999999995</v>
      </c>
      <c r="E118" s="24">
        <v>6.0510000000000002</v>
      </c>
      <c r="F118" s="24">
        <v>3.8969999999999998</v>
      </c>
      <c r="G118" s="24">
        <v>4.3339999999999996</v>
      </c>
      <c r="H118" s="24">
        <v>5.75</v>
      </c>
      <c r="I118" s="24">
        <v>2</v>
      </c>
      <c r="V118" s="24">
        <v>117</v>
      </c>
      <c r="W118" s="25">
        <f t="shared" si="7"/>
        <v>0.7903682719546743</v>
      </c>
      <c r="X118" s="25">
        <f t="shared" si="8"/>
        <v>0.78305785123966931</v>
      </c>
      <c r="Y118" s="25">
        <f t="shared" si="9"/>
        <v>0.90381125226860204</v>
      </c>
      <c r="Z118" s="25">
        <f t="shared" si="10"/>
        <v>0.6486486486486488</v>
      </c>
      <c r="AA118" s="25">
        <f t="shared" si="11"/>
        <v>0.90306486101211647</v>
      </c>
      <c r="AB118" s="25">
        <f t="shared" si="12"/>
        <v>0.46404191967129987</v>
      </c>
      <c r="AC118" s="25">
        <f t="shared" si="13"/>
        <v>0.60610536681437721</v>
      </c>
      <c r="AD118" s="24">
        <v>2</v>
      </c>
    </row>
    <row r="119" spans="1:30" x14ac:dyDescent="0.25">
      <c r="A119" s="24">
        <v>118</v>
      </c>
      <c r="B119" s="24">
        <v>19.149999999999999</v>
      </c>
      <c r="C119" s="24">
        <v>16.45</v>
      </c>
      <c r="D119" s="24">
        <v>0.88900000000000001</v>
      </c>
      <c r="E119" s="24">
        <v>6.2450000000000001</v>
      </c>
      <c r="F119" s="24">
        <v>3.8149999999999999</v>
      </c>
      <c r="G119" s="24">
        <v>3.0840000000000001</v>
      </c>
      <c r="H119" s="24">
        <v>6.1849999999999996</v>
      </c>
      <c r="I119" s="24">
        <v>2</v>
      </c>
      <c r="V119" s="24">
        <v>118</v>
      </c>
      <c r="W119" s="25">
        <f t="shared" si="7"/>
        <v>0.80830972615675156</v>
      </c>
      <c r="X119" s="25">
        <f t="shared" si="8"/>
        <v>0.83471074380165278</v>
      </c>
      <c r="Y119" s="25">
        <f t="shared" si="9"/>
        <v>0.73411978221415608</v>
      </c>
      <c r="Z119" s="25">
        <f t="shared" si="10"/>
        <v>0.75788288288288297</v>
      </c>
      <c r="AA119" s="25">
        <f t="shared" si="11"/>
        <v>0.84461867426942239</v>
      </c>
      <c r="AB119" s="25">
        <f t="shared" si="12"/>
        <v>0.30151217672834135</v>
      </c>
      <c r="AC119" s="25">
        <f t="shared" si="13"/>
        <v>0.8202855736090594</v>
      </c>
      <c r="AD119" s="24">
        <v>2</v>
      </c>
    </row>
    <row r="120" spans="1:30" x14ac:dyDescent="0.25">
      <c r="A120" s="24">
        <v>119</v>
      </c>
      <c r="B120" s="24">
        <v>18.89</v>
      </c>
      <c r="C120" s="24">
        <v>16.23</v>
      </c>
      <c r="D120" s="24">
        <v>0.90080000000000005</v>
      </c>
      <c r="E120" s="24">
        <v>6.2270000000000003</v>
      </c>
      <c r="F120" s="24">
        <v>3.7690000000000001</v>
      </c>
      <c r="G120" s="24">
        <v>3.6389999999999998</v>
      </c>
      <c r="H120" s="24">
        <v>5.9660000000000002</v>
      </c>
      <c r="I120" s="24">
        <v>2</v>
      </c>
      <c r="V120" s="24">
        <v>119</v>
      </c>
      <c r="W120" s="25">
        <f t="shared" si="7"/>
        <v>0.78375826251180369</v>
      </c>
      <c r="X120" s="25">
        <f t="shared" si="8"/>
        <v>0.78925619834710747</v>
      </c>
      <c r="Y120" s="25">
        <f t="shared" si="9"/>
        <v>0.84119782214156114</v>
      </c>
      <c r="Z120" s="25">
        <f t="shared" si="10"/>
        <v>0.74774774774774799</v>
      </c>
      <c r="AA120" s="25">
        <f t="shared" si="11"/>
        <v>0.81183178902352093</v>
      </c>
      <c r="AB120" s="25">
        <f t="shared" si="12"/>
        <v>0.37367538259501493</v>
      </c>
      <c r="AC120" s="25">
        <f t="shared" si="13"/>
        <v>0.71245691777449549</v>
      </c>
      <c r="AD120" s="24">
        <v>2</v>
      </c>
    </row>
    <row r="121" spans="1:30" x14ac:dyDescent="0.25">
      <c r="A121" s="24">
        <v>120</v>
      </c>
      <c r="B121" s="24">
        <v>20.03</v>
      </c>
      <c r="C121" s="24">
        <v>16.899999999999999</v>
      </c>
      <c r="D121" s="24">
        <v>0.88109999999999999</v>
      </c>
      <c r="E121" s="24">
        <v>6.4930000000000003</v>
      </c>
      <c r="F121" s="24">
        <v>3.8570000000000002</v>
      </c>
      <c r="G121" s="24">
        <v>3.0630000000000002</v>
      </c>
      <c r="H121" s="24">
        <v>6.32</v>
      </c>
      <c r="I121" s="24">
        <v>2</v>
      </c>
      <c r="V121" s="24">
        <v>120</v>
      </c>
      <c r="W121" s="25">
        <f t="shared" si="7"/>
        <v>0.8914069877242683</v>
      </c>
      <c r="X121" s="25">
        <f t="shared" si="8"/>
        <v>0.92768595041322288</v>
      </c>
      <c r="Y121" s="25">
        <f t="shared" si="9"/>
        <v>0.66243194192377475</v>
      </c>
      <c r="Z121" s="25">
        <f t="shared" si="10"/>
        <v>0.89752252252252285</v>
      </c>
      <c r="AA121" s="25">
        <f t="shared" si="11"/>
        <v>0.87455452601568062</v>
      </c>
      <c r="AB121" s="25">
        <f t="shared" si="12"/>
        <v>0.29878167704689967</v>
      </c>
      <c r="AC121" s="25">
        <f t="shared" si="13"/>
        <v>0.88675529295913369</v>
      </c>
      <c r="AD121" s="24">
        <v>2</v>
      </c>
    </row>
    <row r="122" spans="1:30" x14ac:dyDescent="0.25">
      <c r="A122" s="24">
        <v>121</v>
      </c>
      <c r="B122" s="24">
        <v>20.239999999999998</v>
      </c>
      <c r="C122" s="24">
        <v>16.91</v>
      </c>
      <c r="D122" s="24">
        <v>0.88970000000000005</v>
      </c>
      <c r="E122" s="24">
        <v>6.3150000000000004</v>
      </c>
      <c r="F122" s="24">
        <v>3.9620000000000002</v>
      </c>
      <c r="G122" s="24">
        <v>5.9009999999999998</v>
      </c>
      <c r="H122" s="24">
        <v>6.1879999999999997</v>
      </c>
      <c r="I122" s="24">
        <v>2</v>
      </c>
      <c r="V122" s="24">
        <v>121</v>
      </c>
      <c r="W122" s="25">
        <f t="shared" si="7"/>
        <v>0.91123701605287999</v>
      </c>
      <c r="X122" s="25">
        <f t="shared" si="8"/>
        <v>0.92975206611570249</v>
      </c>
      <c r="Y122" s="25">
        <f t="shared" si="9"/>
        <v>0.74047186932849396</v>
      </c>
      <c r="Z122" s="25">
        <f t="shared" si="10"/>
        <v>0.79729729729729759</v>
      </c>
      <c r="AA122" s="25">
        <f t="shared" si="11"/>
        <v>0.94939415538132566</v>
      </c>
      <c r="AB122" s="25">
        <f t="shared" si="12"/>
        <v>0.66778920542459275</v>
      </c>
      <c r="AC122" s="25">
        <f t="shared" si="13"/>
        <v>0.82176267848350559</v>
      </c>
      <c r="AD122" s="24">
        <v>2</v>
      </c>
    </row>
    <row r="123" spans="1:30" x14ac:dyDescent="0.25">
      <c r="A123" s="24">
        <v>122</v>
      </c>
      <c r="B123" s="24">
        <v>18.14</v>
      </c>
      <c r="C123" s="24">
        <v>16.12</v>
      </c>
      <c r="D123" s="24">
        <v>0.87719999999999998</v>
      </c>
      <c r="E123" s="24">
        <v>6.0590000000000002</v>
      </c>
      <c r="F123" s="24">
        <v>3.5630000000000002</v>
      </c>
      <c r="G123" s="24">
        <v>3.6190000000000002</v>
      </c>
      <c r="H123" s="24">
        <v>6.0110000000000001</v>
      </c>
      <c r="I123" s="24">
        <v>2</v>
      </c>
      <c r="V123" s="24">
        <v>122</v>
      </c>
      <c r="W123" s="25">
        <f t="shared" si="7"/>
        <v>0.71293673276676117</v>
      </c>
      <c r="X123" s="25">
        <f t="shared" si="8"/>
        <v>0.76652892561983488</v>
      </c>
      <c r="Y123" s="25">
        <f t="shared" si="9"/>
        <v>0.62704174228675102</v>
      </c>
      <c r="Z123" s="25">
        <f t="shared" si="10"/>
        <v>0.65315315315315325</v>
      </c>
      <c r="AA123" s="25">
        <f t="shared" si="11"/>
        <v>0.66500356379187453</v>
      </c>
      <c r="AB123" s="25">
        <f t="shared" si="12"/>
        <v>0.37107490670792764</v>
      </c>
      <c r="AC123" s="25">
        <f t="shared" si="13"/>
        <v>0.73461349089118666</v>
      </c>
      <c r="AD123" s="24">
        <v>2</v>
      </c>
    </row>
    <row r="124" spans="1:30" x14ac:dyDescent="0.25">
      <c r="A124" s="24">
        <v>123</v>
      </c>
      <c r="B124" s="24">
        <v>16.170000000000002</v>
      </c>
      <c r="C124" s="24">
        <v>15.38</v>
      </c>
      <c r="D124" s="24">
        <v>0.85880000000000001</v>
      </c>
      <c r="E124" s="24">
        <v>5.7619999999999996</v>
      </c>
      <c r="F124" s="24">
        <v>3.387</v>
      </c>
      <c r="G124" s="24">
        <v>4.2859999999999996</v>
      </c>
      <c r="H124" s="24">
        <v>5.7030000000000003</v>
      </c>
      <c r="I124" s="24">
        <v>2</v>
      </c>
      <c r="V124" s="24">
        <v>123</v>
      </c>
      <c r="W124" s="25">
        <f t="shared" si="7"/>
        <v>0.52691218130311634</v>
      </c>
      <c r="X124" s="25">
        <f t="shared" si="8"/>
        <v>0.61363636363636376</v>
      </c>
      <c r="Y124" s="25">
        <f t="shared" si="9"/>
        <v>0.46007259528130656</v>
      </c>
      <c r="Z124" s="25">
        <f t="shared" si="10"/>
        <v>0.48592342342342321</v>
      </c>
      <c r="AA124" s="25">
        <f t="shared" si="11"/>
        <v>0.53955808980755515</v>
      </c>
      <c r="AB124" s="25">
        <f t="shared" si="12"/>
        <v>0.45780077754229026</v>
      </c>
      <c r="AC124" s="25">
        <f t="shared" si="13"/>
        <v>0.58296405711472199</v>
      </c>
      <c r="AD124" s="24">
        <v>2</v>
      </c>
    </row>
    <row r="125" spans="1:30" x14ac:dyDescent="0.25">
      <c r="A125" s="24">
        <v>124</v>
      </c>
      <c r="B125" s="24">
        <v>18.43</v>
      </c>
      <c r="C125" s="24">
        <v>15.97</v>
      </c>
      <c r="D125" s="24">
        <v>0.90769999999999995</v>
      </c>
      <c r="E125" s="24">
        <v>5.98</v>
      </c>
      <c r="F125" s="24">
        <v>3.7709999999999999</v>
      </c>
      <c r="G125" s="24">
        <v>2.984</v>
      </c>
      <c r="H125" s="24">
        <v>5.9050000000000002</v>
      </c>
      <c r="I125" s="24">
        <v>2</v>
      </c>
      <c r="V125" s="24">
        <v>124</v>
      </c>
      <c r="W125" s="25">
        <f t="shared" si="7"/>
        <v>0.7403210576015109</v>
      </c>
      <c r="X125" s="25">
        <f t="shared" si="8"/>
        <v>0.73553719008264473</v>
      </c>
      <c r="Y125" s="25">
        <f t="shared" si="9"/>
        <v>0.90381125226860204</v>
      </c>
      <c r="Z125" s="25">
        <f t="shared" si="10"/>
        <v>0.60867117117117142</v>
      </c>
      <c r="AA125" s="25">
        <f t="shared" si="11"/>
        <v>0.81325730577334254</v>
      </c>
      <c r="AB125" s="25">
        <f t="shared" si="12"/>
        <v>0.28850979729290466</v>
      </c>
      <c r="AC125" s="25">
        <f t="shared" si="13"/>
        <v>0.68242245199409179</v>
      </c>
      <c r="AD125" s="24">
        <v>2</v>
      </c>
    </row>
    <row r="126" spans="1:30" x14ac:dyDescent="0.25">
      <c r="A126" s="24">
        <v>125</v>
      </c>
      <c r="B126" s="24">
        <v>15.99</v>
      </c>
      <c r="C126" s="24">
        <v>14.89</v>
      </c>
      <c r="D126" s="24">
        <v>0.90639999999999998</v>
      </c>
      <c r="E126" s="24">
        <v>5.3630000000000004</v>
      </c>
      <c r="F126" s="24">
        <v>3.5819999999999999</v>
      </c>
      <c r="G126" s="24">
        <v>3.3359999999999999</v>
      </c>
      <c r="H126" s="24">
        <v>5.1440000000000001</v>
      </c>
      <c r="I126" s="24">
        <v>2</v>
      </c>
      <c r="V126" s="24">
        <v>125</v>
      </c>
      <c r="W126" s="25">
        <f t="shared" si="7"/>
        <v>0.50991501416430596</v>
      </c>
      <c r="X126" s="25">
        <f t="shared" si="8"/>
        <v>0.5123966942148761</v>
      </c>
      <c r="Y126" s="25">
        <f t="shared" si="9"/>
        <v>0.89201451905626106</v>
      </c>
      <c r="Z126" s="25">
        <f t="shared" si="10"/>
        <v>0.26126126126126153</v>
      </c>
      <c r="AA126" s="25">
        <f t="shared" si="11"/>
        <v>0.67854597291518148</v>
      </c>
      <c r="AB126" s="25">
        <f t="shared" si="12"/>
        <v>0.33427817290564177</v>
      </c>
      <c r="AC126" s="25">
        <f t="shared" si="13"/>
        <v>0.30773018217626791</v>
      </c>
      <c r="AD126" s="24">
        <v>2</v>
      </c>
    </row>
    <row r="127" spans="1:30" x14ac:dyDescent="0.25">
      <c r="A127" s="24">
        <v>126</v>
      </c>
      <c r="B127" s="24">
        <v>18.75</v>
      </c>
      <c r="C127" s="24">
        <v>16.18</v>
      </c>
      <c r="D127" s="24">
        <v>0.89990000000000003</v>
      </c>
      <c r="E127" s="24">
        <v>6.1109999999999998</v>
      </c>
      <c r="F127" s="24">
        <v>3.8690000000000002</v>
      </c>
      <c r="G127" s="24">
        <v>4.1879999999999997</v>
      </c>
      <c r="H127" s="24">
        <v>5.992</v>
      </c>
      <c r="I127" s="24">
        <v>2</v>
      </c>
      <c r="V127" s="24">
        <v>126</v>
      </c>
      <c r="W127" s="25">
        <f t="shared" si="7"/>
        <v>0.77053824362606238</v>
      </c>
      <c r="X127" s="25">
        <f t="shared" si="8"/>
        <v>0.77892561983471065</v>
      </c>
      <c r="Y127" s="25">
        <f t="shared" si="9"/>
        <v>0.83303085299455559</v>
      </c>
      <c r="Z127" s="25">
        <f t="shared" si="10"/>
        <v>0.68243243243243235</v>
      </c>
      <c r="AA127" s="25">
        <f t="shared" si="11"/>
        <v>0.8831076265146115</v>
      </c>
      <c r="AB127" s="25">
        <f t="shared" si="12"/>
        <v>0.4450584456955623</v>
      </c>
      <c r="AC127" s="25">
        <f t="shared" si="13"/>
        <v>0.72525849335302806</v>
      </c>
      <c r="AD127" s="24">
        <v>2</v>
      </c>
    </row>
    <row r="128" spans="1:30" x14ac:dyDescent="0.25">
      <c r="A128" s="24">
        <v>127</v>
      </c>
      <c r="B128" s="24">
        <v>18.649999999999999</v>
      </c>
      <c r="C128" s="24">
        <v>16.41</v>
      </c>
      <c r="D128" s="24">
        <v>0.86980000000000002</v>
      </c>
      <c r="E128" s="24">
        <v>6.2850000000000001</v>
      </c>
      <c r="F128" s="24">
        <v>3.5939999999999999</v>
      </c>
      <c r="G128" s="24">
        <v>4.391</v>
      </c>
      <c r="H128" s="24">
        <v>6.1020000000000003</v>
      </c>
      <c r="I128" s="24">
        <v>2</v>
      </c>
      <c r="V128" s="24">
        <v>127</v>
      </c>
      <c r="W128" s="25">
        <f t="shared" si="7"/>
        <v>0.76109537299338992</v>
      </c>
      <c r="X128" s="25">
        <f t="shared" si="8"/>
        <v>0.82644628099173556</v>
      </c>
      <c r="Y128" s="25">
        <f t="shared" si="9"/>
        <v>0.55989110707803991</v>
      </c>
      <c r="Z128" s="25">
        <f t="shared" si="10"/>
        <v>0.78040540540540559</v>
      </c>
      <c r="AA128" s="25">
        <f t="shared" si="11"/>
        <v>0.68709907341411236</v>
      </c>
      <c r="AB128" s="25">
        <f t="shared" si="12"/>
        <v>0.47145327594949882</v>
      </c>
      <c r="AC128" s="25">
        <f t="shared" si="13"/>
        <v>0.77941900541605147</v>
      </c>
      <c r="AD128" s="24">
        <v>2</v>
      </c>
    </row>
    <row r="129" spans="1:30" x14ac:dyDescent="0.25">
      <c r="A129" s="24">
        <v>128</v>
      </c>
      <c r="B129" s="24">
        <v>17.98</v>
      </c>
      <c r="C129" s="24">
        <v>15.85</v>
      </c>
      <c r="D129" s="24">
        <v>0.89929999999999999</v>
      </c>
      <c r="E129" s="24">
        <v>5.9790000000000001</v>
      </c>
      <c r="F129" s="24">
        <v>3.6869999999999998</v>
      </c>
      <c r="G129" s="24">
        <v>2.2570000000000001</v>
      </c>
      <c r="H129" s="24">
        <v>5.9189999999999996</v>
      </c>
      <c r="I129" s="24">
        <v>2</v>
      </c>
      <c r="V129" s="24">
        <v>128</v>
      </c>
      <c r="W129" s="25">
        <f t="shared" si="7"/>
        <v>0.69782813975448543</v>
      </c>
      <c r="X129" s="25">
        <f t="shared" si="8"/>
        <v>0.71074380165289253</v>
      </c>
      <c r="Y129" s="25">
        <f t="shared" si="9"/>
        <v>0.82758620689655149</v>
      </c>
      <c r="Z129" s="25">
        <f t="shared" si="10"/>
        <v>0.60810810810810823</v>
      </c>
      <c r="AA129" s="25">
        <f t="shared" si="11"/>
        <v>0.75338560228082652</v>
      </c>
      <c r="AB129" s="25">
        <f t="shared" si="12"/>
        <v>0.19398249879727994</v>
      </c>
      <c r="AC129" s="25">
        <f t="shared" si="13"/>
        <v>0.68931560807483983</v>
      </c>
      <c r="AD129" s="24">
        <v>2</v>
      </c>
    </row>
    <row r="130" spans="1:30" x14ac:dyDescent="0.25">
      <c r="A130" s="24">
        <v>129</v>
      </c>
      <c r="B130" s="24">
        <v>20.16</v>
      </c>
      <c r="C130" s="24">
        <v>17.03</v>
      </c>
      <c r="D130" s="24">
        <v>0.87350000000000005</v>
      </c>
      <c r="E130" s="24">
        <v>6.5129999999999999</v>
      </c>
      <c r="F130" s="24">
        <v>3.7730000000000001</v>
      </c>
      <c r="G130" s="24">
        <v>1.91</v>
      </c>
      <c r="H130" s="24">
        <v>6.1849999999999996</v>
      </c>
      <c r="I130" s="24">
        <v>2</v>
      </c>
      <c r="V130" s="24">
        <v>129</v>
      </c>
      <c r="W130" s="25">
        <f t="shared" ref="W130:W193" si="14">(B130-MIN($B$2:$B$211))/((MAX($B$2:$B$211)-MIN($B$2:$B$211)))</f>
        <v>0.90368271954674229</v>
      </c>
      <c r="X130" s="25">
        <f t="shared" ref="X130:X193" si="15">(C130-MIN($C$2:$C$211))/((MAX($C$2:$C$211)-MIN($C$2:$C$211)))</f>
        <v>0.95454545454545481</v>
      </c>
      <c r="Y130" s="25">
        <f t="shared" ref="Y130:Y193" si="16">(D130-MIN($D$2:$D$211))/((MAX($D$2:$D$211)-MIN($D$2:$D$211)))</f>
        <v>0.59346642468239597</v>
      </c>
      <c r="Z130" s="25">
        <f t="shared" ref="Z130:Z193" si="17">(E130-MIN($E$2:$E$211))/((MAX($E$2:$E$211)-MIN($E$2:$E$211)))</f>
        <v>0.90878378378378377</v>
      </c>
      <c r="AA130" s="25">
        <f t="shared" ref="AA130:AA193" si="18">(F130-MIN($F$2:$F$211))/((MAX($F$2:$F$211)-MIN($F$2:$F$211)))</f>
        <v>0.8146828225231646</v>
      </c>
      <c r="AB130" s="25">
        <f t="shared" si="12"/>
        <v>0.14886424215631461</v>
      </c>
      <c r="AC130" s="25">
        <f t="shared" si="13"/>
        <v>0.8202855736090594</v>
      </c>
      <c r="AD130" s="24">
        <v>2</v>
      </c>
    </row>
    <row r="131" spans="1:30" x14ac:dyDescent="0.25">
      <c r="A131" s="24">
        <v>130</v>
      </c>
      <c r="B131" s="24">
        <v>17.55</v>
      </c>
      <c r="C131" s="24">
        <v>15.66</v>
      </c>
      <c r="D131" s="24">
        <v>0.89910000000000001</v>
      </c>
      <c r="E131" s="24">
        <v>5.7910000000000004</v>
      </c>
      <c r="F131" s="24">
        <v>3.69</v>
      </c>
      <c r="G131" s="24">
        <v>5.3659999999999997</v>
      </c>
      <c r="H131" s="24">
        <v>5.6609999999999996</v>
      </c>
      <c r="I131" s="24">
        <v>2</v>
      </c>
      <c r="V131" s="24">
        <v>130</v>
      </c>
      <c r="W131" s="25">
        <f t="shared" si="14"/>
        <v>0.65722379603399439</v>
      </c>
      <c r="X131" s="25">
        <f t="shared" si="15"/>
        <v>0.67148760330578516</v>
      </c>
      <c r="Y131" s="25">
        <f t="shared" si="16"/>
        <v>0.82577132486388383</v>
      </c>
      <c r="Z131" s="25">
        <f t="shared" si="17"/>
        <v>0.50225225225225245</v>
      </c>
      <c r="AA131" s="25">
        <f t="shared" si="18"/>
        <v>0.75552387740555926</v>
      </c>
      <c r="AB131" s="25">
        <f t="shared" ref="AB131:AB194" si="19">(G131-MIN($G$2:$G$211))/((MAX($G$2:$G$211)-MIN($G$2:$G$211)))</f>
        <v>0.5982264754450064</v>
      </c>
      <c r="AC131" s="25">
        <f t="shared" ref="AC131:AC194" si="20">(H131-MIN($H$2:$H$211))/((MAX($H$2:$H$211)-MIN($H$2:$H$211)))</f>
        <v>0.56228458887247645</v>
      </c>
      <c r="AD131" s="24">
        <v>2</v>
      </c>
    </row>
    <row r="132" spans="1:30" x14ac:dyDescent="0.25">
      <c r="A132" s="24">
        <v>131</v>
      </c>
      <c r="B132" s="24">
        <v>18.3</v>
      </c>
      <c r="C132" s="24">
        <v>15.89</v>
      </c>
      <c r="D132" s="24">
        <v>0.91080000000000005</v>
      </c>
      <c r="E132" s="24">
        <v>5.9790000000000001</v>
      </c>
      <c r="F132" s="24">
        <v>3.7549999999999999</v>
      </c>
      <c r="G132" s="24">
        <v>2.8370000000000002</v>
      </c>
      <c r="H132" s="24">
        <v>5.9619999999999997</v>
      </c>
      <c r="I132" s="24">
        <v>2</v>
      </c>
      <c r="V132" s="24">
        <v>131</v>
      </c>
      <c r="W132" s="25">
        <f t="shared" si="14"/>
        <v>0.72804532577903691</v>
      </c>
      <c r="X132" s="25">
        <f t="shared" si="15"/>
        <v>0.71900826446281008</v>
      </c>
      <c r="Y132" s="25">
        <f t="shared" si="16"/>
        <v>0.93194192377495499</v>
      </c>
      <c r="Z132" s="25">
        <f t="shared" si="17"/>
        <v>0.60810810810810823</v>
      </c>
      <c r="AA132" s="25">
        <f t="shared" si="18"/>
        <v>0.80185317177476811</v>
      </c>
      <c r="AB132" s="25">
        <f t="shared" si="19"/>
        <v>0.26939629952281274</v>
      </c>
      <c r="AC132" s="25">
        <f t="shared" si="20"/>
        <v>0.71048744460856716</v>
      </c>
      <c r="AD132" s="24">
        <v>2</v>
      </c>
    </row>
    <row r="133" spans="1:30" x14ac:dyDescent="0.25">
      <c r="A133" s="24">
        <v>132</v>
      </c>
      <c r="B133" s="24">
        <v>18.940000000000001</v>
      </c>
      <c r="C133" s="24">
        <v>16.32</v>
      </c>
      <c r="D133" s="24">
        <v>0.89419999999999999</v>
      </c>
      <c r="E133" s="24">
        <v>6.1440000000000001</v>
      </c>
      <c r="F133" s="24">
        <v>3.8250000000000002</v>
      </c>
      <c r="G133" s="24">
        <v>2.9079999999999999</v>
      </c>
      <c r="H133" s="24">
        <v>5.9489999999999998</v>
      </c>
      <c r="I133" s="24">
        <v>2</v>
      </c>
      <c r="V133" s="24">
        <v>132</v>
      </c>
      <c r="W133" s="25">
        <f t="shared" si="14"/>
        <v>0.78847969782813987</v>
      </c>
      <c r="X133" s="25">
        <f t="shared" si="15"/>
        <v>0.80785123966942152</v>
      </c>
      <c r="Y133" s="25">
        <f t="shared" si="16"/>
        <v>0.78130671506352067</v>
      </c>
      <c r="Z133" s="25">
        <f t="shared" si="17"/>
        <v>0.7010135135135136</v>
      </c>
      <c r="AA133" s="25">
        <f t="shared" si="18"/>
        <v>0.85174625801853165</v>
      </c>
      <c r="AB133" s="25">
        <f t="shared" si="19"/>
        <v>0.27862798892197277</v>
      </c>
      <c r="AC133" s="25">
        <f t="shared" si="20"/>
        <v>0.70408665681930083</v>
      </c>
      <c r="AD133" s="24">
        <v>2</v>
      </c>
    </row>
    <row r="134" spans="1:30" x14ac:dyDescent="0.25">
      <c r="A134" s="24">
        <v>133</v>
      </c>
      <c r="B134" s="24">
        <v>15.38</v>
      </c>
      <c r="C134" s="24">
        <v>14.9</v>
      </c>
      <c r="D134" s="24">
        <v>0.87060000000000004</v>
      </c>
      <c r="E134" s="24">
        <v>5.8840000000000003</v>
      </c>
      <c r="F134" s="24">
        <v>3.2679999999999998</v>
      </c>
      <c r="G134" s="24">
        <v>4.4619999999999997</v>
      </c>
      <c r="H134" s="24">
        <v>5.7949999999999999</v>
      </c>
      <c r="I134" s="24">
        <v>2</v>
      </c>
      <c r="V134" s="24">
        <v>133</v>
      </c>
      <c r="W134" s="25">
        <f t="shared" si="14"/>
        <v>0.4523135033050048</v>
      </c>
      <c r="X134" s="25">
        <f t="shared" si="15"/>
        <v>0.51446280991735538</v>
      </c>
      <c r="Y134" s="25">
        <f t="shared" si="16"/>
        <v>0.56715063520871156</v>
      </c>
      <c r="Z134" s="25">
        <f t="shared" si="17"/>
        <v>0.55461711711711736</v>
      </c>
      <c r="AA134" s="25">
        <f t="shared" si="18"/>
        <v>0.4547398431931573</v>
      </c>
      <c r="AB134" s="25">
        <f t="shared" si="19"/>
        <v>0.48068496534865884</v>
      </c>
      <c r="AC134" s="25">
        <f t="shared" si="20"/>
        <v>0.62826193993106838</v>
      </c>
      <c r="AD134" s="24">
        <v>2</v>
      </c>
    </row>
    <row r="135" spans="1:30" x14ac:dyDescent="0.25">
      <c r="A135" s="24">
        <v>134</v>
      </c>
      <c r="B135" s="24">
        <v>16.16</v>
      </c>
      <c r="C135" s="24">
        <v>15.33</v>
      </c>
      <c r="D135" s="24">
        <v>0.86439999999999995</v>
      </c>
      <c r="E135" s="24">
        <v>5.8449999999999998</v>
      </c>
      <c r="F135" s="24">
        <v>3.395</v>
      </c>
      <c r="G135" s="24">
        <v>4.266</v>
      </c>
      <c r="H135" s="24">
        <v>5.7949999999999999</v>
      </c>
      <c r="I135" s="24">
        <v>2</v>
      </c>
      <c r="V135" s="24">
        <v>134</v>
      </c>
      <c r="W135" s="25">
        <f t="shared" si="14"/>
        <v>0.52596789423984891</v>
      </c>
      <c r="X135" s="25">
        <f t="shared" si="15"/>
        <v>0.60330578512396693</v>
      </c>
      <c r="Y135" s="25">
        <f t="shared" si="16"/>
        <v>0.51088929219600654</v>
      </c>
      <c r="Z135" s="25">
        <f t="shared" si="17"/>
        <v>0.5326576576576576</v>
      </c>
      <c r="AA135" s="25">
        <f t="shared" si="18"/>
        <v>0.54526015680684237</v>
      </c>
      <c r="AB135" s="25">
        <f t="shared" si="19"/>
        <v>0.45520030165520298</v>
      </c>
      <c r="AC135" s="25">
        <f t="shared" si="20"/>
        <v>0.62826193993106838</v>
      </c>
      <c r="AD135" s="24">
        <v>2</v>
      </c>
    </row>
    <row r="136" spans="1:30" x14ac:dyDescent="0.25">
      <c r="A136" s="24">
        <v>135</v>
      </c>
      <c r="B136" s="24">
        <v>15.56</v>
      </c>
      <c r="C136" s="24">
        <v>14.89</v>
      </c>
      <c r="D136" s="24">
        <v>0.88229999999999997</v>
      </c>
      <c r="E136" s="24">
        <v>5.7759999999999998</v>
      </c>
      <c r="F136" s="24">
        <v>3.4079999999999999</v>
      </c>
      <c r="G136" s="24">
        <v>4.9720000000000004</v>
      </c>
      <c r="H136" s="24">
        <v>5.8470000000000004</v>
      </c>
      <c r="I136" s="24">
        <v>2</v>
      </c>
      <c r="V136" s="24">
        <v>135</v>
      </c>
      <c r="W136" s="25">
        <f t="shared" si="14"/>
        <v>0.46931067044381497</v>
      </c>
      <c r="X136" s="25">
        <f t="shared" si="15"/>
        <v>0.5123966942148761</v>
      </c>
      <c r="Y136" s="25">
        <f t="shared" si="16"/>
        <v>0.67332123411978184</v>
      </c>
      <c r="Z136" s="25">
        <f t="shared" si="17"/>
        <v>0.49380630630630623</v>
      </c>
      <c r="AA136" s="25">
        <f t="shared" si="18"/>
        <v>0.55452601568068405</v>
      </c>
      <c r="AB136" s="25">
        <f t="shared" si="19"/>
        <v>0.54699710046938599</v>
      </c>
      <c r="AC136" s="25">
        <f t="shared" si="20"/>
        <v>0.65386509108813418</v>
      </c>
      <c r="AD136" s="24">
        <v>2</v>
      </c>
    </row>
    <row r="137" spans="1:30" x14ac:dyDescent="0.25">
      <c r="A137" s="24">
        <v>136</v>
      </c>
      <c r="B137" s="24">
        <v>15.38</v>
      </c>
      <c r="C137" s="24">
        <v>14.66</v>
      </c>
      <c r="D137" s="24">
        <v>0.89900000000000002</v>
      </c>
      <c r="E137" s="24">
        <v>5.4770000000000003</v>
      </c>
      <c r="F137" s="24">
        <v>3.4649999999999999</v>
      </c>
      <c r="G137" s="24">
        <v>3.6</v>
      </c>
      <c r="H137" s="24">
        <v>5.4390000000000001</v>
      </c>
      <c r="I137" s="24">
        <v>2</v>
      </c>
      <c r="V137" s="24">
        <v>136</v>
      </c>
      <c r="W137" s="25">
        <f t="shared" si="14"/>
        <v>0.4523135033050048</v>
      </c>
      <c r="X137" s="25">
        <f t="shared" si="15"/>
        <v>0.46487603305785125</v>
      </c>
      <c r="Y137" s="25">
        <f t="shared" si="16"/>
        <v>0.82486388384755005</v>
      </c>
      <c r="Z137" s="25">
        <f t="shared" si="17"/>
        <v>0.32545045045045062</v>
      </c>
      <c r="AA137" s="25">
        <f t="shared" si="18"/>
        <v>0.59515324305060557</v>
      </c>
      <c r="AB137" s="25">
        <f t="shared" si="19"/>
        <v>0.36860445461519464</v>
      </c>
      <c r="AC137" s="25">
        <f t="shared" si="20"/>
        <v>0.4529788281634663</v>
      </c>
      <c r="AD137" s="24">
        <v>2</v>
      </c>
    </row>
    <row r="138" spans="1:30" x14ac:dyDescent="0.25">
      <c r="A138" s="24">
        <v>137</v>
      </c>
      <c r="B138" s="24">
        <v>17.36</v>
      </c>
      <c r="C138" s="24">
        <v>15.76</v>
      </c>
      <c r="D138" s="24">
        <v>0.87849999999999995</v>
      </c>
      <c r="E138" s="24">
        <v>6.1449999999999996</v>
      </c>
      <c r="F138" s="24">
        <v>3.5739999999999998</v>
      </c>
      <c r="G138" s="24">
        <v>3.5259999999999998</v>
      </c>
      <c r="H138" s="24">
        <v>5.9710000000000001</v>
      </c>
      <c r="I138" s="24">
        <v>2</v>
      </c>
      <c r="V138" s="24">
        <v>137</v>
      </c>
      <c r="W138" s="25">
        <f t="shared" si="14"/>
        <v>0.6392823418319169</v>
      </c>
      <c r="X138" s="25">
        <f t="shared" si="15"/>
        <v>0.69214876033057848</v>
      </c>
      <c r="Y138" s="25">
        <f t="shared" si="16"/>
        <v>0.6388384754990919</v>
      </c>
      <c r="Z138" s="25">
        <f t="shared" si="17"/>
        <v>0.70157657657657635</v>
      </c>
      <c r="AA138" s="25">
        <f t="shared" si="18"/>
        <v>0.67284390591589427</v>
      </c>
      <c r="AB138" s="25">
        <f t="shared" si="19"/>
        <v>0.35898269383297143</v>
      </c>
      <c r="AC138" s="25">
        <f t="shared" si="20"/>
        <v>0.71491875923190551</v>
      </c>
      <c r="AD138" s="24">
        <v>2</v>
      </c>
    </row>
    <row r="139" spans="1:30" x14ac:dyDescent="0.25">
      <c r="A139" s="24">
        <v>138</v>
      </c>
      <c r="B139" s="24">
        <v>15.57</v>
      </c>
      <c r="C139" s="24">
        <v>15.15</v>
      </c>
      <c r="D139" s="24">
        <v>0.85270000000000001</v>
      </c>
      <c r="E139" s="24">
        <v>5.92</v>
      </c>
      <c r="F139" s="24">
        <v>3.2309999999999999</v>
      </c>
      <c r="G139" s="24">
        <v>2.64</v>
      </c>
      <c r="H139" s="24">
        <v>5.8789999999999996</v>
      </c>
      <c r="I139" s="24">
        <v>2</v>
      </c>
      <c r="V139" s="24">
        <v>138</v>
      </c>
      <c r="W139" s="25">
        <f t="shared" si="14"/>
        <v>0.47025495750708218</v>
      </c>
      <c r="X139" s="25">
        <f t="shared" si="15"/>
        <v>0.56611570247933896</v>
      </c>
      <c r="Y139" s="25">
        <f t="shared" si="16"/>
        <v>0.40471869328493637</v>
      </c>
      <c r="Z139" s="25">
        <f t="shared" si="17"/>
        <v>0.57488738738738743</v>
      </c>
      <c r="AA139" s="25">
        <f t="shared" si="18"/>
        <v>0.42836778332145387</v>
      </c>
      <c r="AB139" s="25">
        <f t="shared" si="19"/>
        <v>0.24378161203500245</v>
      </c>
      <c r="AC139" s="25">
        <f t="shared" si="20"/>
        <v>0.66962087641555867</v>
      </c>
      <c r="AD139" s="24">
        <v>2</v>
      </c>
    </row>
    <row r="140" spans="1:30" x14ac:dyDescent="0.25">
      <c r="A140" s="24">
        <v>139</v>
      </c>
      <c r="B140" s="24">
        <v>15.6</v>
      </c>
      <c r="C140" s="24">
        <v>15.11</v>
      </c>
      <c r="D140" s="24">
        <v>0.85799999999999998</v>
      </c>
      <c r="E140" s="24">
        <v>5.8319999999999999</v>
      </c>
      <c r="F140" s="24">
        <v>3.286</v>
      </c>
      <c r="G140" s="24">
        <v>2.7250000000000001</v>
      </c>
      <c r="H140" s="24">
        <v>5.7519999999999998</v>
      </c>
      <c r="I140" s="24">
        <v>2</v>
      </c>
      <c r="V140" s="24">
        <v>139</v>
      </c>
      <c r="W140" s="25">
        <f t="shared" si="14"/>
        <v>0.47308781869688382</v>
      </c>
      <c r="X140" s="25">
        <f t="shared" si="15"/>
        <v>0.55785123966942141</v>
      </c>
      <c r="Y140" s="25">
        <f t="shared" si="16"/>
        <v>0.45281306715063485</v>
      </c>
      <c r="Z140" s="25">
        <f t="shared" si="17"/>
        <v>0.52533783783783783</v>
      </c>
      <c r="AA140" s="25">
        <f t="shared" si="18"/>
        <v>0.46756949394155378</v>
      </c>
      <c r="AB140" s="25">
        <f t="shared" si="19"/>
        <v>0.25483363455512364</v>
      </c>
      <c r="AC140" s="25">
        <f t="shared" si="20"/>
        <v>0.60709010339734115</v>
      </c>
      <c r="AD140" s="24">
        <v>2</v>
      </c>
    </row>
    <row r="141" spans="1:30" x14ac:dyDescent="0.25">
      <c r="A141" s="24">
        <v>140</v>
      </c>
      <c r="B141" s="24">
        <v>16.23</v>
      </c>
      <c r="C141" s="24">
        <v>15.18</v>
      </c>
      <c r="D141" s="24">
        <v>0.88500000000000001</v>
      </c>
      <c r="E141" s="24">
        <v>5.8719999999999999</v>
      </c>
      <c r="F141" s="24">
        <v>3.472</v>
      </c>
      <c r="G141" s="24">
        <v>3.7690000000000001</v>
      </c>
      <c r="H141" s="24">
        <v>5.9219999999999997</v>
      </c>
      <c r="I141" s="24">
        <v>2</v>
      </c>
      <c r="V141" s="24">
        <v>140</v>
      </c>
      <c r="W141" s="25">
        <f t="shared" si="14"/>
        <v>0.53257790368271962</v>
      </c>
      <c r="X141" s="25">
        <f t="shared" si="15"/>
        <v>0.57231404958677679</v>
      </c>
      <c r="Y141" s="25">
        <f t="shared" si="16"/>
        <v>0.69782214156079847</v>
      </c>
      <c r="Z141" s="25">
        <f t="shared" si="17"/>
        <v>0.54786036036036034</v>
      </c>
      <c r="AA141" s="25">
        <f t="shared" si="18"/>
        <v>0.60014255167498198</v>
      </c>
      <c r="AB141" s="25">
        <f t="shared" si="19"/>
        <v>0.39057847586108263</v>
      </c>
      <c r="AC141" s="25">
        <f t="shared" si="20"/>
        <v>0.69079271294928601</v>
      </c>
      <c r="AD141" s="24">
        <v>2</v>
      </c>
    </row>
    <row r="142" spans="1:30" x14ac:dyDescent="0.25">
      <c r="A142" s="24">
        <v>141</v>
      </c>
      <c r="B142" s="24">
        <v>13.07</v>
      </c>
      <c r="C142" s="24">
        <v>13.92</v>
      </c>
      <c r="D142" s="24">
        <v>0.84799999999999998</v>
      </c>
      <c r="E142" s="24">
        <v>5.4720000000000004</v>
      </c>
      <c r="F142" s="24">
        <v>2.9940000000000002</v>
      </c>
      <c r="G142" s="24">
        <v>5.3040000000000003</v>
      </c>
      <c r="H142" s="24">
        <v>5.3949999999999996</v>
      </c>
      <c r="I142" s="24">
        <v>3</v>
      </c>
      <c r="V142" s="24">
        <v>141</v>
      </c>
      <c r="W142" s="25">
        <f t="shared" si="14"/>
        <v>0.23418319169027388</v>
      </c>
      <c r="X142" s="25">
        <f t="shared" si="15"/>
        <v>0.31198347107438013</v>
      </c>
      <c r="Y142" s="25">
        <f t="shared" si="16"/>
        <v>0.36206896551724094</v>
      </c>
      <c r="Z142" s="25">
        <f t="shared" si="17"/>
        <v>0.32263513513513542</v>
      </c>
      <c r="AA142" s="25">
        <f t="shared" si="18"/>
        <v>0.25944404846756963</v>
      </c>
      <c r="AB142" s="25">
        <f t="shared" si="19"/>
        <v>0.5901650001950357</v>
      </c>
      <c r="AC142" s="25">
        <f t="shared" si="20"/>
        <v>0.43131462333825682</v>
      </c>
      <c r="AD142" s="24">
        <v>3</v>
      </c>
    </row>
    <row r="143" spans="1:30" x14ac:dyDescent="0.25">
      <c r="A143" s="24">
        <v>142</v>
      </c>
      <c r="B143" s="24">
        <v>13.32</v>
      </c>
      <c r="C143" s="24">
        <v>13.94</v>
      </c>
      <c r="D143" s="24">
        <v>0.86129999999999995</v>
      </c>
      <c r="E143" s="24">
        <v>5.5410000000000004</v>
      </c>
      <c r="F143" s="24">
        <v>3.073</v>
      </c>
      <c r="G143" s="24">
        <v>7.0350000000000001</v>
      </c>
      <c r="H143" s="24">
        <v>5.44</v>
      </c>
      <c r="I143" s="24">
        <v>3</v>
      </c>
      <c r="V143" s="24">
        <v>142</v>
      </c>
      <c r="W143" s="25">
        <f t="shared" si="14"/>
        <v>0.25779036827195473</v>
      </c>
      <c r="X143" s="25">
        <f t="shared" si="15"/>
        <v>0.31611570247933873</v>
      </c>
      <c r="Y143" s="25">
        <f t="shared" si="16"/>
        <v>0.48275862068965453</v>
      </c>
      <c r="Z143" s="25">
        <f t="shared" si="17"/>
        <v>0.36148648648648674</v>
      </c>
      <c r="AA143" s="25">
        <f t="shared" si="18"/>
        <v>0.31575196008553097</v>
      </c>
      <c r="AB143" s="25">
        <f t="shared" si="19"/>
        <v>0.81523618822244481</v>
      </c>
      <c r="AC143" s="25">
        <f t="shared" si="20"/>
        <v>0.45347119645494849</v>
      </c>
      <c r="AD143" s="24">
        <v>3</v>
      </c>
    </row>
    <row r="144" spans="1:30" x14ac:dyDescent="0.25">
      <c r="A144" s="24">
        <v>143</v>
      </c>
      <c r="B144" s="24">
        <v>13.34</v>
      </c>
      <c r="C144" s="24">
        <v>13.95</v>
      </c>
      <c r="D144" s="24">
        <v>0.86199999999999999</v>
      </c>
      <c r="E144" s="24">
        <v>5.3890000000000002</v>
      </c>
      <c r="F144" s="24">
        <v>3.0739999999999998</v>
      </c>
      <c r="G144" s="24">
        <v>5.9950000000000001</v>
      </c>
      <c r="H144" s="24">
        <v>5.3070000000000004</v>
      </c>
      <c r="I144" s="24">
        <v>3</v>
      </c>
      <c r="V144" s="24">
        <v>143</v>
      </c>
      <c r="W144" s="25">
        <f t="shared" si="14"/>
        <v>0.25967894239848915</v>
      </c>
      <c r="X144" s="25">
        <f t="shared" si="15"/>
        <v>0.31818181818181801</v>
      </c>
      <c r="Y144" s="25">
        <f t="shared" si="16"/>
        <v>0.48911070780399241</v>
      </c>
      <c r="Z144" s="25">
        <f t="shared" si="17"/>
        <v>0.27590090090090102</v>
      </c>
      <c r="AA144" s="25">
        <f t="shared" si="18"/>
        <v>0.31646471846044177</v>
      </c>
      <c r="AB144" s="25">
        <f t="shared" si="19"/>
        <v>0.68001144209390318</v>
      </c>
      <c r="AC144" s="25">
        <f t="shared" si="20"/>
        <v>0.3879862136878387</v>
      </c>
      <c r="AD144" s="24">
        <v>3</v>
      </c>
    </row>
    <row r="145" spans="1:30" x14ac:dyDescent="0.25">
      <c r="A145" s="24">
        <v>144</v>
      </c>
      <c r="B145" s="24">
        <v>12.22</v>
      </c>
      <c r="C145" s="24">
        <v>13.32</v>
      </c>
      <c r="D145" s="24">
        <v>0.86519999999999997</v>
      </c>
      <c r="E145" s="24">
        <v>5.2240000000000002</v>
      </c>
      <c r="F145" s="24">
        <v>2.9670000000000001</v>
      </c>
      <c r="G145" s="24">
        <v>5.4690000000000003</v>
      </c>
      <c r="H145" s="24">
        <v>5.2210000000000001</v>
      </c>
      <c r="I145" s="24">
        <v>3</v>
      </c>
      <c r="V145" s="24">
        <v>144</v>
      </c>
      <c r="W145" s="25">
        <f t="shared" si="14"/>
        <v>0.15391879131255909</v>
      </c>
      <c r="X145" s="25">
        <f t="shared" si="15"/>
        <v>0.18801652892561987</v>
      </c>
      <c r="Y145" s="25">
        <f t="shared" si="16"/>
        <v>0.51814882032667831</v>
      </c>
      <c r="Z145" s="25">
        <f t="shared" si="17"/>
        <v>0.18299549549549562</v>
      </c>
      <c r="AA145" s="25">
        <f t="shared" si="18"/>
        <v>0.2401995723449751</v>
      </c>
      <c r="AB145" s="25">
        <f t="shared" si="19"/>
        <v>0.61161892626350634</v>
      </c>
      <c r="AC145" s="25">
        <f t="shared" si="20"/>
        <v>0.34564254062038408</v>
      </c>
      <c r="AD145" s="24">
        <v>3</v>
      </c>
    </row>
    <row r="146" spans="1:30" x14ac:dyDescent="0.25">
      <c r="A146" s="24">
        <v>145</v>
      </c>
      <c r="B146" s="24">
        <v>11.82</v>
      </c>
      <c r="C146" s="24">
        <v>13.4</v>
      </c>
      <c r="D146" s="24">
        <v>0.82740000000000002</v>
      </c>
      <c r="E146" s="24">
        <v>5.3140000000000001</v>
      </c>
      <c r="F146" s="24">
        <v>2.7770000000000001</v>
      </c>
      <c r="G146" s="24">
        <v>4.4710000000000001</v>
      </c>
      <c r="H146" s="24">
        <v>5.1779999999999999</v>
      </c>
      <c r="I146" s="24">
        <v>3</v>
      </c>
      <c r="V146" s="24">
        <v>145</v>
      </c>
      <c r="W146" s="25">
        <f t="shared" si="14"/>
        <v>0.11614730878186973</v>
      </c>
      <c r="X146" s="25">
        <f t="shared" si="15"/>
        <v>0.20454545454545459</v>
      </c>
      <c r="Y146" s="25">
        <f t="shared" si="16"/>
        <v>0.17513611615245001</v>
      </c>
      <c r="Z146" s="25">
        <f t="shared" si="17"/>
        <v>0.23367117117117123</v>
      </c>
      <c r="AA146" s="25">
        <f t="shared" si="18"/>
        <v>0.1047754811119032</v>
      </c>
      <c r="AB146" s="25">
        <f t="shared" si="19"/>
        <v>0.48185517949784817</v>
      </c>
      <c r="AC146" s="25">
        <f t="shared" si="20"/>
        <v>0.32447070408665679</v>
      </c>
      <c r="AD146" s="24">
        <v>3</v>
      </c>
    </row>
    <row r="147" spans="1:30" x14ac:dyDescent="0.25">
      <c r="A147" s="24">
        <v>146</v>
      </c>
      <c r="B147" s="24">
        <v>11.21</v>
      </c>
      <c r="C147" s="24">
        <v>13.13</v>
      </c>
      <c r="D147" s="24">
        <v>0.81669999999999998</v>
      </c>
      <c r="E147" s="24">
        <v>5.2789999999999999</v>
      </c>
      <c r="F147" s="24">
        <v>2.6869999999999998</v>
      </c>
      <c r="G147" s="24">
        <v>6.1689999999999996</v>
      </c>
      <c r="H147" s="24">
        <v>5.2750000000000004</v>
      </c>
      <c r="I147" s="24">
        <v>3</v>
      </c>
      <c r="V147" s="24">
        <v>146</v>
      </c>
      <c r="W147" s="25">
        <f t="shared" si="14"/>
        <v>5.8545797922568553E-2</v>
      </c>
      <c r="X147" s="25">
        <f t="shared" si="15"/>
        <v>0.14876033057851254</v>
      </c>
      <c r="Y147" s="25">
        <f t="shared" si="16"/>
        <v>7.8039927404718185E-2</v>
      </c>
      <c r="Z147" s="25">
        <f t="shared" si="17"/>
        <v>0.21396396396396392</v>
      </c>
      <c r="AA147" s="25">
        <f t="shared" si="18"/>
        <v>4.062722736992154E-2</v>
      </c>
      <c r="AB147" s="25">
        <f t="shared" si="19"/>
        <v>0.70263558231156298</v>
      </c>
      <c r="AC147" s="25">
        <f t="shared" si="20"/>
        <v>0.37223042836041376</v>
      </c>
      <c r="AD147" s="24">
        <v>3</v>
      </c>
    </row>
    <row r="148" spans="1:30" x14ac:dyDescent="0.25">
      <c r="A148" s="24">
        <v>147</v>
      </c>
      <c r="B148" s="24">
        <v>11.43</v>
      </c>
      <c r="C148" s="24">
        <v>13.13</v>
      </c>
      <c r="D148" s="24">
        <v>0.83350000000000002</v>
      </c>
      <c r="E148" s="24">
        <v>5.1760000000000002</v>
      </c>
      <c r="F148" s="24">
        <v>2.7189999999999999</v>
      </c>
      <c r="G148" s="24">
        <v>2.2210000000000001</v>
      </c>
      <c r="H148" s="24">
        <v>5.1319999999999997</v>
      </c>
      <c r="I148" s="24">
        <v>3</v>
      </c>
      <c r="V148" s="24">
        <v>147</v>
      </c>
      <c r="W148" s="25">
        <f t="shared" si="14"/>
        <v>7.9320113314447577E-2</v>
      </c>
      <c r="X148" s="25">
        <f t="shared" si="15"/>
        <v>0.14876033057851254</v>
      </c>
      <c r="Y148" s="25">
        <f t="shared" si="16"/>
        <v>0.2304900181488202</v>
      </c>
      <c r="Z148" s="25">
        <f t="shared" si="17"/>
        <v>0.15596846846846857</v>
      </c>
      <c r="AA148" s="25">
        <f t="shared" si="18"/>
        <v>6.3435495367070521E-2</v>
      </c>
      <c r="AB148" s="25">
        <f t="shared" si="19"/>
        <v>0.18930164220052273</v>
      </c>
      <c r="AC148" s="25">
        <f t="shared" si="20"/>
        <v>0.30182176267848332</v>
      </c>
      <c r="AD148" s="24">
        <v>3</v>
      </c>
    </row>
    <row r="149" spans="1:30" x14ac:dyDescent="0.25">
      <c r="A149" s="24">
        <v>148</v>
      </c>
      <c r="B149" s="24">
        <v>12.49</v>
      </c>
      <c r="C149" s="24">
        <v>13.46</v>
      </c>
      <c r="D149" s="24">
        <v>0.86580000000000001</v>
      </c>
      <c r="E149" s="24">
        <v>5.2670000000000003</v>
      </c>
      <c r="F149" s="24">
        <v>2.9670000000000001</v>
      </c>
      <c r="G149" s="24">
        <v>4.4210000000000003</v>
      </c>
      <c r="H149" s="24">
        <v>5.0019999999999998</v>
      </c>
      <c r="I149" s="24">
        <v>3</v>
      </c>
      <c r="V149" s="24">
        <v>148</v>
      </c>
      <c r="W149" s="25">
        <f t="shared" si="14"/>
        <v>0.17941454202077436</v>
      </c>
      <c r="X149" s="25">
        <f t="shared" si="15"/>
        <v>0.21694214876033074</v>
      </c>
      <c r="Y149" s="25">
        <f t="shared" si="16"/>
        <v>0.5235934664246823</v>
      </c>
      <c r="Z149" s="25">
        <f t="shared" si="17"/>
        <v>0.20720720720720742</v>
      </c>
      <c r="AA149" s="25">
        <f t="shared" si="18"/>
        <v>0.2401995723449751</v>
      </c>
      <c r="AB149" s="25">
        <f t="shared" si="19"/>
        <v>0.47535398978012988</v>
      </c>
      <c r="AC149" s="25">
        <f t="shared" si="20"/>
        <v>0.23781388478581966</v>
      </c>
      <c r="AD149" s="24">
        <v>3</v>
      </c>
    </row>
    <row r="150" spans="1:30" x14ac:dyDescent="0.25">
      <c r="A150" s="24">
        <v>149</v>
      </c>
      <c r="B150" s="24">
        <v>12.7</v>
      </c>
      <c r="C150" s="24">
        <v>13.71</v>
      </c>
      <c r="D150" s="24">
        <v>0.84909999999999997</v>
      </c>
      <c r="E150" s="24">
        <v>5.3860000000000001</v>
      </c>
      <c r="F150" s="24">
        <v>2.911</v>
      </c>
      <c r="G150" s="24">
        <v>3.26</v>
      </c>
      <c r="H150" s="24">
        <v>5.3159999999999998</v>
      </c>
      <c r="I150" s="24">
        <v>3</v>
      </c>
      <c r="V150" s="24">
        <v>149</v>
      </c>
      <c r="W150" s="25">
        <f t="shared" si="14"/>
        <v>0.19924457034938617</v>
      </c>
      <c r="X150" s="25">
        <f t="shared" si="15"/>
        <v>0.26859504132231421</v>
      </c>
      <c r="Y150" s="25">
        <f t="shared" si="16"/>
        <v>0.37205081669691414</v>
      </c>
      <c r="Z150" s="25">
        <f t="shared" si="17"/>
        <v>0.27421171171171183</v>
      </c>
      <c r="AA150" s="25">
        <f t="shared" si="18"/>
        <v>0.20028510334996438</v>
      </c>
      <c r="AB150" s="25">
        <f t="shared" si="19"/>
        <v>0.32439636453470988</v>
      </c>
      <c r="AC150" s="25">
        <f t="shared" si="20"/>
        <v>0.39241752831117666</v>
      </c>
      <c r="AD150" s="24">
        <v>3</v>
      </c>
    </row>
    <row r="151" spans="1:30" x14ac:dyDescent="0.25">
      <c r="A151" s="24">
        <v>150</v>
      </c>
      <c r="B151" s="24">
        <v>10.79</v>
      </c>
      <c r="C151" s="24">
        <v>12.93</v>
      </c>
      <c r="D151" s="24">
        <v>0.81069999999999998</v>
      </c>
      <c r="E151" s="24">
        <v>5.3170000000000002</v>
      </c>
      <c r="F151" s="24">
        <v>2.6480000000000001</v>
      </c>
      <c r="G151" s="24">
        <v>5.4619999999999997</v>
      </c>
      <c r="H151" s="24">
        <v>5.194</v>
      </c>
      <c r="I151" s="24">
        <v>3</v>
      </c>
      <c r="V151" s="24">
        <v>150</v>
      </c>
      <c r="W151" s="25">
        <f t="shared" si="14"/>
        <v>1.8885741265344598E-2</v>
      </c>
      <c r="X151" s="25">
        <f t="shared" si="15"/>
        <v>0.10743801652892554</v>
      </c>
      <c r="Y151" s="25">
        <f t="shared" si="16"/>
        <v>2.3593466424681821E-2</v>
      </c>
      <c r="Z151" s="25">
        <f t="shared" si="17"/>
        <v>0.23536036036036048</v>
      </c>
      <c r="AA151" s="25">
        <f t="shared" si="18"/>
        <v>1.2829650748396459E-2</v>
      </c>
      <c r="AB151" s="25">
        <f t="shared" si="19"/>
        <v>0.61070875970302563</v>
      </c>
      <c r="AC151" s="25">
        <f t="shared" si="20"/>
        <v>0.33234859675036926</v>
      </c>
      <c r="AD151" s="24">
        <v>3</v>
      </c>
    </row>
    <row r="152" spans="1:30" x14ac:dyDescent="0.25">
      <c r="A152" s="24">
        <v>151</v>
      </c>
      <c r="B152" s="24">
        <v>11.83</v>
      </c>
      <c r="C152" s="24">
        <v>13.23</v>
      </c>
      <c r="D152" s="24">
        <v>0.84960000000000002</v>
      </c>
      <c r="E152" s="24">
        <v>5.2629999999999999</v>
      </c>
      <c r="F152" s="24">
        <v>2.84</v>
      </c>
      <c r="G152" s="24">
        <v>5.1950000000000003</v>
      </c>
      <c r="H152" s="24">
        <v>5.3070000000000004</v>
      </c>
      <c r="I152" s="24">
        <v>3</v>
      </c>
      <c r="V152" s="24">
        <v>151</v>
      </c>
      <c r="W152" s="25">
        <f t="shared" si="14"/>
        <v>0.11709159584513694</v>
      </c>
      <c r="X152" s="25">
        <f t="shared" si="15"/>
        <v>0.16942148760330586</v>
      </c>
      <c r="Y152" s="25">
        <f t="shared" si="16"/>
        <v>0.37658802177858436</v>
      </c>
      <c r="Z152" s="25">
        <f t="shared" si="17"/>
        <v>0.20495495495495492</v>
      </c>
      <c r="AA152" s="25">
        <f t="shared" si="18"/>
        <v>0.14967925873129001</v>
      </c>
      <c r="AB152" s="25">
        <f t="shared" si="19"/>
        <v>0.57599240661040974</v>
      </c>
      <c r="AC152" s="25">
        <f t="shared" si="20"/>
        <v>0.3879862136878387</v>
      </c>
      <c r="AD152" s="24">
        <v>3</v>
      </c>
    </row>
    <row r="153" spans="1:30" x14ac:dyDescent="0.25">
      <c r="A153" s="24">
        <v>152</v>
      </c>
      <c r="B153" s="24">
        <v>12.01</v>
      </c>
      <c r="C153" s="24">
        <v>13.52</v>
      </c>
      <c r="D153" s="24">
        <v>0.82489999999999997</v>
      </c>
      <c r="E153" s="24">
        <v>5.4050000000000002</v>
      </c>
      <c r="F153" s="24">
        <v>2.7759999999999998</v>
      </c>
      <c r="G153" s="24">
        <v>6.992</v>
      </c>
      <c r="H153" s="24">
        <v>5.27</v>
      </c>
      <c r="I153" s="24">
        <v>3</v>
      </c>
      <c r="V153" s="24">
        <v>152</v>
      </c>
      <c r="W153" s="25">
        <f t="shared" si="14"/>
        <v>0.13408876298394712</v>
      </c>
      <c r="X153" s="25">
        <f t="shared" si="15"/>
        <v>0.22933884297520651</v>
      </c>
      <c r="Y153" s="25">
        <f t="shared" si="16"/>
        <v>0.15245009074410101</v>
      </c>
      <c r="Z153" s="25">
        <f t="shared" si="17"/>
        <v>0.28490990990991005</v>
      </c>
      <c r="AA153" s="25">
        <f t="shared" si="18"/>
        <v>0.10406272273699206</v>
      </c>
      <c r="AB153" s="25">
        <f t="shared" si="19"/>
        <v>0.80964516506520701</v>
      </c>
      <c r="AC153" s="25">
        <f t="shared" si="20"/>
        <v>0.36976858690300324</v>
      </c>
      <c r="AD153" s="24">
        <v>3</v>
      </c>
    </row>
    <row r="154" spans="1:30" x14ac:dyDescent="0.25">
      <c r="A154" s="24">
        <v>153</v>
      </c>
      <c r="B154" s="24">
        <v>12.26</v>
      </c>
      <c r="C154" s="24">
        <v>13.6</v>
      </c>
      <c r="D154" s="24">
        <v>0.83330000000000004</v>
      </c>
      <c r="E154" s="24">
        <v>5.4080000000000004</v>
      </c>
      <c r="F154" s="24">
        <v>2.8330000000000002</v>
      </c>
      <c r="G154" s="24">
        <v>4.7560000000000002</v>
      </c>
      <c r="H154" s="24">
        <v>5.36</v>
      </c>
      <c r="I154" s="24">
        <v>3</v>
      </c>
      <c r="V154" s="24">
        <v>153</v>
      </c>
      <c r="W154" s="25">
        <f t="shared" si="14"/>
        <v>0.15769593956562794</v>
      </c>
      <c r="X154" s="25">
        <f t="shared" si="15"/>
        <v>0.24586776859504123</v>
      </c>
      <c r="Y154" s="25">
        <f t="shared" si="16"/>
        <v>0.22867513611615253</v>
      </c>
      <c r="Z154" s="25">
        <f t="shared" si="17"/>
        <v>0.28659909909909931</v>
      </c>
      <c r="AA154" s="25">
        <f t="shared" si="18"/>
        <v>0.14468995010691391</v>
      </c>
      <c r="AB154" s="25">
        <f t="shared" si="19"/>
        <v>0.51891196088884273</v>
      </c>
      <c r="AC154" s="25">
        <f t="shared" si="20"/>
        <v>0.41408173313638619</v>
      </c>
      <c r="AD154" s="24">
        <v>3</v>
      </c>
    </row>
    <row r="155" spans="1:30" x14ac:dyDescent="0.25">
      <c r="A155" s="24">
        <v>154</v>
      </c>
      <c r="B155" s="24">
        <v>11.18</v>
      </c>
      <c r="C155" s="24">
        <v>13.04</v>
      </c>
      <c r="D155" s="24">
        <v>0.8266</v>
      </c>
      <c r="E155" s="24">
        <v>5.22</v>
      </c>
      <c r="F155" s="24">
        <v>2.6930000000000001</v>
      </c>
      <c r="G155" s="24">
        <v>3.3319999999999999</v>
      </c>
      <c r="H155" s="24">
        <v>5.0010000000000003</v>
      </c>
      <c r="I155" s="24">
        <v>3</v>
      </c>
      <c r="V155" s="24">
        <v>154</v>
      </c>
      <c r="W155" s="25">
        <f t="shared" si="14"/>
        <v>5.5712936732766748E-2</v>
      </c>
      <c r="X155" s="25">
        <f t="shared" si="15"/>
        <v>0.13016528925619814</v>
      </c>
      <c r="Y155" s="25">
        <f t="shared" si="16"/>
        <v>0.16787658802177829</v>
      </c>
      <c r="Z155" s="25">
        <f t="shared" si="17"/>
        <v>0.18074324324324312</v>
      </c>
      <c r="AA155" s="25">
        <f t="shared" si="18"/>
        <v>4.4903777619387131E-2</v>
      </c>
      <c r="AB155" s="25">
        <f t="shared" si="19"/>
        <v>0.3337580777282243</v>
      </c>
      <c r="AC155" s="25">
        <f t="shared" si="20"/>
        <v>0.23732151649433791</v>
      </c>
      <c r="AD155" s="24">
        <v>3</v>
      </c>
    </row>
    <row r="156" spans="1:30" x14ac:dyDescent="0.25">
      <c r="A156" s="24">
        <v>155</v>
      </c>
      <c r="B156" s="24">
        <v>11.36</v>
      </c>
      <c r="C156" s="24">
        <v>13.05</v>
      </c>
      <c r="D156" s="24">
        <v>0.83819999999999995</v>
      </c>
      <c r="E156" s="24">
        <v>5.1749999999999998</v>
      </c>
      <c r="F156" s="24">
        <v>2.7549999999999999</v>
      </c>
      <c r="G156" s="24">
        <v>4.048</v>
      </c>
      <c r="H156" s="24">
        <v>5.2629999999999999</v>
      </c>
      <c r="I156" s="24">
        <v>3</v>
      </c>
      <c r="V156" s="24">
        <v>155</v>
      </c>
      <c r="W156" s="25">
        <f t="shared" si="14"/>
        <v>7.271010387157692E-2</v>
      </c>
      <c r="X156" s="25">
        <f t="shared" si="15"/>
        <v>0.1322314049586778</v>
      </c>
      <c r="Y156" s="25">
        <f t="shared" si="16"/>
        <v>0.27313974591651463</v>
      </c>
      <c r="Z156" s="25">
        <f t="shared" si="17"/>
        <v>0.15540540540540532</v>
      </c>
      <c r="AA156" s="25">
        <f t="shared" si="18"/>
        <v>8.9094796863863124E-2</v>
      </c>
      <c r="AB156" s="25">
        <f t="shared" si="19"/>
        <v>0.42685511448595098</v>
      </c>
      <c r="AC156" s="25">
        <f t="shared" si="20"/>
        <v>0.36632200886262917</v>
      </c>
      <c r="AD156" s="24">
        <v>3</v>
      </c>
    </row>
    <row r="157" spans="1:30" x14ac:dyDescent="0.25">
      <c r="A157" s="24">
        <v>156</v>
      </c>
      <c r="B157" s="24">
        <v>11.19</v>
      </c>
      <c r="C157" s="24">
        <v>13.05</v>
      </c>
      <c r="D157" s="24">
        <v>0.82530000000000003</v>
      </c>
      <c r="E157" s="24">
        <v>5.25</v>
      </c>
      <c r="F157" s="24">
        <v>2.6749999999999998</v>
      </c>
      <c r="G157" s="24">
        <v>5.8129999999999997</v>
      </c>
      <c r="H157" s="24">
        <v>5.2190000000000003</v>
      </c>
      <c r="I157" s="24">
        <v>3</v>
      </c>
      <c r="V157" s="24">
        <v>156</v>
      </c>
      <c r="W157" s="25">
        <f t="shared" si="14"/>
        <v>5.6657223796033961E-2</v>
      </c>
      <c r="X157" s="25">
        <f t="shared" si="15"/>
        <v>0.1322314049586778</v>
      </c>
      <c r="Y157" s="25">
        <f t="shared" si="16"/>
        <v>0.15607985480943737</v>
      </c>
      <c r="Z157" s="25">
        <f t="shared" si="17"/>
        <v>0.19763513513513514</v>
      </c>
      <c r="AA157" s="25">
        <f t="shared" si="18"/>
        <v>3.207412687099067E-2</v>
      </c>
      <c r="AB157" s="25">
        <f t="shared" si="19"/>
        <v>0.65634711152140846</v>
      </c>
      <c r="AC157" s="25">
        <f t="shared" si="20"/>
        <v>0.34465780403742013</v>
      </c>
      <c r="AD157" s="24">
        <v>3</v>
      </c>
    </row>
    <row r="158" spans="1:30" x14ac:dyDescent="0.25">
      <c r="A158" s="24">
        <v>157</v>
      </c>
      <c r="B158" s="24">
        <v>11.34</v>
      </c>
      <c r="C158" s="24">
        <v>12.87</v>
      </c>
      <c r="D158" s="24">
        <v>0.85960000000000003</v>
      </c>
      <c r="E158" s="24">
        <v>5.0529999999999999</v>
      </c>
      <c r="F158" s="24">
        <v>2.8490000000000002</v>
      </c>
      <c r="G158" s="24">
        <v>3.347</v>
      </c>
      <c r="H158" s="24">
        <v>5.0030000000000001</v>
      </c>
      <c r="I158" s="24">
        <v>3</v>
      </c>
      <c r="V158" s="24">
        <v>157</v>
      </c>
      <c r="W158" s="25">
        <f t="shared" si="14"/>
        <v>7.0821529745042494E-2</v>
      </c>
      <c r="X158" s="25">
        <f t="shared" si="15"/>
        <v>9.5041322314049395E-2</v>
      </c>
      <c r="Y158" s="25">
        <f t="shared" si="16"/>
        <v>0.46733212341197827</v>
      </c>
      <c r="Z158" s="25">
        <f t="shared" si="17"/>
        <v>8.6711711711711673E-2</v>
      </c>
      <c r="AA158" s="25">
        <f t="shared" si="18"/>
        <v>0.15609408410548842</v>
      </c>
      <c r="AB158" s="25">
        <f t="shared" si="19"/>
        <v>0.33570843464353983</v>
      </c>
      <c r="AC158" s="25">
        <f t="shared" si="20"/>
        <v>0.23830625307730186</v>
      </c>
      <c r="AD158" s="24">
        <v>3</v>
      </c>
    </row>
    <row r="159" spans="1:30" x14ac:dyDescent="0.25">
      <c r="A159" s="24">
        <v>158</v>
      </c>
      <c r="B159" s="24">
        <v>12.13</v>
      </c>
      <c r="C159" s="24">
        <v>13.73</v>
      </c>
      <c r="D159" s="24">
        <v>0.80810000000000004</v>
      </c>
      <c r="E159" s="24">
        <v>5.3940000000000001</v>
      </c>
      <c r="F159" s="24">
        <v>2.7450000000000001</v>
      </c>
      <c r="G159" s="24">
        <v>4.8250000000000002</v>
      </c>
      <c r="H159" s="24">
        <v>5.22</v>
      </c>
      <c r="I159" s="24">
        <v>3</v>
      </c>
      <c r="V159" s="24">
        <v>158</v>
      </c>
      <c r="W159" s="25">
        <f t="shared" si="14"/>
        <v>0.14542020774315401</v>
      </c>
      <c r="X159" s="25">
        <f t="shared" si="15"/>
        <v>0.27272727272727282</v>
      </c>
      <c r="Y159" s="25">
        <f t="shared" si="16"/>
        <v>0</v>
      </c>
      <c r="Z159" s="25">
        <f t="shared" si="17"/>
        <v>0.27871621621621628</v>
      </c>
      <c r="AA159" s="25">
        <f t="shared" si="18"/>
        <v>8.1967213114754217E-2</v>
      </c>
      <c r="AB159" s="25">
        <f t="shared" si="19"/>
        <v>0.52788360269929402</v>
      </c>
      <c r="AC159" s="25">
        <f t="shared" si="20"/>
        <v>0.34515017232890188</v>
      </c>
      <c r="AD159" s="24">
        <v>3</v>
      </c>
    </row>
    <row r="160" spans="1:30" x14ac:dyDescent="0.25">
      <c r="A160" s="24">
        <v>159</v>
      </c>
      <c r="B160" s="24">
        <v>11.75</v>
      </c>
      <c r="C160" s="24">
        <v>13.52</v>
      </c>
      <c r="D160" s="24">
        <v>0.80820000000000003</v>
      </c>
      <c r="E160" s="24">
        <v>5.444</v>
      </c>
      <c r="F160" s="24">
        <v>2.6779999999999999</v>
      </c>
      <c r="G160" s="24">
        <v>4.3780000000000001</v>
      </c>
      <c r="H160" s="24">
        <v>5.31</v>
      </c>
      <c r="I160" s="24">
        <v>3</v>
      </c>
      <c r="V160" s="24">
        <v>159</v>
      </c>
      <c r="W160" s="25">
        <f t="shared" si="14"/>
        <v>0.10953729933899907</v>
      </c>
      <c r="X160" s="25">
        <f t="shared" si="15"/>
        <v>0.22933884297520651</v>
      </c>
      <c r="Y160" s="25">
        <f t="shared" si="16"/>
        <v>9.0744101633383862E-4</v>
      </c>
      <c r="Z160" s="25">
        <f t="shared" si="17"/>
        <v>0.30686936936936937</v>
      </c>
      <c r="AA160" s="25">
        <f t="shared" si="18"/>
        <v>3.4212401995723465E-2</v>
      </c>
      <c r="AB160" s="25">
        <f t="shared" si="19"/>
        <v>0.46976296662289208</v>
      </c>
      <c r="AC160" s="25">
        <f t="shared" si="20"/>
        <v>0.38946331856228439</v>
      </c>
      <c r="AD160" s="24">
        <v>3</v>
      </c>
    </row>
    <row r="161" spans="1:30" x14ac:dyDescent="0.25">
      <c r="A161" s="24">
        <v>160</v>
      </c>
      <c r="B161" s="24">
        <v>11.49</v>
      </c>
      <c r="C161" s="24">
        <v>13.22</v>
      </c>
      <c r="D161" s="24">
        <v>0.82630000000000003</v>
      </c>
      <c r="E161" s="24">
        <v>5.3040000000000003</v>
      </c>
      <c r="F161" s="24">
        <v>2.6949999999999998</v>
      </c>
      <c r="G161" s="24">
        <v>5.3879999999999999</v>
      </c>
      <c r="H161" s="24">
        <v>5.31</v>
      </c>
      <c r="I161" s="24">
        <v>3</v>
      </c>
      <c r="V161" s="24">
        <v>160</v>
      </c>
      <c r="W161" s="25">
        <f t="shared" si="14"/>
        <v>8.4985835694051021E-2</v>
      </c>
      <c r="X161" s="25">
        <f t="shared" si="15"/>
        <v>0.16735537190082656</v>
      </c>
      <c r="Y161" s="25">
        <f t="shared" si="16"/>
        <v>0.16515426497277677</v>
      </c>
      <c r="Z161" s="25">
        <f t="shared" si="17"/>
        <v>0.22804054054054071</v>
      </c>
      <c r="AA161" s="25">
        <f t="shared" si="18"/>
        <v>4.6329294369208782E-2</v>
      </c>
      <c r="AB161" s="25">
        <f t="shared" si="19"/>
        <v>0.60108699892080253</v>
      </c>
      <c r="AC161" s="25">
        <f t="shared" si="20"/>
        <v>0.38946331856228439</v>
      </c>
      <c r="AD161" s="24">
        <v>3</v>
      </c>
    </row>
    <row r="162" spans="1:30" x14ac:dyDescent="0.25">
      <c r="A162" s="24">
        <v>161</v>
      </c>
      <c r="B162" s="24">
        <v>12.54</v>
      </c>
      <c r="C162" s="24">
        <v>13.67</v>
      </c>
      <c r="D162" s="24">
        <v>0.84250000000000003</v>
      </c>
      <c r="E162" s="24">
        <v>5.4509999999999996</v>
      </c>
      <c r="F162" s="24">
        <v>2.879</v>
      </c>
      <c r="G162" s="24">
        <v>3.0819999999999999</v>
      </c>
      <c r="H162" s="24">
        <v>5.4909999999999997</v>
      </c>
      <c r="I162" s="24">
        <v>3</v>
      </c>
      <c r="V162" s="24">
        <v>161</v>
      </c>
      <c r="W162" s="25">
        <f t="shared" si="14"/>
        <v>0.18413597733711043</v>
      </c>
      <c r="X162" s="25">
        <f t="shared" si="15"/>
        <v>0.26033057851239666</v>
      </c>
      <c r="Y162" s="25">
        <f t="shared" si="16"/>
        <v>0.31215970961887474</v>
      </c>
      <c r="Z162" s="25">
        <f t="shared" si="17"/>
        <v>0.31081081081081063</v>
      </c>
      <c r="AA162" s="25">
        <f t="shared" si="18"/>
        <v>0.17747683535281542</v>
      </c>
      <c r="AB162" s="25">
        <f t="shared" si="19"/>
        <v>0.30125212913963256</v>
      </c>
      <c r="AC162" s="25">
        <f t="shared" si="20"/>
        <v>0.47858197932053159</v>
      </c>
      <c r="AD162" s="24">
        <v>3</v>
      </c>
    </row>
    <row r="163" spans="1:30" x14ac:dyDescent="0.25">
      <c r="A163" s="24">
        <v>162</v>
      </c>
      <c r="B163" s="24">
        <v>12.02</v>
      </c>
      <c r="C163" s="24">
        <v>13.33</v>
      </c>
      <c r="D163" s="24">
        <v>0.85029999999999994</v>
      </c>
      <c r="E163" s="24">
        <v>5.35</v>
      </c>
      <c r="F163" s="24">
        <v>2.81</v>
      </c>
      <c r="G163" s="24">
        <v>4.2709999999999999</v>
      </c>
      <c r="H163" s="24">
        <v>5.3079999999999998</v>
      </c>
      <c r="I163" s="24">
        <v>3</v>
      </c>
      <c r="V163" s="24">
        <v>162</v>
      </c>
      <c r="W163" s="25">
        <f t="shared" si="14"/>
        <v>0.13503305004721433</v>
      </c>
      <c r="X163" s="25">
        <f t="shared" si="15"/>
        <v>0.19008264462809915</v>
      </c>
      <c r="Y163" s="25">
        <f t="shared" si="16"/>
        <v>0.38294010889292124</v>
      </c>
      <c r="Z163" s="25">
        <f t="shared" si="17"/>
        <v>0.25394144144144126</v>
      </c>
      <c r="AA163" s="25">
        <f t="shared" si="18"/>
        <v>0.12829650748396301</v>
      </c>
      <c r="AB163" s="25">
        <f t="shared" si="19"/>
        <v>0.45585042062697478</v>
      </c>
      <c r="AC163" s="25">
        <f t="shared" si="20"/>
        <v>0.38847858197932045</v>
      </c>
      <c r="AD163" s="24">
        <v>3</v>
      </c>
    </row>
    <row r="164" spans="1:30" x14ac:dyDescent="0.25">
      <c r="A164" s="24">
        <v>163</v>
      </c>
      <c r="B164" s="24">
        <v>12.05</v>
      </c>
      <c r="C164" s="24">
        <v>13.41</v>
      </c>
      <c r="D164" s="24">
        <v>0.84160000000000001</v>
      </c>
      <c r="E164" s="24">
        <v>5.2670000000000003</v>
      </c>
      <c r="F164" s="24">
        <v>2.847</v>
      </c>
      <c r="G164" s="24">
        <v>4.9880000000000004</v>
      </c>
      <c r="H164" s="24">
        <v>5.0460000000000003</v>
      </c>
      <c r="I164" s="24">
        <v>3</v>
      </c>
      <c r="V164" s="24">
        <v>163</v>
      </c>
      <c r="W164" s="25">
        <f t="shared" si="14"/>
        <v>0.13786591123701614</v>
      </c>
      <c r="X164" s="25">
        <f t="shared" si="15"/>
        <v>0.20661157024793389</v>
      </c>
      <c r="Y164" s="25">
        <f t="shared" si="16"/>
        <v>0.30399274047186919</v>
      </c>
      <c r="Z164" s="25">
        <f t="shared" si="17"/>
        <v>0.20720720720720742</v>
      </c>
      <c r="AA164" s="25">
        <f t="shared" si="18"/>
        <v>0.15466856735566645</v>
      </c>
      <c r="AB164" s="25">
        <f t="shared" si="19"/>
        <v>0.54907748117905586</v>
      </c>
      <c r="AC164" s="25">
        <f t="shared" si="20"/>
        <v>0.25947808961102914</v>
      </c>
      <c r="AD164" s="24">
        <v>3</v>
      </c>
    </row>
    <row r="165" spans="1:30" x14ac:dyDescent="0.25">
      <c r="A165" s="24">
        <v>164</v>
      </c>
      <c r="B165" s="24">
        <v>12.55</v>
      </c>
      <c r="C165" s="24">
        <v>13.57</v>
      </c>
      <c r="D165" s="24">
        <v>0.85580000000000001</v>
      </c>
      <c r="E165" s="24">
        <v>5.3330000000000002</v>
      </c>
      <c r="F165" s="24">
        <v>2.968</v>
      </c>
      <c r="G165" s="24">
        <v>4.4189999999999996</v>
      </c>
      <c r="H165" s="24">
        <v>5.1760000000000002</v>
      </c>
      <c r="I165" s="24">
        <v>3</v>
      </c>
      <c r="V165" s="24">
        <v>164</v>
      </c>
      <c r="W165" s="25">
        <f t="shared" si="14"/>
        <v>0.18508026440037781</v>
      </c>
      <c r="X165" s="25">
        <f t="shared" si="15"/>
        <v>0.23966942148760334</v>
      </c>
      <c r="Y165" s="25">
        <f t="shared" si="16"/>
        <v>0.43284936479128838</v>
      </c>
      <c r="Z165" s="25">
        <f t="shared" si="17"/>
        <v>0.24436936936936948</v>
      </c>
      <c r="AA165" s="25">
        <f t="shared" si="18"/>
        <v>0.24091233071988594</v>
      </c>
      <c r="AB165" s="25">
        <f t="shared" si="19"/>
        <v>0.47509394219142104</v>
      </c>
      <c r="AC165" s="25">
        <f t="shared" si="20"/>
        <v>0.32348596750369285</v>
      </c>
      <c r="AD165" s="24">
        <v>3</v>
      </c>
    </row>
    <row r="166" spans="1:30" x14ac:dyDescent="0.25">
      <c r="A166" s="24">
        <v>165</v>
      </c>
      <c r="B166" s="24">
        <v>11.14</v>
      </c>
      <c r="C166" s="24">
        <v>12.79</v>
      </c>
      <c r="D166" s="24">
        <v>0.85580000000000001</v>
      </c>
      <c r="E166" s="24">
        <v>5.0110000000000001</v>
      </c>
      <c r="F166" s="24">
        <v>2.794</v>
      </c>
      <c r="G166" s="24">
        <v>6.3879999999999999</v>
      </c>
      <c r="H166" s="24">
        <v>5.0490000000000004</v>
      </c>
      <c r="I166" s="24">
        <v>3</v>
      </c>
      <c r="V166" s="24">
        <v>165</v>
      </c>
      <c r="W166" s="25">
        <f t="shared" si="14"/>
        <v>5.1935788479697896E-2</v>
      </c>
      <c r="X166" s="25">
        <f t="shared" si="15"/>
        <v>7.851239669421467E-2</v>
      </c>
      <c r="Y166" s="25">
        <f t="shared" si="16"/>
        <v>0.43284936479128838</v>
      </c>
      <c r="Z166" s="25">
        <f t="shared" si="17"/>
        <v>6.3063063063063127E-2</v>
      </c>
      <c r="AA166" s="25">
        <f t="shared" si="18"/>
        <v>0.11689237348538851</v>
      </c>
      <c r="AB166" s="25">
        <f t="shared" si="19"/>
        <v>0.73111079327516937</v>
      </c>
      <c r="AC166" s="25">
        <f t="shared" si="20"/>
        <v>0.26095519448547527</v>
      </c>
      <c r="AD166" s="24">
        <v>3</v>
      </c>
    </row>
    <row r="167" spans="1:30" x14ac:dyDescent="0.25">
      <c r="A167" s="24">
        <v>166</v>
      </c>
      <c r="B167" s="24">
        <v>12.1</v>
      </c>
      <c r="C167" s="24">
        <v>13.15</v>
      </c>
      <c r="D167" s="24">
        <v>0.87929999999999997</v>
      </c>
      <c r="E167" s="24">
        <v>5.1050000000000004</v>
      </c>
      <c r="F167" s="24">
        <v>2.9409999999999998</v>
      </c>
      <c r="G167" s="24">
        <v>2.2010000000000001</v>
      </c>
      <c r="H167" s="24">
        <v>5.056</v>
      </c>
      <c r="I167" s="24">
        <v>3</v>
      </c>
      <c r="V167" s="24">
        <v>166</v>
      </c>
      <c r="W167" s="25">
        <f t="shared" si="14"/>
        <v>0.1425873465533522</v>
      </c>
      <c r="X167" s="25">
        <f t="shared" si="15"/>
        <v>0.15289256198347112</v>
      </c>
      <c r="Y167" s="25">
        <f t="shared" si="16"/>
        <v>0.64609800362976366</v>
      </c>
      <c r="Z167" s="25">
        <f t="shared" si="17"/>
        <v>0.11599099099099124</v>
      </c>
      <c r="AA167" s="25">
        <f t="shared" si="18"/>
        <v>0.22166785459729141</v>
      </c>
      <c r="AB167" s="25">
        <f t="shared" si="19"/>
        <v>0.18670116631343539</v>
      </c>
      <c r="AC167" s="25">
        <f t="shared" si="20"/>
        <v>0.26440177252584934</v>
      </c>
      <c r="AD167" s="24">
        <v>3</v>
      </c>
    </row>
    <row r="168" spans="1:30" x14ac:dyDescent="0.25">
      <c r="A168" s="24">
        <v>167</v>
      </c>
      <c r="B168" s="24">
        <v>12.44</v>
      </c>
      <c r="C168" s="24">
        <v>13.59</v>
      </c>
      <c r="D168" s="24">
        <v>0.84619999999999995</v>
      </c>
      <c r="E168" s="24">
        <v>5.319</v>
      </c>
      <c r="F168" s="24">
        <v>2.8969999999999998</v>
      </c>
      <c r="G168" s="24">
        <v>4.9240000000000004</v>
      </c>
      <c r="H168" s="24">
        <v>5.27</v>
      </c>
      <c r="I168" s="24">
        <v>3</v>
      </c>
      <c r="V168" s="24">
        <v>167</v>
      </c>
      <c r="W168" s="25">
        <f t="shared" si="14"/>
        <v>0.17469310670443811</v>
      </c>
      <c r="X168" s="25">
        <f t="shared" si="15"/>
        <v>0.24380165289256192</v>
      </c>
      <c r="Y168" s="25">
        <f t="shared" si="16"/>
        <v>0.3457350272232298</v>
      </c>
      <c r="Z168" s="25">
        <f t="shared" si="17"/>
        <v>0.23648648648648649</v>
      </c>
      <c r="AA168" s="25">
        <f t="shared" si="18"/>
        <v>0.19030648610121156</v>
      </c>
      <c r="AB168" s="25">
        <f t="shared" si="19"/>
        <v>0.54075595834037637</v>
      </c>
      <c r="AC168" s="25">
        <f t="shared" si="20"/>
        <v>0.36976858690300324</v>
      </c>
      <c r="AD168" s="24">
        <v>3</v>
      </c>
    </row>
    <row r="169" spans="1:30" x14ac:dyDescent="0.25">
      <c r="A169" s="24">
        <v>168</v>
      </c>
      <c r="B169" s="24">
        <v>12.15</v>
      </c>
      <c r="C169" s="24">
        <v>13.45</v>
      </c>
      <c r="D169" s="24">
        <v>0.84430000000000005</v>
      </c>
      <c r="E169" s="24">
        <v>5.4169999999999998</v>
      </c>
      <c r="F169" s="24">
        <v>2.8370000000000002</v>
      </c>
      <c r="G169" s="24">
        <v>3.6379999999999999</v>
      </c>
      <c r="H169" s="24">
        <v>5.3380000000000001</v>
      </c>
      <c r="I169" s="24">
        <v>3</v>
      </c>
      <c r="V169" s="24">
        <v>168</v>
      </c>
      <c r="W169" s="25">
        <f t="shared" si="14"/>
        <v>0.14730878186968843</v>
      </c>
      <c r="X169" s="25">
        <f t="shared" si="15"/>
        <v>0.21487603305785108</v>
      </c>
      <c r="Y169" s="25">
        <f t="shared" si="16"/>
        <v>0.32849364791288588</v>
      </c>
      <c r="Z169" s="25">
        <f t="shared" si="17"/>
        <v>0.29166666666666657</v>
      </c>
      <c r="AA169" s="25">
        <f t="shared" si="18"/>
        <v>0.14754098360655754</v>
      </c>
      <c r="AB169" s="25">
        <f t="shared" si="19"/>
        <v>0.37354535880066059</v>
      </c>
      <c r="AC169" s="25">
        <f t="shared" si="20"/>
        <v>0.40324963072378145</v>
      </c>
      <c r="AD169" s="24">
        <v>3</v>
      </c>
    </row>
    <row r="170" spans="1:30" x14ac:dyDescent="0.25">
      <c r="A170" s="24">
        <v>169</v>
      </c>
      <c r="B170" s="24">
        <v>11.35</v>
      </c>
      <c r="C170" s="24">
        <v>13.12</v>
      </c>
      <c r="D170" s="24">
        <v>0.82909999999999995</v>
      </c>
      <c r="E170" s="24">
        <v>5.1760000000000002</v>
      </c>
      <c r="F170" s="24">
        <v>2.6680000000000001</v>
      </c>
      <c r="G170" s="24">
        <v>4.3369999999999997</v>
      </c>
      <c r="H170" s="24">
        <v>5.1319999999999997</v>
      </c>
      <c r="I170" s="24">
        <v>3</v>
      </c>
      <c r="V170" s="24">
        <v>169</v>
      </c>
      <c r="W170" s="25">
        <f t="shared" si="14"/>
        <v>7.1765816808309707E-2</v>
      </c>
      <c r="X170" s="25">
        <f t="shared" si="15"/>
        <v>0.14669421487603287</v>
      </c>
      <c r="Y170" s="25">
        <f t="shared" si="16"/>
        <v>0.19056261343012626</v>
      </c>
      <c r="Z170" s="25">
        <f t="shared" si="17"/>
        <v>0.15596846846846857</v>
      </c>
      <c r="AA170" s="25">
        <f t="shared" si="18"/>
        <v>2.7084818246614573E-2</v>
      </c>
      <c r="AB170" s="25">
        <f t="shared" si="19"/>
        <v>0.464431991054363</v>
      </c>
      <c r="AC170" s="25">
        <f t="shared" si="20"/>
        <v>0.30182176267848332</v>
      </c>
      <c r="AD170" s="24">
        <v>3</v>
      </c>
    </row>
    <row r="171" spans="1:30" x14ac:dyDescent="0.25">
      <c r="A171" s="24">
        <v>170</v>
      </c>
      <c r="B171" s="24">
        <v>11.24</v>
      </c>
      <c r="C171" s="24">
        <v>13</v>
      </c>
      <c r="D171" s="24">
        <v>0.83589999999999998</v>
      </c>
      <c r="E171" s="24">
        <v>5.09</v>
      </c>
      <c r="F171" s="24">
        <v>2.7149999999999999</v>
      </c>
      <c r="G171" s="24">
        <v>3.5209999999999999</v>
      </c>
      <c r="H171" s="24">
        <v>5.0880000000000001</v>
      </c>
      <c r="I171" s="24">
        <v>3</v>
      </c>
      <c r="V171" s="24">
        <v>170</v>
      </c>
      <c r="W171" s="25">
        <f t="shared" si="14"/>
        <v>6.1378659112370192E-2</v>
      </c>
      <c r="X171" s="25">
        <f t="shared" si="15"/>
        <v>0.12190082644628096</v>
      </c>
      <c r="Y171" s="25">
        <f t="shared" si="16"/>
        <v>0.25226860254083433</v>
      </c>
      <c r="Z171" s="25">
        <f t="shared" si="17"/>
        <v>0.10754504504504496</v>
      </c>
      <c r="AA171" s="25">
        <f t="shared" si="18"/>
        <v>6.0584461867426893E-2</v>
      </c>
      <c r="AB171" s="25">
        <f t="shared" si="19"/>
        <v>0.35833257486119963</v>
      </c>
      <c r="AC171" s="25">
        <f t="shared" si="20"/>
        <v>0.28015755785327429</v>
      </c>
      <c r="AD171" s="24">
        <v>3</v>
      </c>
    </row>
    <row r="172" spans="1:30" x14ac:dyDescent="0.25">
      <c r="A172" s="24">
        <v>171</v>
      </c>
      <c r="B172" s="24">
        <v>11.02</v>
      </c>
      <c r="C172" s="24">
        <v>13</v>
      </c>
      <c r="D172" s="24">
        <v>0.81889999999999996</v>
      </c>
      <c r="E172" s="24">
        <v>5.3250000000000002</v>
      </c>
      <c r="F172" s="24">
        <v>2.7010000000000001</v>
      </c>
      <c r="G172" s="24">
        <v>6.7350000000000003</v>
      </c>
      <c r="H172" s="24">
        <v>5.1630000000000003</v>
      </c>
      <c r="I172" s="24">
        <v>3</v>
      </c>
      <c r="V172" s="24">
        <v>171</v>
      </c>
      <c r="W172" s="25">
        <f t="shared" si="14"/>
        <v>4.0604343720491001E-2</v>
      </c>
      <c r="X172" s="25">
        <f t="shared" si="15"/>
        <v>0.12190082644628096</v>
      </c>
      <c r="Y172" s="25">
        <f t="shared" si="16"/>
        <v>9.8003629764064654E-2</v>
      </c>
      <c r="Z172" s="25">
        <f t="shared" si="17"/>
        <v>0.23986486486486497</v>
      </c>
      <c r="AA172" s="25">
        <f t="shared" si="18"/>
        <v>5.060584461867438E-2</v>
      </c>
      <c r="AB172" s="25">
        <f t="shared" si="19"/>
        <v>0.77622904991613473</v>
      </c>
      <c r="AC172" s="25">
        <f t="shared" si="20"/>
        <v>0.31708517971442651</v>
      </c>
      <c r="AD172" s="24">
        <v>3</v>
      </c>
    </row>
    <row r="173" spans="1:30" x14ac:dyDescent="0.25">
      <c r="A173" s="24">
        <v>172</v>
      </c>
      <c r="B173" s="24">
        <v>11.55</v>
      </c>
      <c r="C173" s="24">
        <v>13.1</v>
      </c>
      <c r="D173" s="24">
        <v>0.84550000000000003</v>
      </c>
      <c r="E173" s="24">
        <v>5.1669999999999998</v>
      </c>
      <c r="F173" s="24">
        <v>2.8450000000000002</v>
      </c>
      <c r="G173" s="24">
        <v>6.7149999999999999</v>
      </c>
      <c r="H173" s="24">
        <v>4.9560000000000004</v>
      </c>
      <c r="I173" s="24">
        <v>3</v>
      </c>
      <c r="V173" s="24">
        <v>172</v>
      </c>
      <c r="W173" s="25">
        <f t="shared" si="14"/>
        <v>9.0651558073654478E-2</v>
      </c>
      <c r="X173" s="25">
        <f t="shared" si="15"/>
        <v>0.14256198347107429</v>
      </c>
      <c r="Y173" s="25">
        <f t="shared" si="16"/>
        <v>0.33938294010889292</v>
      </c>
      <c r="Z173" s="25">
        <f t="shared" si="17"/>
        <v>0.1509009009009008</v>
      </c>
      <c r="AA173" s="25">
        <f t="shared" si="18"/>
        <v>0.15324305060584478</v>
      </c>
      <c r="AB173" s="25">
        <f t="shared" si="19"/>
        <v>0.77362857402904739</v>
      </c>
      <c r="AC173" s="25">
        <f t="shared" si="20"/>
        <v>0.21516494337764666</v>
      </c>
      <c r="AD173" s="24">
        <v>3</v>
      </c>
    </row>
    <row r="174" spans="1:30" x14ac:dyDescent="0.25">
      <c r="A174" s="24">
        <v>173</v>
      </c>
      <c r="B174" s="24">
        <v>11.27</v>
      </c>
      <c r="C174" s="24">
        <v>12.97</v>
      </c>
      <c r="D174" s="24">
        <v>0.84189999999999998</v>
      </c>
      <c r="E174" s="24">
        <v>5.0880000000000001</v>
      </c>
      <c r="F174" s="24">
        <v>2.7629999999999999</v>
      </c>
      <c r="G174" s="24">
        <v>4.3090000000000002</v>
      </c>
      <c r="H174" s="24">
        <v>5</v>
      </c>
      <c r="I174" s="24">
        <v>3</v>
      </c>
      <c r="V174" s="24">
        <v>173</v>
      </c>
      <c r="W174" s="25">
        <f t="shared" si="14"/>
        <v>6.4211520302171837E-2</v>
      </c>
      <c r="X174" s="25">
        <f t="shared" si="15"/>
        <v>0.11570247933884308</v>
      </c>
      <c r="Y174" s="25">
        <f t="shared" si="16"/>
        <v>0.30671506352087069</v>
      </c>
      <c r="Z174" s="25">
        <f t="shared" si="17"/>
        <v>0.10641891891891896</v>
      </c>
      <c r="AA174" s="25">
        <f t="shared" si="18"/>
        <v>9.4796863863150366E-2</v>
      </c>
      <c r="AB174" s="25">
        <f t="shared" si="19"/>
        <v>0.46079132481244078</v>
      </c>
      <c r="AC174" s="25">
        <f t="shared" si="20"/>
        <v>0.23682914820285572</v>
      </c>
      <c r="AD174" s="24">
        <v>3</v>
      </c>
    </row>
    <row r="175" spans="1:30" x14ac:dyDescent="0.25">
      <c r="A175" s="24">
        <v>174</v>
      </c>
      <c r="B175" s="24">
        <v>11.4</v>
      </c>
      <c r="C175" s="24">
        <v>13.08</v>
      </c>
      <c r="D175" s="24">
        <v>0.83750000000000002</v>
      </c>
      <c r="E175" s="24">
        <v>5.1360000000000001</v>
      </c>
      <c r="F175" s="24">
        <v>2.7629999999999999</v>
      </c>
      <c r="G175" s="24">
        <v>5.5880000000000001</v>
      </c>
      <c r="H175" s="24">
        <v>5.0890000000000004</v>
      </c>
      <c r="I175" s="24">
        <v>3</v>
      </c>
      <c r="V175" s="24">
        <v>174</v>
      </c>
      <c r="W175" s="25">
        <f t="shared" si="14"/>
        <v>7.6487252124645938E-2</v>
      </c>
      <c r="X175" s="25">
        <f t="shared" si="15"/>
        <v>0.13842975206611569</v>
      </c>
      <c r="Y175" s="25">
        <f t="shared" si="16"/>
        <v>0.26678765880217775</v>
      </c>
      <c r="Z175" s="25">
        <f t="shared" si="17"/>
        <v>0.13344594594594603</v>
      </c>
      <c r="AA175" s="25">
        <f t="shared" si="18"/>
        <v>9.4796863863150366E-2</v>
      </c>
      <c r="AB175" s="25">
        <f t="shared" si="19"/>
        <v>0.62709175779167592</v>
      </c>
      <c r="AC175" s="25">
        <f t="shared" si="20"/>
        <v>0.28064992614475648</v>
      </c>
      <c r="AD175" s="24">
        <v>3</v>
      </c>
    </row>
    <row r="176" spans="1:30" x14ac:dyDescent="0.25">
      <c r="A176" s="24">
        <v>175</v>
      </c>
      <c r="B176" s="24">
        <v>10.83</v>
      </c>
      <c r="C176" s="24">
        <v>12.96</v>
      </c>
      <c r="D176" s="24">
        <v>0.80989999999999995</v>
      </c>
      <c r="E176" s="24">
        <v>5.2779999999999996</v>
      </c>
      <c r="F176" s="24">
        <v>2.641</v>
      </c>
      <c r="G176" s="24">
        <v>5.1820000000000004</v>
      </c>
      <c r="H176" s="24">
        <v>5.1849999999999996</v>
      </c>
      <c r="I176" s="24">
        <v>3</v>
      </c>
      <c r="V176" s="24">
        <v>175</v>
      </c>
      <c r="W176" s="25">
        <f t="shared" si="14"/>
        <v>2.266288951841362E-2</v>
      </c>
      <c r="X176" s="25">
        <f t="shared" si="15"/>
        <v>0.11363636363636379</v>
      </c>
      <c r="Y176" s="25">
        <f t="shared" si="16"/>
        <v>1.6333938294010104E-2</v>
      </c>
      <c r="Z176" s="25">
        <f t="shared" si="17"/>
        <v>0.21340090090090066</v>
      </c>
      <c r="AA176" s="25">
        <f t="shared" si="18"/>
        <v>7.8403421240200409E-3</v>
      </c>
      <c r="AB176" s="25">
        <f t="shared" si="19"/>
        <v>0.57430209728380299</v>
      </c>
      <c r="AC176" s="25">
        <f t="shared" si="20"/>
        <v>0.32791728212703081</v>
      </c>
      <c r="AD176" s="24">
        <v>3</v>
      </c>
    </row>
    <row r="177" spans="1:30" x14ac:dyDescent="0.25">
      <c r="A177" s="24">
        <v>176</v>
      </c>
      <c r="B177" s="24">
        <v>10.8</v>
      </c>
      <c r="C177" s="24">
        <v>12.57</v>
      </c>
      <c r="D177" s="24">
        <v>0.85899999999999999</v>
      </c>
      <c r="E177" s="24">
        <v>4.9809999999999999</v>
      </c>
      <c r="F177" s="24">
        <v>2.8210000000000002</v>
      </c>
      <c r="G177" s="24">
        <v>4.7729999999999997</v>
      </c>
      <c r="H177" s="24">
        <v>5.0629999999999997</v>
      </c>
      <c r="I177" s="24">
        <v>3</v>
      </c>
      <c r="V177" s="24">
        <v>176</v>
      </c>
      <c r="W177" s="25">
        <f t="shared" si="14"/>
        <v>1.9830028328611977E-2</v>
      </c>
      <c r="X177" s="25">
        <f t="shared" si="15"/>
        <v>3.305785123966945E-2</v>
      </c>
      <c r="Y177" s="25">
        <f t="shared" si="16"/>
        <v>0.46188747731397423</v>
      </c>
      <c r="Z177" s="25">
        <f t="shared" si="17"/>
        <v>4.6171171171171095E-2</v>
      </c>
      <c r="AA177" s="25">
        <f t="shared" si="18"/>
        <v>0.13613684960798306</v>
      </c>
      <c r="AB177" s="25">
        <f t="shared" si="19"/>
        <v>0.52112236539286683</v>
      </c>
      <c r="AC177" s="25">
        <f t="shared" si="20"/>
        <v>0.26784835056622336</v>
      </c>
      <c r="AD177" s="24">
        <v>3</v>
      </c>
    </row>
    <row r="178" spans="1:30" x14ac:dyDescent="0.25">
      <c r="A178" s="24">
        <v>177</v>
      </c>
      <c r="B178" s="24">
        <v>11.26</v>
      </c>
      <c r="C178" s="24">
        <v>13.01</v>
      </c>
      <c r="D178" s="24">
        <v>0.83550000000000002</v>
      </c>
      <c r="E178" s="24">
        <v>5.1859999999999999</v>
      </c>
      <c r="F178" s="24">
        <v>2.71</v>
      </c>
      <c r="G178" s="24">
        <v>5.335</v>
      </c>
      <c r="H178" s="24">
        <v>5.0919999999999996</v>
      </c>
      <c r="I178" s="24">
        <v>3</v>
      </c>
      <c r="V178" s="24">
        <v>177</v>
      </c>
      <c r="W178" s="25">
        <f t="shared" si="14"/>
        <v>6.3267233238904624E-2</v>
      </c>
      <c r="X178" s="25">
        <f t="shared" si="15"/>
        <v>0.12396694214876026</v>
      </c>
      <c r="Y178" s="25">
        <f t="shared" si="16"/>
        <v>0.248638838475499</v>
      </c>
      <c r="Z178" s="25">
        <f t="shared" si="17"/>
        <v>0.16159909909909909</v>
      </c>
      <c r="AA178" s="25">
        <f t="shared" si="18"/>
        <v>5.7020669992872447E-2</v>
      </c>
      <c r="AB178" s="25">
        <f t="shared" si="19"/>
        <v>0.59419573782002111</v>
      </c>
      <c r="AC178" s="25">
        <f t="shared" si="20"/>
        <v>0.28212703101920217</v>
      </c>
      <c r="AD178" s="24">
        <v>3</v>
      </c>
    </row>
    <row r="179" spans="1:30" x14ac:dyDescent="0.25">
      <c r="A179" s="24">
        <v>178</v>
      </c>
      <c r="B179" s="24">
        <v>10.74</v>
      </c>
      <c r="C179" s="24">
        <v>12.73</v>
      </c>
      <c r="D179" s="24">
        <v>0.83289999999999997</v>
      </c>
      <c r="E179" s="24">
        <v>5.1449999999999996</v>
      </c>
      <c r="F179" s="24">
        <v>2.6419999999999999</v>
      </c>
      <c r="G179" s="24">
        <v>4.702</v>
      </c>
      <c r="H179" s="24">
        <v>4.9630000000000001</v>
      </c>
      <c r="I179" s="24">
        <v>3</v>
      </c>
      <c r="V179" s="24">
        <v>178</v>
      </c>
      <c r="W179" s="25">
        <f t="shared" si="14"/>
        <v>1.4164305949008532E-2</v>
      </c>
      <c r="X179" s="25">
        <f t="shared" si="15"/>
        <v>6.61157024793389E-2</v>
      </c>
      <c r="Y179" s="25">
        <f t="shared" si="16"/>
        <v>0.22504537205081615</v>
      </c>
      <c r="Z179" s="25">
        <f t="shared" si="17"/>
        <v>0.13851351351351326</v>
      </c>
      <c r="AA179" s="25">
        <f t="shared" si="18"/>
        <v>8.5531004989308664E-3</v>
      </c>
      <c r="AB179" s="25">
        <f t="shared" si="19"/>
        <v>0.51189067599370686</v>
      </c>
      <c r="AC179" s="25">
        <f t="shared" si="20"/>
        <v>0.21861152141802068</v>
      </c>
      <c r="AD179" s="24">
        <v>3</v>
      </c>
    </row>
    <row r="180" spans="1:30" x14ac:dyDescent="0.25">
      <c r="A180" s="24">
        <v>179</v>
      </c>
      <c r="B180" s="24">
        <v>11.48</v>
      </c>
      <c r="C180" s="24">
        <v>13.05</v>
      </c>
      <c r="D180" s="24">
        <v>0.84730000000000005</v>
      </c>
      <c r="E180" s="24">
        <v>5.18</v>
      </c>
      <c r="F180" s="24">
        <v>2.758</v>
      </c>
      <c r="G180" s="24">
        <v>5.8760000000000003</v>
      </c>
      <c r="H180" s="24">
        <v>5.0019999999999998</v>
      </c>
      <c r="I180" s="24">
        <v>3</v>
      </c>
      <c r="V180" s="24">
        <v>179</v>
      </c>
      <c r="W180" s="25">
        <f t="shared" si="14"/>
        <v>8.4041548630783808E-2</v>
      </c>
      <c r="X180" s="25">
        <f t="shared" si="15"/>
        <v>0.1322314049586778</v>
      </c>
      <c r="Y180" s="25">
        <f t="shared" si="16"/>
        <v>0.35571687840290406</v>
      </c>
      <c r="Z180" s="25">
        <f t="shared" si="17"/>
        <v>0.15822072072072058</v>
      </c>
      <c r="AA180" s="25">
        <f t="shared" si="18"/>
        <v>9.1233071988595912E-2</v>
      </c>
      <c r="AB180" s="25">
        <f t="shared" si="19"/>
        <v>0.6645386105657336</v>
      </c>
      <c r="AC180" s="25">
        <f t="shared" si="20"/>
        <v>0.23781388478581966</v>
      </c>
      <c r="AD180" s="24">
        <v>3</v>
      </c>
    </row>
    <row r="181" spans="1:30" x14ac:dyDescent="0.25">
      <c r="A181" s="24">
        <v>180</v>
      </c>
      <c r="B181" s="24">
        <v>12.21</v>
      </c>
      <c r="C181" s="24">
        <v>13.47</v>
      </c>
      <c r="D181" s="24">
        <v>0.84530000000000005</v>
      </c>
      <c r="E181" s="24">
        <v>5.3570000000000002</v>
      </c>
      <c r="F181" s="24">
        <v>2.8929999999999998</v>
      </c>
      <c r="G181" s="24">
        <v>1.661</v>
      </c>
      <c r="H181" s="24">
        <v>5.1779999999999999</v>
      </c>
      <c r="I181" s="24">
        <v>3</v>
      </c>
      <c r="V181" s="24">
        <v>180</v>
      </c>
      <c r="W181" s="25">
        <f t="shared" si="14"/>
        <v>0.15297450424929188</v>
      </c>
      <c r="X181" s="25">
        <f t="shared" si="15"/>
        <v>0.21900826446281002</v>
      </c>
      <c r="Y181" s="25">
        <f t="shared" si="16"/>
        <v>0.33756805807622525</v>
      </c>
      <c r="Z181" s="25">
        <f t="shared" si="17"/>
        <v>0.25788288288288302</v>
      </c>
      <c r="AA181" s="25">
        <f t="shared" si="18"/>
        <v>0.18745545260156793</v>
      </c>
      <c r="AB181" s="25">
        <f t="shared" si="19"/>
        <v>0.11648831736207728</v>
      </c>
      <c r="AC181" s="25">
        <f t="shared" si="20"/>
        <v>0.32447070408665679</v>
      </c>
      <c r="AD181" s="24">
        <v>3</v>
      </c>
    </row>
    <row r="182" spans="1:30" x14ac:dyDescent="0.25">
      <c r="A182" s="24">
        <v>181</v>
      </c>
      <c r="B182" s="24">
        <v>11.41</v>
      </c>
      <c r="C182" s="24">
        <v>12.95</v>
      </c>
      <c r="D182" s="24">
        <v>0.85599999999999998</v>
      </c>
      <c r="E182" s="24">
        <v>5.09</v>
      </c>
      <c r="F182" s="24">
        <v>2.7749999999999999</v>
      </c>
      <c r="G182" s="24">
        <v>4.9569999999999999</v>
      </c>
      <c r="H182" s="24">
        <v>4.8250000000000002</v>
      </c>
      <c r="I182" s="24">
        <v>3</v>
      </c>
      <c r="V182" s="24">
        <v>181</v>
      </c>
      <c r="W182" s="25">
        <f t="shared" si="14"/>
        <v>7.7431539187913151E-2</v>
      </c>
      <c r="X182" s="25">
        <f t="shared" si="15"/>
        <v>0.11157024793388412</v>
      </c>
      <c r="Y182" s="25">
        <f t="shared" si="16"/>
        <v>0.43466424682395605</v>
      </c>
      <c r="Z182" s="25">
        <f t="shared" si="17"/>
        <v>0.10754504504504496</v>
      </c>
      <c r="AA182" s="25">
        <f t="shared" si="18"/>
        <v>0.10334996436208123</v>
      </c>
      <c r="AB182" s="25">
        <f t="shared" si="19"/>
        <v>0.54504674355407035</v>
      </c>
      <c r="AC182" s="25">
        <f t="shared" si="20"/>
        <v>0.15066469719350079</v>
      </c>
      <c r="AD182" s="24">
        <v>3</v>
      </c>
    </row>
    <row r="183" spans="1:30" x14ac:dyDescent="0.25">
      <c r="A183" s="24">
        <v>182</v>
      </c>
      <c r="B183" s="24">
        <v>12.46</v>
      </c>
      <c r="C183" s="24">
        <v>13.41</v>
      </c>
      <c r="D183" s="24">
        <v>0.87060000000000004</v>
      </c>
      <c r="E183" s="24">
        <v>5.2359999999999998</v>
      </c>
      <c r="F183" s="24">
        <v>3.0169999999999999</v>
      </c>
      <c r="G183" s="24">
        <v>4.9870000000000001</v>
      </c>
      <c r="H183" s="24">
        <v>5.1470000000000002</v>
      </c>
      <c r="I183" s="24">
        <v>3</v>
      </c>
      <c r="V183" s="24">
        <v>182</v>
      </c>
      <c r="W183" s="25">
        <f t="shared" si="14"/>
        <v>0.1765816808309727</v>
      </c>
      <c r="X183" s="25">
        <f t="shared" si="15"/>
        <v>0.20661157024793389</v>
      </c>
      <c r="Y183" s="25">
        <f t="shared" si="16"/>
        <v>0.56715063520871156</v>
      </c>
      <c r="Z183" s="25">
        <f t="shared" si="17"/>
        <v>0.18975225225225212</v>
      </c>
      <c r="AA183" s="25">
        <f t="shared" si="18"/>
        <v>0.27583749109052025</v>
      </c>
      <c r="AB183" s="25">
        <f t="shared" si="19"/>
        <v>0.54894745738470141</v>
      </c>
      <c r="AC183" s="25">
        <f t="shared" si="20"/>
        <v>0.30920728705071404</v>
      </c>
      <c r="AD183" s="24">
        <v>3</v>
      </c>
    </row>
    <row r="184" spans="1:30" x14ac:dyDescent="0.25">
      <c r="A184" s="24">
        <v>183</v>
      </c>
      <c r="B184" s="24">
        <v>12.19</v>
      </c>
      <c r="C184" s="24">
        <v>13.36</v>
      </c>
      <c r="D184" s="24">
        <v>0.8579</v>
      </c>
      <c r="E184" s="24">
        <v>5.24</v>
      </c>
      <c r="F184" s="24">
        <v>2.9089999999999998</v>
      </c>
      <c r="G184" s="24">
        <v>4.8570000000000002</v>
      </c>
      <c r="H184" s="24">
        <v>5.1580000000000004</v>
      </c>
      <c r="I184" s="24">
        <v>3</v>
      </c>
      <c r="V184" s="24">
        <v>183</v>
      </c>
      <c r="W184" s="25">
        <f t="shared" si="14"/>
        <v>0.15108593012275728</v>
      </c>
      <c r="X184" s="25">
        <f t="shared" si="15"/>
        <v>0.19628099173553704</v>
      </c>
      <c r="Y184" s="25">
        <f t="shared" si="16"/>
        <v>0.45190562613430102</v>
      </c>
      <c r="Z184" s="25">
        <f t="shared" si="17"/>
        <v>0.19200450450450463</v>
      </c>
      <c r="AA184" s="25">
        <f t="shared" si="18"/>
        <v>0.19885958660014241</v>
      </c>
      <c r="AB184" s="25">
        <f t="shared" si="19"/>
        <v>0.53204436411863376</v>
      </c>
      <c r="AC184" s="25">
        <f t="shared" si="20"/>
        <v>0.31462333825701644</v>
      </c>
      <c r="AD184" s="24">
        <v>3</v>
      </c>
    </row>
    <row r="185" spans="1:30" x14ac:dyDescent="0.25">
      <c r="A185" s="24">
        <v>184</v>
      </c>
      <c r="B185" s="24">
        <v>11.65</v>
      </c>
      <c r="C185" s="24">
        <v>13.07</v>
      </c>
      <c r="D185" s="24">
        <v>0.85750000000000004</v>
      </c>
      <c r="E185" s="24">
        <v>5.1079999999999997</v>
      </c>
      <c r="F185" s="24">
        <v>2.85</v>
      </c>
      <c r="G185" s="24">
        <v>5.2089999999999996</v>
      </c>
      <c r="H185" s="24">
        <v>5.1349999999999998</v>
      </c>
      <c r="I185" s="24">
        <v>3</v>
      </c>
      <c r="V185" s="24">
        <v>184</v>
      </c>
      <c r="W185" s="25">
        <f t="shared" si="14"/>
        <v>0.10009442870632677</v>
      </c>
      <c r="X185" s="25">
        <f t="shared" si="15"/>
        <v>0.13636363636363641</v>
      </c>
      <c r="Y185" s="25">
        <f t="shared" si="16"/>
        <v>0.44827586206896564</v>
      </c>
      <c r="Z185" s="25">
        <f t="shared" si="17"/>
        <v>0.11768018018017999</v>
      </c>
      <c r="AA185" s="25">
        <f t="shared" si="18"/>
        <v>0.15680684248039922</v>
      </c>
      <c r="AB185" s="25">
        <f t="shared" si="19"/>
        <v>0.57781273973137082</v>
      </c>
      <c r="AC185" s="25">
        <f t="shared" si="20"/>
        <v>0.30329886755292945</v>
      </c>
      <c r="AD185" s="24">
        <v>3</v>
      </c>
    </row>
    <row r="186" spans="1:30" x14ac:dyDescent="0.25">
      <c r="A186" s="24">
        <v>185</v>
      </c>
      <c r="B186" s="24">
        <v>12.89</v>
      </c>
      <c r="C186" s="24">
        <v>13.77</v>
      </c>
      <c r="D186" s="24">
        <v>0.85409999999999997</v>
      </c>
      <c r="E186" s="24">
        <v>5.4950000000000001</v>
      </c>
      <c r="F186" s="24">
        <v>3.0259999999999998</v>
      </c>
      <c r="G186" s="24">
        <v>6.1849999999999996</v>
      </c>
      <c r="H186" s="24">
        <v>5.3159999999999998</v>
      </c>
      <c r="I186" s="24">
        <v>3</v>
      </c>
      <c r="V186" s="24">
        <v>185</v>
      </c>
      <c r="W186" s="25">
        <f t="shared" si="14"/>
        <v>0.21718602455146371</v>
      </c>
      <c r="X186" s="25">
        <f t="shared" si="15"/>
        <v>0.28099173553718998</v>
      </c>
      <c r="Y186" s="25">
        <f t="shared" si="16"/>
        <v>0.41742286751361113</v>
      </c>
      <c r="Z186" s="25">
        <f t="shared" si="17"/>
        <v>0.33558558558558566</v>
      </c>
      <c r="AA186" s="25">
        <f t="shared" si="18"/>
        <v>0.28225231646471832</v>
      </c>
      <c r="AB186" s="25">
        <f t="shared" si="19"/>
        <v>0.70471596302123285</v>
      </c>
      <c r="AC186" s="25">
        <f t="shared" si="20"/>
        <v>0.39241752831117666</v>
      </c>
      <c r="AD186" s="24">
        <v>3</v>
      </c>
    </row>
    <row r="187" spans="1:30" x14ac:dyDescent="0.25">
      <c r="A187" s="24">
        <v>186</v>
      </c>
      <c r="B187" s="24">
        <v>11.56</v>
      </c>
      <c r="C187" s="24">
        <v>13.31</v>
      </c>
      <c r="D187" s="24">
        <v>0.81979999999999997</v>
      </c>
      <c r="E187" s="24">
        <v>5.3630000000000004</v>
      </c>
      <c r="F187" s="24">
        <v>2.6829999999999998</v>
      </c>
      <c r="G187" s="24">
        <v>4.0620000000000003</v>
      </c>
      <c r="H187" s="24">
        <v>5.1820000000000004</v>
      </c>
      <c r="I187" s="24">
        <v>3</v>
      </c>
      <c r="V187" s="24">
        <v>186</v>
      </c>
      <c r="W187" s="25">
        <f t="shared" si="14"/>
        <v>9.1595845136921691E-2</v>
      </c>
      <c r="X187" s="25">
        <f t="shared" si="15"/>
        <v>0.18595041322314057</v>
      </c>
      <c r="Y187" s="25">
        <f t="shared" si="16"/>
        <v>0.10617059891107021</v>
      </c>
      <c r="Z187" s="25">
        <f t="shared" si="17"/>
        <v>0.26126126126126153</v>
      </c>
      <c r="AA187" s="25">
        <f t="shared" si="18"/>
        <v>3.7776193870277919E-2</v>
      </c>
      <c r="AB187" s="25">
        <f t="shared" si="19"/>
        <v>0.42867544760691217</v>
      </c>
      <c r="AC187" s="25">
        <f t="shared" si="20"/>
        <v>0.32644017725258512</v>
      </c>
      <c r="AD187" s="24">
        <v>3</v>
      </c>
    </row>
    <row r="188" spans="1:30" x14ac:dyDescent="0.25">
      <c r="A188" s="24">
        <v>187</v>
      </c>
      <c r="B188" s="24">
        <v>11.81</v>
      </c>
      <c r="C188" s="24">
        <v>13.45</v>
      </c>
      <c r="D188" s="24">
        <v>0.81979999999999997</v>
      </c>
      <c r="E188" s="24">
        <v>5.4130000000000003</v>
      </c>
      <c r="F188" s="24">
        <v>2.7160000000000002</v>
      </c>
      <c r="G188" s="24">
        <v>4.8979999999999997</v>
      </c>
      <c r="H188" s="24">
        <v>5.3520000000000003</v>
      </c>
      <c r="I188" s="24">
        <v>3</v>
      </c>
      <c r="V188" s="24">
        <v>187</v>
      </c>
      <c r="W188" s="25">
        <f t="shared" si="14"/>
        <v>0.11520302171860251</v>
      </c>
      <c r="X188" s="25">
        <f t="shared" si="15"/>
        <v>0.21487603305785108</v>
      </c>
      <c r="Y188" s="25">
        <f t="shared" si="16"/>
        <v>0.10617059891107021</v>
      </c>
      <c r="Z188" s="25">
        <f t="shared" si="17"/>
        <v>0.28941441441441457</v>
      </c>
      <c r="AA188" s="25">
        <f t="shared" si="18"/>
        <v>6.1297220242338038E-2</v>
      </c>
      <c r="AB188" s="25">
        <f t="shared" si="19"/>
        <v>0.53737533968716278</v>
      </c>
      <c r="AC188" s="25">
        <f t="shared" si="20"/>
        <v>0.41014278680452992</v>
      </c>
      <c r="AD188" s="24">
        <v>3</v>
      </c>
    </row>
    <row r="189" spans="1:30" x14ac:dyDescent="0.25">
      <c r="A189" s="24">
        <v>188</v>
      </c>
      <c r="B189" s="24">
        <v>10.91</v>
      </c>
      <c r="C189" s="24">
        <v>12.8</v>
      </c>
      <c r="D189" s="24">
        <v>0.83720000000000006</v>
      </c>
      <c r="E189" s="24">
        <v>5.0880000000000001</v>
      </c>
      <c r="F189" s="24">
        <v>2.6749999999999998</v>
      </c>
      <c r="G189" s="24">
        <v>4.1790000000000003</v>
      </c>
      <c r="H189" s="24">
        <v>4.9560000000000004</v>
      </c>
      <c r="I189" s="24">
        <v>3</v>
      </c>
      <c r="V189" s="24">
        <v>188</v>
      </c>
      <c r="W189" s="25">
        <f t="shared" si="14"/>
        <v>3.0217186024551489E-2</v>
      </c>
      <c r="X189" s="25">
        <f t="shared" si="15"/>
        <v>8.0578512396694335E-2</v>
      </c>
      <c r="Y189" s="25">
        <f t="shared" si="16"/>
        <v>0.26406533575317626</v>
      </c>
      <c r="Z189" s="25">
        <f t="shared" si="17"/>
        <v>0.10641891891891896</v>
      </c>
      <c r="AA189" s="25">
        <f t="shared" si="18"/>
        <v>3.207412687099067E-2</v>
      </c>
      <c r="AB189" s="25">
        <f t="shared" si="19"/>
        <v>0.44388823154637308</v>
      </c>
      <c r="AC189" s="25">
        <f t="shared" si="20"/>
        <v>0.21516494337764666</v>
      </c>
      <c r="AD189" s="24">
        <v>3</v>
      </c>
    </row>
    <row r="190" spans="1:30" x14ac:dyDescent="0.25">
      <c r="A190" s="24">
        <v>189</v>
      </c>
      <c r="B190" s="24">
        <v>11.23</v>
      </c>
      <c r="C190" s="24">
        <v>12.82</v>
      </c>
      <c r="D190" s="24">
        <v>0.85940000000000005</v>
      </c>
      <c r="E190" s="24">
        <v>5.0890000000000004</v>
      </c>
      <c r="F190" s="24">
        <v>2.8210000000000002</v>
      </c>
      <c r="G190" s="24">
        <v>7.524</v>
      </c>
      <c r="H190" s="24">
        <v>4.9569999999999999</v>
      </c>
      <c r="I190" s="24">
        <v>3</v>
      </c>
      <c r="V190" s="24">
        <v>189</v>
      </c>
      <c r="W190" s="25">
        <f t="shared" si="14"/>
        <v>6.0434372049102979E-2</v>
      </c>
      <c r="X190" s="25">
        <f t="shared" si="15"/>
        <v>8.471074380165293E-2</v>
      </c>
      <c r="Y190" s="25">
        <f t="shared" si="16"/>
        <v>0.46551724137931061</v>
      </c>
      <c r="Z190" s="25">
        <f t="shared" si="17"/>
        <v>0.10698198198198221</v>
      </c>
      <c r="AA190" s="25">
        <f t="shared" si="18"/>
        <v>0.13613684960798306</v>
      </c>
      <c r="AB190" s="25">
        <f t="shared" si="19"/>
        <v>0.87881782366173011</v>
      </c>
      <c r="AC190" s="25">
        <f t="shared" si="20"/>
        <v>0.21565731166912841</v>
      </c>
      <c r="AD190" s="24">
        <v>3</v>
      </c>
    </row>
    <row r="191" spans="1:30" x14ac:dyDescent="0.25">
      <c r="A191" s="24">
        <v>190</v>
      </c>
      <c r="B191" s="24">
        <v>10.59</v>
      </c>
      <c r="C191" s="24">
        <v>12.41</v>
      </c>
      <c r="D191" s="24">
        <v>0.86480000000000001</v>
      </c>
      <c r="E191" s="24">
        <v>4.899</v>
      </c>
      <c r="F191" s="24">
        <v>2.7869999999999999</v>
      </c>
      <c r="G191" s="24">
        <v>4.9749999999999996</v>
      </c>
      <c r="H191" s="24">
        <v>4.7939999999999996</v>
      </c>
      <c r="I191" s="24">
        <v>3</v>
      </c>
      <c r="V191" s="24">
        <v>190</v>
      </c>
      <c r="W191" s="25">
        <f t="shared" si="14"/>
        <v>0</v>
      </c>
      <c r="X191" s="25">
        <f t="shared" si="15"/>
        <v>0</v>
      </c>
      <c r="Y191" s="25">
        <f t="shared" si="16"/>
        <v>0.51451905626134298</v>
      </c>
      <c r="Z191" s="25">
        <f t="shared" si="17"/>
        <v>0</v>
      </c>
      <c r="AA191" s="25">
        <f t="shared" si="18"/>
        <v>0.11190306486101211</v>
      </c>
      <c r="AB191" s="25">
        <f t="shared" si="19"/>
        <v>0.54738717185244901</v>
      </c>
      <c r="AC191" s="25">
        <f t="shared" si="20"/>
        <v>0.13540128015755762</v>
      </c>
      <c r="AD191" s="24">
        <v>3</v>
      </c>
    </row>
    <row r="192" spans="1:30" x14ac:dyDescent="0.25">
      <c r="A192" s="24">
        <v>191</v>
      </c>
      <c r="B192" s="24">
        <v>10.93</v>
      </c>
      <c r="C192" s="24">
        <v>12.8</v>
      </c>
      <c r="D192" s="24">
        <v>0.83899999999999997</v>
      </c>
      <c r="E192" s="24">
        <v>5.0460000000000003</v>
      </c>
      <c r="F192" s="24">
        <v>2.7170000000000001</v>
      </c>
      <c r="G192" s="24">
        <v>5.3979999999999997</v>
      </c>
      <c r="H192" s="24">
        <v>5.0449999999999999</v>
      </c>
      <c r="I192" s="24">
        <v>3</v>
      </c>
      <c r="V192" s="24">
        <v>191</v>
      </c>
      <c r="W192" s="25">
        <f t="shared" si="14"/>
        <v>3.2105760151085919E-2</v>
      </c>
      <c r="X192" s="25">
        <f t="shared" si="15"/>
        <v>8.0578512396694335E-2</v>
      </c>
      <c r="Y192" s="25">
        <f t="shared" si="16"/>
        <v>0.28039927404718634</v>
      </c>
      <c r="Z192" s="25">
        <f t="shared" si="17"/>
        <v>8.277027027027041E-2</v>
      </c>
      <c r="AA192" s="25">
        <f t="shared" si="18"/>
        <v>6.2009978617248863E-2</v>
      </c>
      <c r="AB192" s="25">
        <f t="shared" si="19"/>
        <v>0.60238723686434614</v>
      </c>
      <c r="AC192" s="25">
        <f t="shared" si="20"/>
        <v>0.25898572131954695</v>
      </c>
      <c r="AD192" s="24">
        <v>3</v>
      </c>
    </row>
    <row r="193" spans="1:30" x14ac:dyDescent="0.25">
      <c r="A193" s="24">
        <v>192</v>
      </c>
      <c r="B193" s="24">
        <v>11.27</v>
      </c>
      <c r="C193" s="24">
        <v>12.86</v>
      </c>
      <c r="D193" s="24">
        <v>0.85629999999999995</v>
      </c>
      <c r="E193" s="24">
        <v>5.0910000000000002</v>
      </c>
      <c r="F193" s="24">
        <v>2.8039999999999998</v>
      </c>
      <c r="G193" s="24">
        <v>3.9849999999999999</v>
      </c>
      <c r="H193" s="24">
        <v>5.0010000000000003</v>
      </c>
      <c r="I193" s="24">
        <v>3</v>
      </c>
      <c r="V193" s="24">
        <v>192</v>
      </c>
      <c r="W193" s="25">
        <f t="shared" si="14"/>
        <v>6.4211520302171837E-2</v>
      </c>
      <c r="X193" s="25">
        <f t="shared" si="15"/>
        <v>9.2975206611570105E-2</v>
      </c>
      <c r="Y193" s="25">
        <f t="shared" si="16"/>
        <v>0.4373865698729576</v>
      </c>
      <c r="Z193" s="25">
        <f t="shared" si="17"/>
        <v>0.10810810810810821</v>
      </c>
      <c r="AA193" s="25">
        <f t="shared" si="18"/>
        <v>0.12401995723449742</v>
      </c>
      <c r="AB193" s="25">
        <f t="shared" si="19"/>
        <v>0.41866361544162584</v>
      </c>
      <c r="AC193" s="25">
        <f t="shared" si="20"/>
        <v>0.23732151649433791</v>
      </c>
      <c r="AD193" s="24">
        <v>3</v>
      </c>
    </row>
    <row r="194" spans="1:30" x14ac:dyDescent="0.25">
      <c r="A194" s="24">
        <v>193</v>
      </c>
      <c r="B194" s="24">
        <v>11.87</v>
      </c>
      <c r="C194" s="24">
        <v>13.02</v>
      </c>
      <c r="D194" s="24">
        <v>0.87949999999999995</v>
      </c>
      <c r="E194" s="24">
        <v>5.1319999999999997</v>
      </c>
      <c r="F194" s="24">
        <v>2.9529999999999998</v>
      </c>
      <c r="G194" s="24">
        <v>3.597</v>
      </c>
      <c r="H194" s="24">
        <v>5.1319999999999997</v>
      </c>
      <c r="I194" s="24">
        <v>3</v>
      </c>
      <c r="V194" s="24">
        <v>193</v>
      </c>
      <c r="W194" s="25">
        <f t="shared" ref="W194:W211" si="21">(B194-MIN($B$2:$B$211))/((MAX($B$2:$B$211)-MIN($B$2:$B$211)))</f>
        <v>0.12086874409820579</v>
      </c>
      <c r="X194" s="25">
        <f t="shared" ref="X194:X211" si="22">(C194-MIN($C$2:$C$211))/((MAX($C$2:$C$211)-MIN($C$2:$C$211)))</f>
        <v>0.12603305785123955</v>
      </c>
      <c r="Y194" s="25">
        <f t="shared" ref="Y194:Y211" si="23">(D194-MIN($D$2:$D$211))/((MAX($D$2:$D$211)-MIN($D$2:$D$211)))</f>
        <v>0.64791288566243133</v>
      </c>
      <c r="Z194" s="25">
        <f t="shared" ref="Z194:Z211" si="24">(E194-MIN($E$2:$E$211))/((MAX($E$2:$E$211)-MIN($E$2:$E$211)))</f>
        <v>0.13119369369369352</v>
      </c>
      <c r="AA194" s="25">
        <f t="shared" ref="AA194:AA211" si="25">(F194-MIN($F$2:$F$211))/((MAX($F$2:$F$211)-MIN($F$2:$F$211)))</f>
        <v>0.23022095509622226</v>
      </c>
      <c r="AB194" s="25">
        <f t="shared" si="19"/>
        <v>0.36821438323213151</v>
      </c>
      <c r="AC194" s="25">
        <f t="shared" si="20"/>
        <v>0.30182176267848332</v>
      </c>
      <c r="AD194" s="24">
        <v>3</v>
      </c>
    </row>
    <row r="195" spans="1:30" x14ac:dyDescent="0.25">
      <c r="A195" s="24">
        <v>194</v>
      </c>
      <c r="B195" s="24">
        <v>10.82</v>
      </c>
      <c r="C195" s="24">
        <v>12.83</v>
      </c>
      <c r="D195" s="24">
        <v>0.8256</v>
      </c>
      <c r="E195" s="24">
        <v>5.18</v>
      </c>
      <c r="F195" s="24">
        <v>2.63</v>
      </c>
      <c r="G195" s="24">
        <v>4.8529999999999998</v>
      </c>
      <c r="H195" s="24">
        <v>5.0890000000000004</v>
      </c>
      <c r="I195" s="24">
        <v>3</v>
      </c>
      <c r="V195" s="24">
        <v>194</v>
      </c>
      <c r="W195" s="25">
        <f t="shared" si="21"/>
        <v>2.1718602455146407E-2</v>
      </c>
      <c r="X195" s="25">
        <f t="shared" si="22"/>
        <v>8.677685950413222E-2</v>
      </c>
      <c r="Y195" s="25">
        <f t="shared" si="23"/>
        <v>0.15880217785843889</v>
      </c>
      <c r="Z195" s="25">
        <f t="shared" si="24"/>
        <v>0.15822072072072058</v>
      </c>
      <c r="AA195" s="25">
        <f t="shared" si="25"/>
        <v>0</v>
      </c>
      <c r="AB195" s="25">
        <f t="shared" ref="AB195:AB211" si="26">(G195-MIN($G$2:$G$211))/((MAX($G$2:$G$211)-MIN($G$2:$G$211)))</f>
        <v>0.53152426894121618</v>
      </c>
      <c r="AC195" s="25">
        <f t="shared" ref="AC195:AC211" si="27">(H195-MIN($H$2:$H$211))/((MAX($H$2:$H$211)-MIN($H$2:$H$211)))</f>
        <v>0.28064992614475648</v>
      </c>
      <c r="AD195" s="24">
        <v>3</v>
      </c>
    </row>
    <row r="196" spans="1:30" x14ac:dyDescent="0.25">
      <c r="A196" s="24">
        <v>195</v>
      </c>
      <c r="B196" s="24">
        <v>12.11</v>
      </c>
      <c r="C196" s="24">
        <v>13.27</v>
      </c>
      <c r="D196" s="24">
        <v>0.8639</v>
      </c>
      <c r="E196" s="24">
        <v>5.2359999999999998</v>
      </c>
      <c r="F196" s="24">
        <v>2.9750000000000001</v>
      </c>
      <c r="G196" s="24">
        <v>4.1319999999999997</v>
      </c>
      <c r="H196" s="24">
        <v>5.0119999999999996</v>
      </c>
      <c r="I196" s="24">
        <v>3</v>
      </c>
      <c r="V196" s="24">
        <v>195</v>
      </c>
      <c r="W196" s="25">
        <f t="shared" si="21"/>
        <v>0.14353163361661941</v>
      </c>
      <c r="X196" s="25">
        <f t="shared" si="22"/>
        <v>0.17768595041322302</v>
      </c>
      <c r="Y196" s="25">
        <f t="shared" si="23"/>
        <v>0.50635208711433732</v>
      </c>
      <c r="Z196" s="25">
        <f t="shared" si="24"/>
        <v>0.18975225225225212</v>
      </c>
      <c r="AA196" s="25">
        <f t="shared" si="25"/>
        <v>0.24590163934426235</v>
      </c>
      <c r="AB196" s="25">
        <f t="shared" si="26"/>
        <v>0.43777711321171775</v>
      </c>
      <c r="AC196" s="25">
        <f t="shared" si="27"/>
        <v>0.24273756770063984</v>
      </c>
      <c r="AD196" s="24">
        <v>3</v>
      </c>
    </row>
    <row r="197" spans="1:30" x14ac:dyDescent="0.25">
      <c r="A197" s="24">
        <v>196</v>
      </c>
      <c r="B197" s="24">
        <v>12.8</v>
      </c>
      <c r="C197" s="24">
        <v>13.47</v>
      </c>
      <c r="D197" s="24">
        <v>0.88600000000000001</v>
      </c>
      <c r="E197" s="24">
        <v>5.16</v>
      </c>
      <c r="F197" s="24">
        <v>3.1259999999999999</v>
      </c>
      <c r="G197" s="24">
        <v>4.8730000000000002</v>
      </c>
      <c r="H197" s="24">
        <v>4.9139999999999997</v>
      </c>
      <c r="I197" s="24">
        <v>3</v>
      </c>
      <c r="V197" s="24">
        <v>196</v>
      </c>
      <c r="W197" s="25">
        <f t="shared" si="21"/>
        <v>0.20868744098205863</v>
      </c>
      <c r="X197" s="25">
        <f t="shared" si="22"/>
        <v>0.21900826446281002</v>
      </c>
      <c r="Y197" s="25">
        <f t="shared" si="23"/>
        <v>0.7068965517241379</v>
      </c>
      <c r="Z197" s="25">
        <f t="shared" si="24"/>
        <v>0.14695945945945954</v>
      </c>
      <c r="AA197" s="25">
        <f t="shared" si="25"/>
        <v>0.35352815395580883</v>
      </c>
      <c r="AB197" s="25">
        <f t="shared" si="26"/>
        <v>0.53412474482830363</v>
      </c>
      <c r="AC197" s="25">
        <f t="shared" si="27"/>
        <v>0.1944854751354011</v>
      </c>
      <c r="AD197" s="24">
        <v>3</v>
      </c>
    </row>
    <row r="198" spans="1:30" x14ac:dyDescent="0.25">
      <c r="A198" s="24">
        <v>197</v>
      </c>
      <c r="B198" s="24">
        <v>12.79</v>
      </c>
      <c r="C198" s="24">
        <v>13.53</v>
      </c>
      <c r="D198" s="24">
        <v>0.87860000000000005</v>
      </c>
      <c r="E198" s="24">
        <v>5.2240000000000002</v>
      </c>
      <c r="F198" s="24">
        <v>3.0539999999999998</v>
      </c>
      <c r="G198" s="24">
        <v>5.4829999999999997</v>
      </c>
      <c r="H198" s="24">
        <v>4.9580000000000002</v>
      </c>
      <c r="I198" s="24">
        <v>3</v>
      </c>
      <c r="V198" s="24">
        <v>197</v>
      </c>
      <c r="W198" s="25">
        <f t="shared" si="21"/>
        <v>0.20774315391879125</v>
      </c>
      <c r="X198" s="25">
        <f t="shared" si="22"/>
        <v>0.23140495867768579</v>
      </c>
      <c r="Y198" s="25">
        <f t="shared" si="23"/>
        <v>0.63974591651542678</v>
      </c>
      <c r="Z198" s="25">
        <f t="shared" si="24"/>
        <v>0.18299549549549562</v>
      </c>
      <c r="AA198" s="25">
        <f t="shared" si="25"/>
        <v>0.30220955096222368</v>
      </c>
      <c r="AB198" s="25">
        <f t="shared" si="26"/>
        <v>0.61343925938446731</v>
      </c>
      <c r="AC198" s="25">
        <f t="shared" si="27"/>
        <v>0.2161496799606106</v>
      </c>
      <c r="AD198" s="24">
        <v>3</v>
      </c>
    </row>
    <row r="199" spans="1:30" x14ac:dyDescent="0.25">
      <c r="A199" s="24">
        <v>198</v>
      </c>
      <c r="B199" s="24">
        <v>13.37</v>
      </c>
      <c r="C199" s="24">
        <v>13.78</v>
      </c>
      <c r="D199" s="24">
        <v>0.88490000000000002</v>
      </c>
      <c r="E199" s="24">
        <v>5.32</v>
      </c>
      <c r="F199" s="24">
        <v>3.1280000000000001</v>
      </c>
      <c r="G199" s="24">
        <v>4.67</v>
      </c>
      <c r="H199" s="24">
        <v>5.0910000000000002</v>
      </c>
      <c r="I199" s="24">
        <v>3</v>
      </c>
      <c r="V199" s="24">
        <v>198</v>
      </c>
      <c r="W199" s="25">
        <f t="shared" si="21"/>
        <v>0.26251180358829079</v>
      </c>
      <c r="X199" s="25">
        <f t="shared" si="22"/>
        <v>0.28305785123966926</v>
      </c>
      <c r="Y199" s="25">
        <f t="shared" si="23"/>
        <v>0.69691470054446469</v>
      </c>
      <c r="Z199" s="25">
        <f t="shared" si="24"/>
        <v>0.23704954954954974</v>
      </c>
      <c r="AA199" s="25">
        <f t="shared" si="25"/>
        <v>0.35495367070563083</v>
      </c>
      <c r="AB199" s="25">
        <f t="shared" si="26"/>
        <v>0.50772991457436711</v>
      </c>
      <c r="AC199" s="25">
        <f t="shared" si="27"/>
        <v>0.28163466272772042</v>
      </c>
      <c r="AD199" s="24">
        <v>3</v>
      </c>
    </row>
    <row r="200" spans="1:30" x14ac:dyDescent="0.25">
      <c r="A200" s="24">
        <v>199</v>
      </c>
      <c r="B200" s="24">
        <v>12.62</v>
      </c>
      <c r="C200" s="24">
        <v>13.67</v>
      </c>
      <c r="D200" s="24">
        <v>0.84809999999999997</v>
      </c>
      <c r="E200" s="24">
        <v>5.41</v>
      </c>
      <c r="F200" s="24">
        <v>2.911</v>
      </c>
      <c r="G200" s="24">
        <v>3.306</v>
      </c>
      <c r="H200" s="24">
        <v>5.2309999999999999</v>
      </c>
      <c r="I200" s="24">
        <v>3</v>
      </c>
      <c r="V200" s="24">
        <v>199</v>
      </c>
      <c r="W200" s="25">
        <f t="shared" si="21"/>
        <v>0.1916902738432483</v>
      </c>
      <c r="X200" s="25">
        <f t="shared" si="22"/>
        <v>0.26033057851239666</v>
      </c>
      <c r="Y200" s="25">
        <f t="shared" si="23"/>
        <v>0.36297640653357477</v>
      </c>
      <c r="Z200" s="25">
        <f t="shared" si="24"/>
        <v>0.28772522522522531</v>
      </c>
      <c r="AA200" s="25">
        <f t="shared" si="25"/>
        <v>0.20028510334996438</v>
      </c>
      <c r="AB200" s="25">
        <f t="shared" si="26"/>
        <v>0.33037745907501076</v>
      </c>
      <c r="AC200" s="25">
        <f t="shared" si="27"/>
        <v>0.35056622353520428</v>
      </c>
      <c r="AD200" s="24">
        <v>3</v>
      </c>
    </row>
    <row r="201" spans="1:30" x14ac:dyDescent="0.25">
      <c r="A201" s="24">
        <v>200</v>
      </c>
      <c r="B201" s="24">
        <v>12.76</v>
      </c>
      <c r="C201" s="24">
        <v>13.38</v>
      </c>
      <c r="D201" s="24">
        <v>0.89639999999999997</v>
      </c>
      <c r="E201" s="24">
        <v>5.0730000000000004</v>
      </c>
      <c r="F201" s="24">
        <v>3.1549999999999998</v>
      </c>
      <c r="G201" s="24">
        <v>2.8279999999999998</v>
      </c>
      <c r="H201" s="24">
        <v>4.83</v>
      </c>
      <c r="I201" s="24">
        <v>3</v>
      </c>
      <c r="V201" s="24">
        <v>200</v>
      </c>
      <c r="W201" s="25">
        <f t="shared" si="21"/>
        <v>0.20491029272898961</v>
      </c>
      <c r="X201" s="25">
        <f t="shared" si="22"/>
        <v>0.20041322314049601</v>
      </c>
      <c r="Y201" s="25">
        <f t="shared" si="23"/>
        <v>0.8012704174228672</v>
      </c>
      <c r="Z201" s="25">
        <f t="shared" si="24"/>
        <v>9.7972972972973194E-2</v>
      </c>
      <c r="AA201" s="25">
        <f t="shared" si="25"/>
        <v>0.37419814682822505</v>
      </c>
      <c r="AB201" s="25">
        <f t="shared" si="26"/>
        <v>0.26822608537362341</v>
      </c>
      <c r="AC201" s="25">
        <f t="shared" si="27"/>
        <v>0.15312653865091089</v>
      </c>
      <c r="AD201" s="24">
        <v>3</v>
      </c>
    </row>
    <row r="202" spans="1:30" x14ac:dyDescent="0.25">
      <c r="A202" s="24">
        <v>201</v>
      </c>
      <c r="B202" s="24">
        <v>12.38</v>
      </c>
      <c r="C202" s="24">
        <v>13.44</v>
      </c>
      <c r="D202" s="24">
        <v>0.8609</v>
      </c>
      <c r="E202" s="24">
        <v>5.2190000000000003</v>
      </c>
      <c r="F202" s="24">
        <v>2.9889999999999999</v>
      </c>
      <c r="G202" s="24">
        <v>5.4720000000000004</v>
      </c>
      <c r="H202" s="24">
        <v>5.0449999999999999</v>
      </c>
      <c r="I202" s="24">
        <v>3</v>
      </c>
      <c r="V202" s="24">
        <v>201</v>
      </c>
      <c r="W202" s="25">
        <f t="shared" si="21"/>
        <v>0.16902738432483483</v>
      </c>
      <c r="X202" s="25">
        <f t="shared" si="22"/>
        <v>0.21280991735537177</v>
      </c>
      <c r="Y202" s="25">
        <f t="shared" si="23"/>
        <v>0.4791288566243192</v>
      </c>
      <c r="Z202" s="25">
        <f t="shared" si="24"/>
        <v>0.18018018018018037</v>
      </c>
      <c r="AA202" s="25">
        <f t="shared" si="25"/>
        <v>0.25588025659301489</v>
      </c>
      <c r="AB202" s="25">
        <f t="shared" si="26"/>
        <v>0.61200899764656935</v>
      </c>
      <c r="AC202" s="25">
        <f t="shared" si="27"/>
        <v>0.25898572131954695</v>
      </c>
      <c r="AD202" s="24">
        <v>3</v>
      </c>
    </row>
    <row r="203" spans="1:30" x14ac:dyDescent="0.25">
      <c r="A203" s="24">
        <v>202</v>
      </c>
      <c r="B203" s="24">
        <v>12.67</v>
      </c>
      <c r="C203" s="24">
        <v>13.32</v>
      </c>
      <c r="D203" s="24">
        <v>0.89770000000000005</v>
      </c>
      <c r="E203" s="24">
        <v>4.984</v>
      </c>
      <c r="F203" s="24">
        <v>3.1349999999999998</v>
      </c>
      <c r="G203" s="24">
        <v>2.2999999999999998</v>
      </c>
      <c r="H203" s="24">
        <v>4.7450000000000001</v>
      </c>
      <c r="I203" s="24">
        <v>3</v>
      </c>
      <c r="V203" s="24">
        <v>202</v>
      </c>
      <c r="W203" s="25">
        <f t="shared" si="21"/>
        <v>0.19641170915958453</v>
      </c>
      <c r="X203" s="25">
        <f t="shared" si="22"/>
        <v>0.18801652892561987</v>
      </c>
      <c r="Y203" s="25">
        <f t="shared" si="23"/>
        <v>0.81306715063520907</v>
      </c>
      <c r="Z203" s="25">
        <f t="shared" si="24"/>
        <v>4.7860360360360343E-2</v>
      </c>
      <c r="AA203" s="25">
        <f t="shared" si="25"/>
        <v>0.35994297933000691</v>
      </c>
      <c r="AB203" s="25">
        <f t="shared" si="26"/>
        <v>0.19957352195451769</v>
      </c>
      <c r="AC203" s="25">
        <f t="shared" si="27"/>
        <v>0.11127523387493846</v>
      </c>
      <c r="AD203" s="24">
        <v>3</v>
      </c>
    </row>
    <row r="204" spans="1:30" x14ac:dyDescent="0.25">
      <c r="A204" s="24">
        <v>203</v>
      </c>
      <c r="B204" s="24">
        <v>11.18</v>
      </c>
      <c r="C204" s="24">
        <v>12.72</v>
      </c>
      <c r="D204" s="24">
        <v>0.86799999999999999</v>
      </c>
      <c r="E204" s="24">
        <v>5.0090000000000003</v>
      </c>
      <c r="F204" s="24">
        <v>2.81</v>
      </c>
      <c r="G204" s="24">
        <v>4.0510000000000002</v>
      </c>
      <c r="H204" s="24">
        <v>4.8280000000000003</v>
      </c>
      <c r="I204" s="24">
        <v>3</v>
      </c>
      <c r="V204" s="24">
        <v>203</v>
      </c>
      <c r="W204" s="25">
        <f t="shared" si="21"/>
        <v>5.5712936732766748E-2</v>
      </c>
      <c r="X204" s="25">
        <f t="shared" si="22"/>
        <v>6.404958677685961E-2</v>
      </c>
      <c r="Y204" s="25">
        <f t="shared" si="23"/>
        <v>0.54355716878402882</v>
      </c>
      <c r="Z204" s="25">
        <f t="shared" si="24"/>
        <v>6.1936936936937123E-2</v>
      </c>
      <c r="AA204" s="25">
        <f t="shared" si="25"/>
        <v>0.12829650748396301</v>
      </c>
      <c r="AB204" s="25">
        <f t="shared" si="26"/>
        <v>0.42724518586901411</v>
      </c>
      <c r="AC204" s="25">
        <f t="shared" si="27"/>
        <v>0.15214180206794692</v>
      </c>
      <c r="AD204" s="24">
        <v>3</v>
      </c>
    </row>
    <row r="205" spans="1:30" x14ac:dyDescent="0.25">
      <c r="A205" s="24">
        <v>204</v>
      </c>
      <c r="B205" s="24">
        <v>12.7</v>
      </c>
      <c r="C205" s="24">
        <v>13.41</v>
      </c>
      <c r="D205" s="24">
        <v>0.88739999999999997</v>
      </c>
      <c r="E205" s="24">
        <v>5.1829999999999998</v>
      </c>
      <c r="F205" s="24">
        <v>3.0910000000000002</v>
      </c>
      <c r="G205" s="24">
        <v>8.4559999999999995</v>
      </c>
      <c r="H205" s="24">
        <v>5</v>
      </c>
      <c r="I205" s="24">
        <v>3</v>
      </c>
      <c r="V205" s="24">
        <v>204</v>
      </c>
      <c r="W205" s="25">
        <f t="shared" si="21"/>
        <v>0.19924457034938617</v>
      </c>
      <c r="X205" s="25">
        <f t="shared" si="22"/>
        <v>0.20661157024793389</v>
      </c>
      <c r="Y205" s="25">
        <f t="shared" si="23"/>
        <v>0.71960072595281266</v>
      </c>
      <c r="Z205" s="25">
        <f t="shared" si="24"/>
        <v>0.15990990990990983</v>
      </c>
      <c r="AA205" s="25">
        <f t="shared" si="25"/>
        <v>0.3285816108339274</v>
      </c>
      <c r="AB205" s="25">
        <f t="shared" si="26"/>
        <v>1</v>
      </c>
      <c r="AC205" s="25">
        <f t="shared" si="27"/>
        <v>0.23682914820285572</v>
      </c>
      <c r="AD205" s="24">
        <v>3</v>
      </c>
    </row>
    <row r="206" spans="1:30" x14ac:dyDescent="0.25">
      <c r="A206" s="24">
        <v>205</v>
      </c>
      <c r="B206" s="24">
        <v>12.37</v>
      </c>
      <c r="C206" s="24">
        <v>13.47</v>
      </c>
      <c r="D206" s="24">
        <v>0.85670000000000002</v>
      </c>
      <c r="E206" s="24">
        <v>5.2039999999999997</v>
      </c>
      <c r="F206" s="24">
        <v>2.96</v>
      </c>
      <c r="G206" s="24">
        <v>3.919</v>
      </c>
      <c r="H206" s="24">
        <v>5.0010000000000003</v>
      </c>
      <c r="I206" s="24">
        <v>3</v>
      </c>
      <c r="V206" s="24">
        <v>205</v>
      </c>
      <c r="W206" s="25">
        <f t="shared" si="21"/>
        <v>0.16808309726156745</v>
      </c>
      <c r="X206" s="25">
        <f t="shared" si="22"/>
        <v>0.21900826446281002</v>
      </c>
      <c r="Y206" s="25">
        <f t="shared" si="23"/>
        <v>0.44101633393829393</v>
      </c>
      <c r="Z206" s="25">
        <f t="shared" si="24"/>
        <v>0.17173423423423409</v>
      </c>
      <c r="AA206" s="25">
        <f t="shared" si="25"/>
        <v>0.23521026372059869</v>
      </c>
      <c r="AB206" s="25">
        <f t="shared" si="26"/>
        <v>0.41008204501423767</v>
      </c>
      <c r="AC206" s="25">
        <f t="shared" si="27"/>
        <v>0.23732151649433791</v>
      </c>
      <c r="AD206" s="24">
        <v>3</v>
      </c>
    </row>
    <row r="207" spans="1:30" x14ac:dyDescent="0.25">
      <c r="A207" s="24">
        <v>206</v>
      </c>
      <c r="B207" s="24">
        <v>12.19</v>
      </c>
      <c r="C207" s="24">
        <v>13.2</v>
      </c>
      <c r="D207" s="24">
        <v>0.87829999999999997</v>
      </c>
      <c r="E207" s="24">
        <v>5.1369999999999996</v>
      </c>
      <c r="F207" s="24">
        <v>2.9809999999999999</v>
      </c>
      <c r="G207" s="24">
        <v>3.6309999999999998</v>
      </c>
      <c r="H207" s="24">
        <v>4.87</v>
      </c>
      <c r="I207" s="24">
        <v>3</v>
      </c>
      <c r="V207" s="24">
        <v>206</v>
      </c>
      <c r="W207" s="25">
        <f t="shared" si="21"/>
        <v>0.15108593012275728</v>
      </c>
      <c r="X207" s="25">
        <f t="shared" si="22"/>
        <v>0.16322314049586759</v>
      </c>
      <c r="Y207" s="25">
        <f t="shared" si="23"/>
        <v>0.63702359346642423</v>
      </c>
      <c r="Z207" s="25">
        <f t="shared" si="24"/>
        <v>0.13400900900900878</v>
      </c>
      <c r="AA207" s="25">
        <f t="shared" si="25"/>
        <v>0.25017818959372762</v>
      </c>
      <c r="AB207" s="25">
        <f t="shared" si="26"/>
        <v>0.37263519224017999</v>
      </c>
      <c r="AC207" s="25">
        <f t="shared" si="27"/>
        <v>0.17282127031019204</v>
      </c>
      <c r="AD207" s="24">
        <v>3</v>
      </c>
    </row>
    <row r="208" spans="1:30" x14ac:dyDescent="0.25">
      <c r="A208" s="24">
        <v>207</v>
      </c>
      <c r="B208" s="24">
        <v>11.23</v>
      </c>
      <c r="C208" s="24">
        <v>12.88</v>
      </c>
      <c r="D208" s="24">
        <v>0.85109999999999997</v>
      </c>
      <c r="E208" s="24">
        <v>5.14</v>
      </c>
      <c r="F208" s="24">
        <v>2.7949999999999999</v>
      </c>
      <c r="G208" s="24">
        <v>4.3250000000000002</v>
      </c>
      <c r="H208" s="24">
        <v>5.0030000000000001</v>
      </c>
      <c r="I208" s="24">
        <v>3</v>
      </c>
      <c r="V208" s="24">
        <v>207</v>
      </c>
      <c r="W208" s="25">
        <f t="shared" si="21"/>
        <v>6.0434372049102979E-2</v>
      </c>
      <c r="X208" s="25">
        <f t="shared" si="22"/>
        <v>9.710743801652906E-2</v>
      </c>
      <c r="Y208" s="25">
        <f t="shared" si="23"/>
        <v>0.39019963702359295</v>
      </c>
      <c r="Z208" s="25">
        <f t="shared" si="24"/>
        <v>0.13569819819819803</v>
      </c>
      <c r="AA208" s="25">
        <f t="shared" si="25"/>
        <v>0.11760513186029935</v>
      </c>
      <c r="AB208" s="25">
        <f t="shared" si="26"/>
        <v>0.46287170552211065</v>
      </c>
      <c r="AC208" s="25">
        <f t="shared" si="27"/>
        <v>0.23830625307730186</v>
      </c>
      <c r="AD208" s="24">
        <v>3</v>
      </c>
    </row>
    <row r="209" spans="1:30" x14ac:dyDescent="0.25">
      <c r="A209" s="24">
        <v>208</v>
      </c>
      <c r="B209" s="24">
        <v>13.2</v>
      </c>
      <c r="C209" s="24">
        <v>13.66</v>
      </c>
      <c r="D209" s="24">
        <v>0.88829999999999998</v>
      </c>
      <c r="E209" s="24">
        <v>5.2359999999999998</v>
      </c>
      <c r="F209" s="24">
        <v>3.2320000000000002</v>
      </c>
      <c r="G209" s="24">
        <v>8.3149999999999995</v>
      </c>
      <c r="H209" s="24">
        <v>5.056</v>
      </c>
      <c r="I209" s="24">
        <v>3</v>
      </c>
      <c r="V209" s="24">
        <v>208</v>
      </c>
      <c r="W209" s="25">
        <f t="shared" si="21"/>
        <v>0.24645892351274781</v>
      </c>
      <c r="X209" s="25">
        <f t="shared" si="22"/>
        <v>0.25826446280991738</v>
      </c>
      <c r="Y209" s="25">
        <f t="shared" si="23"/>
        <v>0.7277676950998182</v>
      </c>
      <c r="Z209" s="25">
        <f t="shared" si="24"/>
        <v>0.18975225225225212</v>
      </c>
      <c r="AA209" s="25">
        <f t="shared" si="25"/>
        <v>0.429080541696365</v>
      </c>
      <c r="AB209" s="25">
        <f t="shared" si="26"/>
        <v>0.98166664499603429</v>
      </c>
      <c r="AC209" s="25">
        <f t="shared" si="27"/>
        <v>0.26440177252584934</v>
      </c>
      <c r="AD209" s="24">
        <v>3</v>
      </c>
    </row>
    <row r="210" spans="1:30" x14ac:dyDescent="0.25">
      <c r="A210" s="24">
        <v>209</v>
      </c>
      <c r="B210" s="24">
        <v>11.84</v>
      </c>
      <c r="C210" s="24">
        <v>13.21</v>
      </c>
      <c r="D210" s="24">
        <v>0.85209999999999997</v>
      </c>
      <c r="E210" s="24">
        <v>5.1749999999999998</v>
      </c>
      <c r="F210" s="24">
        <v>2.8359999999999999</v>
      </c>
      <c r="G210" s="24">
        <v>3.5979999999999999</v>
      </c>
      <c r="H210" s="24">
        <v>5.0439999999999996</v>
      </c>
      <c r="I210" s="24">
        <v>3</v>
      </c>
      <c r="V210" s="24">
        <v>209</v>
      </c>
      <c r="W210" s="25">
        <f t="shared" si="21"/>
        <v>0.11803588290840415</v>
      </c>
      <c r="X210" s="25">
        <f t="shared" si="22"/>
        <v>0.16528925619834725</v>
      </c>
      <c r="Y210" s="25">
        <f t="shared" si="23"/>
        <v>0.39927404718693232</v>
      </c>
      <c r="Z210" s="25">
        <f t="shared" si="24"/>
        <v>0.15540540540540532</v>
      </c>
      <c r="AA210" s="25">
        <f t="shared" si="25"/>
        <v>0.1468282252316464</v>
      </c>
      <c r="AB210" s="25">
        <f t="shared" si="26"/>
        <v>0.36834440702648591</v>
      </c>
      <c r="AC210" s="25">
        <f t="shared" si="27"/>
        <v>0.25849335302806475</v>
      </c>
      <c r="AD210" s="24">
        <v>3</v>
      </c>
    </row>
    <row r="211" spans="1:30" x14ac:dyDescent="0.25">
      <c r="A211" s="24">
        <v>210</v>
      </c>
      <c r="B211" s="24">
        <v>12.3</v>
      </c>
      <c r="C211" s="24">
        <v>13.34</v>
      </c>
      <c r="D211" s="24">
        <v>0.86839999999999995</v>
      </c>
      <c r="E211" s="24">
        <v>5.2430000000000003</v>
      </c>
      <c r="F211" s="24">
        <v>2.9740000000000002</v>
      </c>
      <c r="G211" s="24">
        <v>5.6369999999999996</v>
      </c>
      <c r="H211" s="24">
        <v>5.0629999999999997</v>
      </c>
      <c r="I211" s="24">
        <v>3</v>
      </c>
      <c r="V211" s="24">
        <v>210</v>
      </c>
      <c r="W211" s="25">
        <f t="shared" si="21"/>
        <v>0.16147308781869696</v>
      </c>
      <c r="X211" s="25">
        <f t="shared" si="22"/>
        <v>0.19214876033057846</v>
      </c>
      <c r="Y211" s="25">
        <f t="shared" si="23"/>
        <v>0.54718693284936415</v>
      </c>
      <c r="Z211" s="25">
        <f t="shared" si="24"/>
        <v>0.19369369369369388</v>
      </c>
      <c r="AA211" s="25">
        <f t="shared" si="25"/>
        <v>0.24518888096935151</v>
      </c>
      <c r="AB211" s="25">
        <f t="shared" si="26"/>
        <v>0.63346292371503987</v>
      </c>
      <c r="AC211" s="25">
        <f t="shared" si="27"/>
        <v>0.26784835056622336</v>
      </c>
      <c r="AD211" s="24">
        <v>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211"/>
  <sheetViews>
    <sheetView showGridLines="0" workbookViewId="0"/>
  </sheetViews>
  <sheetFormatPr defaultRowHeight="12.75" x14ac:dyDescent="0.2"/>
  <cols>
    <col min="1" max="1" width="5.42578125" bestFit="1" customWidth="1"/>
    <col min="2" max="6" width="7.5703125" bestFit="1" customWidth="1"/>
    <col min="7" max="8" width="7.5703125" customWidth="1"/>
    <col min="9" max="9" width="2" bestFit="1" customWidth="1"/>
    <col min="10" max="10" width="3.28515625" customWidth="1"/>
  </cols>
  <sheetData>
    <row r="1" spans="1:15" x14ac:dyDescent="0.2">
      <c r="A1" t="s">
        <v>75</v>
      </c>
      <c r="B1" t="s">
        <v>61</v>
      </c>
      <c r="C1" t="s">
        <v>62</v>
      </c>
      <c r="D1" t="s">
        <v>63</v>
      </c>
      <c r="E1" t="s">
        <v>64</v>
      </c>
      <c r="F1" t="s">
        <v>65</v>
      </c>
      <c r="G1" t="s">
        <v>122</v>
      </c>
      <c r="H1" t="s">
        <v>123</v>
      </c>
      <c r="I1" t="s">
        <v>46</v>
      </c>
      <c r="K1" s="61" t="s">
        <v>70</v>
      </c>
      <c r="L1" s="61" t="s">
        <v>71</v>
      </c>
      <c r="M1" s="61" t="s">
        <v>72</v>
      </c>
      <c r="O1" s="79" t="s">
        <v>232</v>
      </c>
    </row>
    <row r="2" spans="1:15" x14ac:dyDescent="0.2">
      <c r="A2">
        <v>1</v>
      </c>
      <c r="B2" s="30">
        <v>0.44098205854579792</v>
      </c>
      <c r="C2" s="30">
        <v>0.50206611570247928</v>
      </c>
      <c r="D2" s="30">
        <v>0.570780399274047</v>
      </c>
      <c r="E2" s="30">
        <v>0.48648648648648646</v>
      </c>
      <c r="F2" s="30">
        <v>0.48610121168923714</v>
      </c>
      <c r="G2" s="30">
        <v>0.18930164220052273</v>
      </c>
      <c r="H2" s="30">
        <v>0.34515017232890188</v>
      </c>
      <c r="I2">
        <v>1</v>
      </c>
      <c r="K2" s="31">
        <f>IF(AND(I2=INT(RIGHT($K$1,1)),INT(RIGHT($K$1,1))=INT(RIGHT($K$1,1))),1,0)</f>
        <v>1</v>
      </c>
      <c r="L2" s="31">
        <f>IF(AND(I2=INT(RIGHT($L$1,1)),INT(RIGHT($L$1,1))=INT(RIGHT($L$1,1))),1,0)</f>
        <v>0</v>
      </c>
      <c r="M2" s="31">
        <f>IF(AND(I2=INT(RIGHT($M$1,1)),INT(RIGHT($M$1,1))=INT(RIGHT($M$1,1))),1,0)</f>
        <v>0</v>
      </c>
    </row>
    <row r="3" spans="1:15" x14ac:dyDescent="0.2">
      <c r="A3">
        <v>2</v>
      </c>
      <c r="B3" s="30">
        <v>0.40509915014164316</v>
      </c>
      <c r="C3" s="30">
        <v>0.44628099173553726</v>
      </c>
      <c r="D3" s="30">
        <v>0.66243194192377475</v>
      </c>
      <c r="E3" s="30">
        <v>0.36880630630630651</v>
      </c>
      <c r="F3" s="30">
        <v>0.50106913756236637</v>
      </c>
      <c r="G3" s="30">
        <v>3.2883017592219378E-2</v>
      </c>
      <c r="H3" s="30">
        <v>0.21516494337764666</v>
      </c>
      <c r="I3">
        <v>1</v>
      </c>
      <c r="K3" s="31">
        <f t="shared" ref="K3:K66" si="0">IF(AND(I3=INT(RIGHT($K$1,1)),INT(RIGHT($K$1,1))=INT(RIGHT($K$1,1))),1,0)</f>
        <v>1</v>
      </c>
      <c r="L3" s="31">
        <f t="shared" ref="L3:L66" si="1">IF(AND(I3=INT(RIGHT($L$1,1)),INT(RIGHT($L$1,1))=INT(RIGHT($L$1,1))),1,0)</f>
        <v>0</v>
      </c>
      <c r="M3" s="31">
        <f t="shared" ref="M3:M66" si="2">IF(AND(I3=INT(RIGHT($M$1,1)),INT(RIGHT($M$1,1))=INT(RIGHT($M$1,1))),1,0)</f>
        <v>0</v>
      </c>
    </row>
    <row r="4" spans="1:15" x14ac:dyDescent="0.2">
      <c r="A4">
        <v>3</v>
      </c>
      <c r="B4" s="30">
        <v>0.34938621340887621</v>
      </c>
      <c r="C4" s="30">
        <v>0.34710743801652888</v>
      </c>
      <c r="D4" s="30">
        <v>0.87931034482758641</v>
      </c>
      <c r="E4" s="30">
        <v>0.22072072072072094</v>
      </c>
      <c r="F4" s="30">
        <v>0.50392017106201004</v>
      </c>
      <c r="G4" s="30">
        <v>0.25145301590191005</v>
      </c>
      <c r="H4" s="30">
        <v>0.15066469719350079</v>
      </c>
      <c r="I4">
        <v>1</v>
      </c>
      <c r="K4" s="31">
        <f t="shared" si="0"/>
        <v>1</v>
      </c>
      <c r="L4" s="31">
        <f t="shared" si="1"/>
        <v>0</v>
      </c>
      <c r="M4" s="31">
        <f t="shared" si="2"/>
        <v>0</v>
      </c>
    </row>
    <row r="5" spans="1:15" x14ac:dyDescent="0.2">
      <c r="A5">
        <v>4</v>
      </c>
      <c r="B5" s="30">
        <v>0.3068932955618508</v>
      </c>
      <c r="C5" s="30">
        <v>0.31611570247933873</v>
      </c>
      <c r="D5" s="30">
        <v>0.79310344827586166</v>
      </c>
      <c r="E5" s="30">
        <v>0.23930180180180172</v>
      </c>
      <c r="F5" s="30">
        <v>0.53385602280826794</v>
      </c>
      <c r="G5" s="30">
        <v>0.19424254638598865</v>
      </c>
      <c r="H5" s="30">
        <v>0.14081733136385999</v>
      </c>
      <c r="I5">
        <v>1</v>
      </c>
      <c r="K5" s="31">
        <f t="shared" si="0"/>
        <v>1</v>
      </c>
      <c r="L5" s="31">
        <f t="shared" si="1"/>
        <v>0</v>
      </c>
      <c r="M5" s="31">
        <f t="shared" si="2"/>
        <v>0</v>
      </c>
    </row>
    <row r="6" spans="1:15" x14ac:dyDescent="0.2">
      <c r="A6">
        <v>5</v>
      </c>
      <c r="B6" s="30">
        <v>0.52407932011331448</v>
      </c>
      <c r="C6" s="30">
        <v>0.53305785123966942</v>
      </c>
      <c r="D6" s="30">
        <v>0.86479128856624288</v>
      </c>
      <c r="E6" s="30">
        <v>0.42736486486486508</v>
      </c>
      <c r="F6" s="30">
        <v>0.66429080541696339</v>
      </c>
      <c r="G6" s="30">
        <v>7.6701036289641006E-2</v>
      </c>
      <c r="H6" s="30">
        <v>0.32299359921221066</v>
      </c>
      <c r="I6">
        <v>1</v>
      </c>
      <c r="K6" s="31">
        <f t="shared" si="0"/>
        <v>1</v>
      </c>
      <c r="L6" s="31">
        <f t="shared" si="1"/>
        <v>0</v>
      </c>
      <c r="M6" s="31">
        <f t="shared" si="2"/>
        <v>0</v>
      </c>
    </row>
    <row r="7" spans="1:15" x14ac:dyDescent="0.2">
      <c r="A7">
        <v>6</v>
      </c>
      <c r="B7" s="30">
        <v>0.35788479697828152</v>
      </c>
      <c r="C7" s="30">
        <v>0.37190082644628114</v>
      </c>
      <c r="D7" s="30">
        <v>0.78947368421052622</v>
      </c>
      <c r="E7" s="30">
        <v>0.27421171171171183</v>
      </c>
      <c r="F7" s="30">
        <v>0.48610121168923714</v>
      </c>
      <c r="G7" s="30">
        <v>0.22063737663992516</v>
      </c>
      <c r="H7" s="30">
        <v>0.21516494337764666</v>
      </c>
      <c r="I7">
        <v>1</v>
      </c>
      <c r="K7" s="31">
        <f t="shared" si="0"/>
        <v>1</v>
      </c>
      <c r="L7" s="31">
        <f t="shared" si="1"/>
        <v>0</v>
      </c>
      <c r="M7" s="31">
        <f t="shared" si="2"/>
        <v>0</v>
      </c>
    </row>
    <row r="8" spans="1:15" x14ac:dyDescent="0.2">
      <c r="A8">
        <v>7</v>
      </c>
      <c r="B8" s="30">
        <v>0.38715769593956562</v>
      </c>
      <c r="C8" s="30">
        <v>0.42975206611570249</v>
      </c>
      <c r="D8" s="30">
        <v>0.65154264972776765</v>
      </c>
      <c r="E8" s="30">
        <v>0.37387387387387377</v>
      </c>
      <c r="F8" s="30">
        <v>0.44832501781895923</v>
      </c>
      <c r="G8" s="30">
        <v>0.36678412149423351</v>
      </c>
      <c r="H8" s="30">
        <v>0.34465780403742013</v>
      </c>
      <c r="I8">
        <v>1</v>
      </c>
      <c r="K8" s="31">
        <f t="shared" si="0"/>
        <v>1</v>
      </c>
      <c r="L8" s="31">
        <f t="shared" si="1"/>
        <v>0</v>
      </c>
      <c r="M8" s="31">
        <f t="shared" si="2"/>
        <v>0</v>
      </c>
    </row>
    <row r="9" spans="1:15" x14ac:dyDescent="0.2">
      <c r="A9">
        <v>8</v>
      </c>
      <c r="B9" s="30">
        <v>0.33238904627006605</v>
      </c>
      <c r="C9" s="30">
        <v>0.34917355371900816</v>
      </c>
      <c r="D9" s="30">
        <v>0.75317604355716872</v>
      </c>
      <c r="E9" s="30">
        <v>0.29335585585585583</v>
      </c>
      <c r="F9" s="30">
        <v>0.47897362794012827</v>
      </c>
      <c r="G9" s="30">
        <v>0.2515830396962645</v>
      </c>
      <c r="H9" s="30">
        <v>0.23682914820285572</v>
      </c>
      <c r="I9">
        <v>1</v>
      </c>
      <c r="K9" s="31">
        <f t="shared" si="0"/>
        <v>1</v>
      </c>
      <c r="L9" s="31">
        <f t="shared" si="1"/>
        <v>0</v>
      </c>
      <c r="M9" s="31">
        <f t="shared" si="2"/>
        <v>0</v>
      </c>
    </row>
    <row r="10" spans="1:15" x14ac:dyDescent="0.2">
      <c r="A10">
        <v>9</v>
      </c>
      <c r="B10" s="30">
        <v>0.5703493862134088</v>
      </c>
      <c r="C10" s="30">
        <v>0.63016528925619852</v>
      </c>
      <c r="D10" s="30">
        <v>0.60435571687840306</v>
      </c>
      <c r="E10" s="30">
        <v>0.64977477477477485</v>
      </c>
      <c r="F10" s="30">
        <v>0.59515324305060557</v>
      </c>
      <c r="G10" s="30">
        <v>0.16576733542238234</v>
      </c>
      <c r="H10" s="30">
        <v>0.66863613983259473</v>
      </c>
      <c r="I10">
        <v>1</v>
      </c>
      <c r="K10" s="31">
        <f t="shared" si="0"/>
        <v>1</v>
      </c>
      <c r="L10" s="31">
        <f t="shared" si="1"/>
        <v>0</v>
      </c>
      <c r="M10" s="31">
        <f t="shared" si="2"/>
        <v>0</v>
      </c>
    </row>
    <row r="11" spans="1:15" x14ac:dyDescent="0.2">
      <c r="A11">
        <v>10</v>
      </c>
      <c r="B11" s="30">
        <v>0.55240793201133154</v>
      </c>
      <c r="C11" s="30">
        <v>0.58677685950413216</v>
      </c>
      <c r="D11" s="30">
        <v>0.72504537205081665</v>
      </c>
      <c r="E11" s="30">
        <v>0.55461711711711736</v>
      </c>
      <c r="F11" s="30">
        <v>0.62366357804704187</v>
      </c>
      <c r="G11" s="30">
        <v>0.15653564602322226</v>
      </c>
      <c r="H11" s="30">
        <v>0.49926144756277713</v>
      </c>
      <c r="I11">
        <v>1</v>
      </c>
      <c r="K11" s="31">
        <f t="shared" si="0"/>
        <v>1</v>
      </c>
      <c r="L11" s="31">
        <f t="shared" si="1"/>
        <v>0</v>
      </c>
      <c r="M11" s="31">
        <f t="shared" si="2"/>
        <v>0</v>
      </c>
    </row>
    <row r="12" spans="1:15" x14ac:dyDescent="0.2">
      <c r="A12">
        <v>11</v>
      </c>
      <c r="B12" s="30">
        <v>0.44098205854579792</v>
      </c>
      <c r="C12" s="30">
        <v>0.50413223140495855</v>
      </c>
      <c r="D12" s="30">
        <v>0.55807622504537224</v>
      </c>
      <c r="E12" s="30">
        <v>0.45889639639639668</v>
      </c>
      <c r="F12" s="30">
        <v>0.43620812544547388</v>
      </c>
      <c r="G12" s="30">
        <v>0.49121689269136259</v>
      </c>
      <c r="H12" s="30">
        <v>0.39143279172821271</v>
      </c>
      <c r="I12">
        <v>1</v>
      </c>
      <c r="K12" s="31">
        <f t="shared" si="0"/>
        <v>1</v>
      </c>
      <c r="L12" s="31">
        <f t="shared" si="1"/>
        <v>0</v>
      </c>
      <c r="M12" s="31">
        <f t="shared" si="2"/>
        <v>0</v>
      </c>
    </row>
    <row r="13" spans="1:15" x14ac:dyDescent="0.2">
      <c r="A13">
        <v>12</v>
      </c>
      <c r="B13" s="30">
        <v>0.32483474976392818</v>
      </c>
      <c r="C13" s="30">
        <v>0.36157024793388431</v>
      </c>
      <c r="D13" s="30">
        <v>0.64882032667876621</v>
      </c>
      <c r="E13" s="30">
        <v>0.30349099099099086</v>
      </c>
      <c r="F13" s="30">
        <v>0.40698503207412684</v>
      </c>
      <c r="G13" s="30">
        <v>0.12376964984592183</v>
      </c>
      <c r="H13" s="30">
        <v>0.23732151649433791</v>
      </c>
      <c r="I13">
        <v>1</v>
      </c>
      <c r="K13" s="31">
        <f t="shared" si="0"/>
        <v>1</v>
      </c>
      <c r="L13" s="31">
        <f t="shared" si="1"/>
        <v>0</v>
      </c>
      <c r="M13" s="31">
        <f t="shared" si="2"/>
        <v>0</v>
      </c>
    </row>
    <row r="14" spans="1:15" x14ac:dyDescent="0.2">
      <c r="A14">
        <v>13</v>
      </c>
      <c r="B14" s="30">
        <v>0.31161473087818703</v>
      </c>
      <c r="C14" s="30">
        <v>0.33264462809917344</v>
      </c>
      <c r="D14" s="30">
        <v>0.72504537205081665</v>
      </c>
      <c r="E14" s="30">
        <v>0.30405405405405411</v>
      </c>
      <c r="F14" s="30">
        <v>0.4055595153243049</v>
      </c>
      <c r="G14" s="30">
        <v>0.41879363923598029</v>
      </c>
      <c r="H14" s="30">
        <v>0.10782865583456443</v>
      </c>
      <c r="I14">
        <v>1</v>
      </c>
      <c r="K14" s="31">
        <f t="shared" si="0"/>
        <v>1</v>
      </c>
      <c r="L14" s="31">
        <f t="shared" si="1"/>
        <v>0</v>
      </c>
      <c r="M14" s="31">
        <f t="shared" si="2"/>
        <v>0</v>
      </c>
    </row>
    <row r="15" spans="1:15" x14ac:dyDescent="0.2">
      <c r="A15">
        <v>14</v>
      </c>
      <c r="B15" s="30">
        <v>0.30122757318224735</v>
      </c>
      <c r="C15" s="30">
        <v>0.34090909090909099</v>
      </c>
      <c r="D15" s="30">
        <v>0.61524500907441015</v>
      </c>
      <c r="E15" s="30">
        <v>0.32657657657657663</v>
      </c>
      <c r="F15" s="30">
        <v>0.37491090520313619</v>
      </c>
      <c r="G15" s="30">
        <v>0.30827341403476843</v>
      </c>
      <c r="H15" s="30">
        <v>0.17380600689315598</v>
      </c>
      <c r="I15">
        <v>1</v>
      </c>
      <c r="K15" s="31">
        <f t="shared" si="0"/>
        <v>1</v>
      </c>
      <c r="L15" s="31">
        <f t="shared" si="1"/>
        <v>0</v>
      </c>
      <c r="M15" s="31">
        <f t="shared" si="2"/>
        <v>0</v>
      </c>
    </row>
    <row r="16" spans="1:15" x14ac:dyDescent="0.2">
      <c r="A16">
        <v>15</v>
      </c>
      <c r="B16" s="30">
        <v>0.2974504249291785</v>
      </c>
      <c r="C16" s="30">
        <v>0.33884297520661172</v>
      </c>
      <c r="D16" s="30">
        <v>0.60163339382940051</v>
      </c>
      <c r="E16" s="30">
        <v>0.32826576576576588</v>
      </c>
      <c r="F16" s="30">
        <v>0.34497505345687801</v>
      </c>
      <c r="G16" s="30">
        <v>0.28174855998647758</v>
      </c>
      <c r="H16" s="30">
        <v>0.15066469719350079</v>
      </c>
      <c r="I16">
        <v>1</v>
      </c>
      <c r="K16" s="31">
        <f t="shared" si="0"/>
        <v>1</v>
      </c>
      <c r="L16" s="31">
        <f t="shared" si="1"/>
        <v>0</v>
      </c>
      <c r="M16" s="31">
        <f t="shared" si="2"/>
        <v>0</v>
      </c>
    </row>
    <row r="17" spans="1:13" x14ac:dyDescent="0.2">
      <c r="A17">
        <v>16</v>
      </c>
      <c r="B17" s="30">
        <v>0.37771482530689332</v>
      </c>
      <c r="C17" s="30">
        <v>0.38636363636363619</v>
      </c>
      <c r="D17" s="30">
        <v>0.82758620689655149</v>
      </c>
      <c r="E17" s="30">
        <v>0.25450450450450451</v>
      </c>
      <c r="F17" s="30">
        <v>0.50106913756236637</v>
      </c>
      <c r="G17" s="30">
        <v>0.44466837431249917</v>
      </c>
      <c r="H17" s="30">
        <v>0.12900049236829128</v>
      </c>
      <c r="I17">
        <v>1</v>
      </c>
      <c r="K17" s="31">
        <f t="shared" si="0"/>
        <v>1</v>
      </c>
      <c r="L17" s="31">
        <f t="shared" si="1"/>
        <v>0</v>
      </c>
      <c r="M17" s="31">
        <f t="shared" si="2"/>
        <v>0</v>
      </c>
    </row>
    <row r="18" spans="1:13" x14ac:dyDescent="0.2">
      <c r="A18">
        <v>17</v>
      </c>
      <c r="B18" s="30">
        <v>0.32105760151085933</v>
      </c>
      <c r="C18" s="30">
        <v>0.29338842975206608</v>
      </c>
      <c r="D18" s="30">
        <v>1</v>
      </c>
      <c r="E18" s="30">
        <v>0.12387387387387375</v>
      </c>
      <c r="F18" s="30">
        <v>0.53670705630791149</v>
      </c>
      <c r="G18" s="30">
        <v>0.58106333459023007</v>
      </c>
      <c r="H18" s="30">
        <v>0.12900049236829128</v>
      </c>
      <c r="I18">
        <v>1</v>
      </c>
      <c r="K18" s="31">
        <f t="shared" si="0"/>
        <v>1</v>
      </c>
      <c r="L18" s="31">
        <f t="shared" si="1"/>
        <v>0</v>
      </c>
      <c r="M18" s="31">
        <f t="shared" si="2"/>
        <v>0</v>
      </c>
    </row>
    <row r="19" spans="1:13" x14ac:dyDescent="0.2">
      <c r="A19">
        <v>18</v>
      </c>
      <c r="B19" s="30">
        <v>0.4815864022662889</v>
      </c>
      <c r="C19" s="30">
        <v>0.48347107438016529</v>
      </c>
      <c r="D19" s="30">
        <v>0.88656987295825807</v>
      </c>
      <c r="E19" s="30">
        <v>0.35360360360360371</v>
      </c>
      <c r="F19" s="30">
        <v>0.63007840342123989</v>
      </c>
      <c r="G19" s="30">
        <v>0.10842684211210653</v>
      </c>
      <c r="H19" s="30">
        <v>0.25947808961102914</v>
      </c>
      <c r="I19">
        <v>1</v>
      </c>
      <c r="K19" s="31">
        <f t="shared" si="0"/>
        <v>1</v>
      </c>
      <c r="L19" s="31">
        <f t="shared" si="1"/>
        <v>0</v>
      </c>
      <c r="M19" s="31">
        <f t="shared" si="2"/>
        <v>0</v>
      </c>
    </row>
    <row r="20" spans="1:13" x14ac:dyDescent="0.2">
      <c r="A20">
        <v>19</v>
      </c>
      <c r="B20" s="30">
        <v>0.38810198300283283</v>
      </c>
      <c r="C20" s="30">
        <v>0.37190082644628114</v>
      </c>
      <c r="D20" s="30">
        <v>0.97277676950998182</v>
      </c>
      <c r="E20" s="30">
        <v>0.17229729729729734</v>
      </c>
      <c r="F20" s="30">
        <v>0.59586600142551671</v>
      </c>
      <c r="G20" s="30">
        <v>0.13027083956364016</v>
      </c>
      <c r="H20" s="30">
        <v>6.400787789266367E-2</v>
      </c>
      <c r="I20">
        <v>1</v>
      </c>
      <c r="K20" s="31">
        <f t="shared" si="0"/>
        <v>1</v>
      </c>
      <c r="L20" s="31">
        <f t="shared" si="1"/>
        <v>0</v>
      </c>
      <c r="M20" s="31">
        <f t="shared" si="2"/>
        <v>0</v>
      </c>
    </row>
    <row r="21" spans="1:13" x14ac:dyDescent="0.2">
      <c r="A21">
        <v>20</v>
      </c>
      <c r="B21" s="30">
        <v>0.20113314447592076</v>
      </c>
      <c r="C21" s="30">
        <v>0.23966942148760334</v>
      </c>
      <c r="D21" s="30">
        <v>0.54900181488203281</v>
      </c>
      <c r="E21" s="30">
        <v>0.18412162162162163</v>
      </c>
      <c r="F21" s="30">
        <v>0.29864575908766922</v>
      </c>
      <c r="G21" s="30">
        <v>0.43387639938108685</v>
      </c>
      <c r="H21" s="30">
        <v>0.1944854751354011</v>
      </c>
      <c r="I21">
        <v>1</v>
      </c>
      <c r="K21" s="31">
        <f t="shared" si="0"/>
        <v>1</v>
      </c>
      <c r="L21" s="31">
        <f t="shared" si="1"/>
        <v>0</v>
      </c>
      <c r="M21" s="31">
        <f t="shared" si="2"/>
        <v>0</v>
      </c>
    </row>
    <row r="22" spans="1:13" x14ac:dyDescent="0.2">
      <c r="A22">
        <v>21</v>
      </c>
      <c r="B22" s="30">
        <v>0.33711048158640228</v>
      </c>
      <c r="C22" s="30">
        <v>0.4111570247933885</v>
      </c>
      <c r="D22" s="30">
        <v>0.45644283121597123</v>
      </c>
      <c r="E22" s="30">
        <v>0.42736486486486508</v>
      </c>
      <c r="F22" s="30">
        <v>0.35566642908054164</v>
      </c>
      <c r="G22" s="30">
        <v>0.29995189119608895</v>
      </c>
      <c r="H22" s="30">
        <v>0.32348596750369285</v>
      </c>
      <c r="I22">
        <v>1</v>
      </c>
      <c r="K22" s="31">
        <f t="shared" si="0"/>
        <v>1</v>
      </c>
      <c r="L22" s="31">
        <f t="shared" si="1"/>
        <v>0</v>
      </c>
      <c r="M22" s="31">
        <f t="shared" si="2"/>
        <v>0</v>
      </c>
    </row>
    <row r="23" spans="1:13" x14ac:dyDescent="0.2">
      <c r="A23">
        <v>22</v>
      </c>
      <c r="B23" s="30">
        <v>0.33238904627006605</v>
      </c>
      <c r="C23" s="30">
        <v>0.38223140495867763</v>
      </c>
      <c r="D23" s="30">
        <v>0.5816696914700541</v>
      </c>
      <c r="E23" s="30">
        <v>0.34966216216216195</v>
      </c>
      <c r="F23" s="30">
        <v>0.38346400570206707</v>
      </c>
      <c r="G23" s="30">
        <v>0.2500227541640121</v>
      </c>
      <c r="H23" s="30">
        <v>0.34465780403742013</v>
      </c>
      <c r="I23">
        <v>1</v>
      </c>
      <c r="K23" s="31">
        <f t="shared" si="0"/>
        <v>1</v>
      </c>
      <c r="L23" s="31">
        <f t="shared" si="1"/>
        <v>0</v>
      </c>
      <c r="M23" s="31">
        <f t="shared" si="2"/>
        <v>0</v>
      </c>
    </row>
    <row r="24" spans="1:13" x14ac:dyDescent="0.2">
      <c r="A24">
        <v>23</v>
      </c>
      <c r="B24" s="30">
        <v>0.4995278564683665</v>
      </c>
      <c r="C24" s="30">
        <v>0.51446280991735538</v>
      </c>
      <c r="D24" s="30">
        <v>0.82304900181488228</v>
      </c>
      <c r="E24" s="30">
        <v>0.40484234234234256</v>
      </c>
      <c r="F24" s="30">
        <v>0.62508909479686381</v>
      </c>
      <c r="G24" s="30">
        <v>0</v>
      </c>
      <c r="H24" s="30">
        <v>0.28163466272772042</v>
      </c>
      <c r="I24">
        <v>1</v>
      </c>
      <c r="K24" s="31">
        <f t="shared" si="0"/>
        <v>1</v>
      </c>
      <c r="L24" s="31">
        <f t="shared" si="1"/>
        <v>0</v>
      </c>
      <c r="M24" s="31">
        <f t="shared" si="2"/>
        <v>0</v>
      </c>
    </row>
    <row r="25" spans="1:13" x14ac:dyDescent="0.2">
      <c r="A25">
        <v>24</v>
      </c>
      <c r="B25" s="30">
        <v>0.14069877242681778</v>
      </c>
      <c r="C25" s="30">
        <v>0.16942148760330586</v>
      </c>
      <c r="D25" s="30">
        <v>0.5290381125226854</v>
      </c>
      <c r="E25" s="30">
        <v>0.11261261261261273</v>
      </c>
      <c r="F25" s="30">
        <v>0.21810406272273694</v>
      </c>
      <c r="G25" s="30">
        <v>8.4502463950903023E-2</v>
      </c>
      <c r="H25" s="30">
        <v>0.21762678483505674</v>
      </c>
      <c r="I25">
        <v>1</v>
      </c>
      <c r="K25" s="31">
        <f t="shared" si="0"/>
        <v>1</v>
      </c>
      <c r="L25" s="31">
        <f t="shared" si="1"/>
        <v>0</v>
      </c>
      <c r="M25" s="31">
        <f t="shared" si="2"/>
        <v>0</v>
      </c>
    </row>
    <row r="26" spans="1:13" x14ac:dyDescent="0.2">
      <c r="A26">
        <v>25</v>
      </c>
      <c r="B26" s="30">
        <v>0.41737488196411709</v>
      </c>
      <c r="C26" s="30">
        <v>0.48553719008264457</v>
      </c>
      <c r="D26" s="30">
        <v>0.52268602540834852</v>
      </c>
      <c r="E26" s="30">
        <v>0.50112612612612595</v>
      </c>
      <c r="F26" s="30">
        <v>0.43834640057020668</v>
      </c>
      <c r="G26" s="30">
        <v>0.13339141062814497</v>
      </c>
      <c r="H26" s="30">
        <v>0.23732151649433791</v>
      </c>
      <c r="I26">
        <v>1</v>
      </c>
      <c r="K26" s="31">
        <f t="shared" si="0"/>
        <v>1</v>
      </c>
      <c r="L26" s="31">
        <f t="shared" si="1"/>
        <v>0</v>
      </c>
      <c r="M26" s="31">
        <f t="shared" si="2"/>
        <v>0</v>
      </c>
    </row>
    <row r="27" spans="1:13" x14ac:dyDescent="0.2">
      <c r="A27">
        <v>26</v>
      </c>
      <c r="B27" s="30">
        <v>0.52880075542965077</v>
      </c>
      <c r="C27" s="30">
        <v>0.56818181818181823</v>
      </c>
      <c r="D27" s="30">
        <v>0.69691470054446469</v>
      </c>
      <c r="E27" s="30">
        <v>0.52590090090090102</v>
      </c>
      <c r="F27" s="30">
        <v>0.56379187455452573</v>
      </c>
      <c r="G27" s="30">
        <v>1.7930281241467193E-2</v>
      </c>
      <c r="H27" s="30">
        <v>0.3879862136878387</v>
      </c>
      <c r="I27">
        <v>1</v>
      </c>
      <c r="K27" s="31">
        <f t="shared" si="0"/>
        <v>1</v>
      </c>
      <c r="L27" s="31">
        <f t="shared" si="1"/>
        <v>0</v>
      </c>
      <c r="M27" s="31">
        <f t="shared" si="2"/>
        <v>0</v>
      </c>
    </row>
    <row r="28" spans="1:13" x14ac:dyDescent="0.2">
      <c r="A28">
        <v>27</v>
      </c>
      <c r="B28" s="30">
        <v>0.22946175637393765</v>
      </c>
      <c r="C28" s="30">
        <v>0.2789256198347107</v>
      </c>
      <c r="D28" s="30">
        <v>0.5081669691470051</v>
      </c>
      <c r="E28" s="30">
        <v>0.27927927927927904</v>
      </c>
      <c r="F28" s="30">
        <v>0.28225231646471832</v>
      </c>
      <c r="G28" s="30">
        <v>0.33908905329675337</v>
      </c>
      <c r="H28" s="30">
        <v>0.15066469719350079</v>
      </c>
      <c r="I28">
        <v>1</v>
      </c>
      <c r="K28" s="31">
        <f t="shared" si="0"/>
        <v>1</v>
      </c>
      <c r="L28" s="31">
        <f t="shared" si="1"/>
        <v>0</v>
      </c>
      <c r="M28" s="31">
        <f t="shared" si="2"/>
        <v>0</v>
      </c>
    </row>
    <row r="29" spans="1:13" x14ac:dyDescent="0.2">
      <c r="A29">
        <v>28</v>
      </c>
      <c r="B29" s="30">
        <v>0.20302171860245519</v>
      </c>
      <c r="C29" s="30">
        <v>0.26033057851239666</v>
      </c>
      <c r="D29" s="30">
        <v>0.43829401088929243</v>
      </c>
      <c r="E29" s="30">
        <v>0.27927927927927904</v>
      </c>
      <c r="F29" s="30">
        <v>0.23235923022095506</v>
      </c>
      <c r="G29" s="30">
        <v>0.22609837600280855</v>
      </c>
      <c r="H29" s="30">
        <v>0.17232890201870985</v>
      </c>
      <c r="I29">
        <v>1</v>
      </c>
      <c r="K29" s="31">
        <f t="shared" si="0"/>
        <v>1</v>
      </c>
      <c r="L29" s="31">
        <f t="shared" si="1"/>
        <v>0</v>
      </c>
      <c r="M29" s="31">
        <f t="shared" si="2"/>
        <v>0</v>
      </c>
    </row>
    <row r="30" spans="1:13" x14ac:dyDescent="0.2">
      <c r="A30">
        <v>29</v>
      </c>
      <c r="B30" s="30">
        <v>0.33238904627006605</v>
      </c>
      <c r="C30" s="30">
        <v>0.36570247933884292</v>
      </c>
      <c r="D30" s="30">
        <v>0.67059891107078029</v>
      </c>
      <c r="E30" s="30">
        <v>0.36148648648648674</v>
      </c>
      <c r="F30" s="30">
        <v>0.42124019957234499</v>
      </c>
      <c r="G30" s="30">
        <v>0.25860432459140026</v>
      </c>
      <c r="H30" s="30">
        <v>0.25553914327917293</v>
      </c>
      <c r="I30">
        <v>1</v>
      </c>
      <c r="K30" s="31">
        <f t="shared" si="0"/>
        <v>1</v>
      </c>
      <c r="L30" s="31">
        <f t="shared" si="1"/>
        <v>0</v>
      </c>
      <c r="M30" s="31">
        <f t="shared" si="2"/>
        <v>0</v>
      </c>
    </row>
    <row r="31" spans="1:13" x14ac:dyDescent="0.2">
      <c r="A31">
        <v>30</v>
      </c>
      <c r="B31" s="30">
        <v>0.27006610009442866</v>
      </c>
      <c r="C31" s="30">
        <v>0.33264462809917344</v>
      </c>
      <c r="D31" s="30">
        <v>0.47459165154264998</v>
      </c>
      <c r="E31" s="30">
        <v>0.34740990990990994</v>
      </c>
      <c r="F31" s="30">
        <v>0.3100498930862437</v>
      </c>
      <c r="G31" s="30">
        <v>0.35963281280474335</v>
      </c>
      <c r="H31" s="30">
        <v>0.28458887247661269</v>
      </c>
      <c r="I31">
        <v>1</v>
      </c>
      <c r="K31" s="31">
        <f t="shared" si="0"/>
        <v>1</v>
      </c>
      <c r="L31" s="31">
        <f t="shared" si="1"/>
        <v>0</v>
      </c>
      <c r="M31" s="31">
        <f t="shared" si="2"/>
        <v>0</v>
      </c>
    </row>
    <row r="32" spans="1:13" x14ac:dyDescent="0.2">
      <c r="A32">
        <v>31</v>
      </c>
      <c r="B32" s="30">
        <v>0.24268177525967896</v>
      </c>
      <c r="C32" s="30">
        <v>0.29132231404958681</v>
      </c>
      <c r="D32" s="30">
        <v>0.52722323049001762</v>
      </c>
      <c r="E32" s="30">
        <v>0.31249999999999989</v>
      </c>
      <c r="F32" s="30">
        <v>0.24590163934426235</v>
      </c>
      <c r="G32" s="30">
        <v>1.1702141491893013E-2</v>
      </c>
      <c r="H32" s="30">
        <v>0.26440177252584934</v>
      </c>
      <c r="I32">
        <v>1</v>
      </c>
      <c r="K32" s="31">
        <f t="shared" si="0"/>
        <v>1</v>
      </c>
      <c r="L32" s="31">
        <f t="shared" si="1"/>
        <v>0</v>
      </c>
      <c r="M32" s="31">
        <f t="shared" si="2"/>
        <v>0</v>
      </c>
    </row>
    <row r="33" spans="1:13" x14ac:dyDescent="0.2">
      <c r="A33">
        <v>32</v>
      </c>
      <c r="B33" s="30">
        <v>0.46270066100094431</v>
      </c>
      <c r="C33" s="30">
        <v>0.5227272727272726</v>
      </c>
      <c r="D33" s="30">
        <v>0.58348457350272176</v>
      </c>
      <c r="E33" s="30">
        <v>0.48310810810810795</v>
      </c>
      <c r="F33" s="30">
        <v>0.52815395580898061</v>
      </c>
      <c r="G33" s="30">
        <v>0.34415998127657366</v>
      </c>
      <c r="H33" s="30">
        <v>0.34908911866075809</v>
      </c>
      <c r="I33">
        <v>1</v>
      </c>
      <c r="K33" s="31">
        <f t="shared" si="0"/>
        <v>1</v>
      </c>
      <c r="L33" s="31">
        <f t="shared" si="1"/>
        <v>0</v>
      </c>
      <c r="M33" s="31">
        <f t="shared" si="2"/>
        <v>0</v>
      </c>
    </row>
    <row r="34" spans="1:13" x14ac:dyDescent="0.2">
      <c r="A34">
        <v>33</v>
      </c>
      <c r="B34" s="30">
        <v>0.33050047214353162</v>
      </c>
      <c r="C34" s="30">
        <v>0.41322314049586778</v>
      </c>
      <c r="D34" s="30">
        <v>0.40653357531760403</v>
      </c>
      <c r="E34" s="30">
        <v>0.46058558558558543</v>
      </c>
      <c r="F34" s="30">
        <v>0.39629365645046322</v>
      </c>
      <c r="G34" s="30">
        <v>0.41021206880859201</v>
      </c>
      <c r="H34" s="30">
        <v>0.38404726735598244</v>
      </c>
      <c r="I34">
        <v>1</v>
      </c>
      <c r="K34" s="31">
        <f t="shared" si="0"/>
        <v>1</v>
      </c>
      <c r="L34" s="31">
        <f t="shared" si="1"/>
        <v>0</v>
      </c>
      <c r="M34" s="31">
        <f t="shared" si="2"/>
        <v>0</v>
      </c>
    </row>
    <row r="35" spans="1:13" x14ac:dyDescent="0.2">
      <c r="A35">
        <v>34</v>
      </c>
      <c r="B35" s="30">
        <v>0.31633616619452309</v>
      </c>
      <c r="C35" s="30">
        <v>0.36363636363636359</v>
      </c>
      <c r="D35" s="30">
        <v>0.58711433756805809</v>
      </c>
      <c r="E35" s="30">
        <v>0.38626126126126126</v>
      </c>
      <c r="F35" s="30">
        <v>0.37063435495367059</v>
      </c>
      <c r="G35" s="30">
        <v>0.17668933414814916</v>
      </c>
      <c r="H35" s="30">
        <v>0.24273756770063984</v>
      </c>
      <c r="I35">
        <v>1</v>
      </c>
      <c r="K35" s="31">
        <f t="shared" si="0"/>
        <v>1</v>
      </c>
      <c r="L35" s="31">
        <f t="shared" si="1"/>
        <v>0</v>
      </c>
      <c r="M35" s="31">
        <f t="shared" si="2"/>
        <v>0</v>
      </c>
    </row>
    <row r="36" spans="1:13" x14ac:dyDescent="0.2">
      <c r="A36">
        <v>35</v>
      </c>
      <c r="B36" s="30">
        <v>0.42115203021718611</v>
      </c>
      <c r="C36" s="30">
        <v>0.46900826446280985</v>
      </c>
      <c r="D36" s="30">
        <v>0.6333938294010889</v>
      </c>
      <c r="E36" s="30">
        <v>0.45777027027027017</v>
      </c>
      <c r="F36" s="30">
        <v>0.49750534568781163</v>
      </c>
      <c r="G36" s="30">
        <v>0.17733945311992097</v>
      </c>
      <c r="H36" s="30">
        <v>0.41408173313638619</v>
      </c>
      <c r="I36">
        <v>1</v>
      </c>
      <c r="K36" s="31">
        <f t="shared" si="0"/>
        <v>1</v>
      </c>
      <c r="L36" s="31">
        <f t="shared" si="1"/>
        <v>0</v>
      </c>
      <c r="M36" s="31">
        <f t="shared" si="2"/>
        <v>0</v>
      </c>
    </row>
    <row r="37" spans="1:13" x14ac:dyDescent="0.2">
      <c r="A37">
        <v>36</v>
      </c>
      <c r="B37" s="30">
        <v>0.52219074598678006</v>
      </c>
      <c r="C37" s="30">
        <v>0.5351239669421487</v>
      </c>
      <c r="D37" s="30">
        <v>0.83393829401088937</v>
      </c>
      <c r="E37" s="30">
        <v>0.45608108108108092</v>
      </c>
      <c r="F37" s="30">
        <v>0.60940841054882378</v>
      </c>
      <c r="G37" s="30">
        <v>0.19567280812388671</v>
      </c>
      <c r="H37" s="30">
        <v>0.45494830132939418</v>
      </c>
      <c r="I37">
        <v>1</v>
      </c>
      <c r="K37" s="31">
        <f t="shared" si="0"/>
        <v>1</v>
      </c>
      <c r="L37" s="31">
        <f t="shared" si="1"/>
        <v>0</v>
      </c>
      <c r="M37" s="31">
        <f t="shared" si="2"/>
        <v>0</v>
      </c>
    </row>
    <row r="38" spans="1:13" x14ac:dyDescent="0.2">
      <c r="A38">
        <v>37</v>
      </c>
      <c r="B38" s="30">
        <v>0.52974504249291776</v>
      </c>
      <c r="C38" s="30">
        <v>0.59090909090909083</v>
      </c>
      <c r="D38" s="30">
        <v>0.59255898366606108</v>
      </c>
      <c r="E38" s="30">
        <v>0.52195945945945932</v>
      </c>
      <c r="F38" s="30">
        <v>0.59444048467569477</v>
      </c>
      <c r="G38" s="30">
        <v>0.26757596640185155</v>
      </c>
      <c r="H38" s="30">
        <v>0.49630723781388486</v>
      </c>
      <c r="I38">
        <v>1</v>
      </c>
      <c r="K38" s="31">
        <f t="shared" si="0"/>
        <v>1</v>
      </c>
      <c r="L38" s="31">
        <f t="shared" si="1"/>
        <v>0</v>
      </c>
      <c r="M38" s="31">
        <f t="shared" si="2"/>
        <v>0</v>
      </c>
    </row>
    <row r="39" spans="1:13" x14ac:dyDescent="0.2">
      <c r="A39">
        <v>38</v>
      </c>
      <c r="B39" s="30">
        <v>0.61284230406043427</v>
      </c>
      <c r="C39" s="30">
        <v>0.61363636363636376</v>
      </c>
      <c r="D39" s="30">
        <v>0.9056261343012707</v>
      </c>
      <c r="E39" s="30">
        <v>0.52533783783783783</v>
      </c>
      <c r="F39" s="30">
        <v>0.75053456878118285</v>
      </c>
      <c r="G39" s="30">
        <v>0.28486913105098238</v>
      </c>
      <c r="H39" s="30">
        <v>0.47513540128015758</v>
      </c>
      <c r="I39">
        <v>1</v>
      </c>
      <c r="K39" s="31">
        <f t="shared" si="0"/>
        <v>1</v>
      </c>
      <c r="L39" s="31">
        <f t="shared" si="1"/>
        <v>0</v>
      </c>
      <c r="M39" s="31">
        <f t="shared" si="2"/>
        <v>0</v>
      </c>
    </row>
    <row r="40" spans="1:13" x14ac:dyDescent="0.2">
      <c r="A40">
        <v>39</v>
      </c>
      <c r="B40" s="30">
        <v>0.39754485363550529</v>
      </c>
      <c r="C40" s="30">
        <v>0.43595041322314038</v>
      </c>
      <c r="D40" s="30">
        <v>0.67332123411978184</v>
      </c>
      <c r="E40" s="30">
        <v>0.42623873873873858</v>
      </c>
      <c r="F40" s="30">
        <v>0.46899501069137539</v>
      </c>
      <c r="G40" s="30">
        <v>0.30515284297026363</v>
      </c>
      <c r="H40" s="30">
        <v>0.38897095027080264</v>
      </c>
      <c r="I40">
        <v>1</v>
      </c>
      <c r="K40" s="31">
        <f t="shared" si="0"/>
        <v>1</v>
      </c>
      <c r="L40" s="31">
        <f t="shared" si="1"/>
        <v>0</v>
      </c>
      <c r="M40" s="31">
        <f t="shared" si="2"/>
        <v>0</v>
      </c>
    </row>
    <row r="41" spans="1:13" x14ac:dyDescent="0.2">
      <c r="A41">
        <v>40</v>
      </c>
      <c r="B41" s="30">
        <v>0.348441926345609</v>
      </c>
      <c r="C41" s="30">
        <v>0.36363636363636359</v>
      </c>
      <c r="D41" s="30">
        <v>0.78312159709618834</v>
      </c>
      <c r="E41" s="30">
        <v>0.28040540540540554</v>
      </c>
      <c r="F41" s="30">
        <v>0.4761225944404846</v>
      </c>
      <c r="G41" s="30">
        <v>0.76972786019841632</v>
      </c>
      <c r="H41" s="30">
        <v>0.23732151649433791</v>
      </c>
      <c r="I41">
        <v>1</v>
      </c>
      <c r="K41" s="31">
        <f t="shared" si="0"/>
        <v>1</v>
      </c>
      <c r="L41" s="31">
        <f t="shared" si="1"/>
        <v>0</v>
      </c>
      <c r="M41" s="31">
        <f t="shared" si="2"/>
        <v>0</v>
      </c>
    </row>
    <row r="42" spans="1:13" x14ac:dyDescent="0.2">
      <c r="A42">
        <v>41</v>
      </c>
      <c r="B42" s="30">
        <v>0.27856468366383375</v>
      </c>
      <c r="C42" s="30">
        <v>0.29752066115702469</v>
      </c>
      <c r="D42" s="30">
        <v>0.71687840290381111</v>
      </c>
      <c r="E42" s="30">
        <v>0.25281531531531526</v>
      </c>
      <c r="F42" s="30">
        <v>0.37491090520313619</v>
      </c>
      <c r="G42" s="30">
        <v>0.23689035093422103</v>
      </c>
      <c r="H42" s="30">
        <v>0.32447070408665679</v>
      </c>
      <c r="I42">
        <v>1</v>
      </c>
      <c r="K42" s="31">
        <f t="shared" si="0"/>
        <v>1</v>
      </c>
      <c r="L42" s="31">
        <f t="shared" si="1"/>
        <v>0</v>
      </c>
      <c r="M42" s="31">
        <f t="shared" si="2"/>
        <v>0</v>
      </c>
    </row>
    <row r="43" spans="1:13" x14ac:dyDescent="0.2">
      <c r="A43">
        <v>42</v>
      </c>
      <c r="B43" s="30">
        <v>0.27478753541076489</v>
      </c>
      <c r="C43" s="30">
        <v>0.29752066115702469</v>
      </c>
      <c r="D43" s="30">
        <v>0.69963702359346613</v>
      </c>
      <c r="E43" s="30">
        <v>0.25450450450450451</v>
      </c>
      <c r="F43" s="30">
        <v>0.37633642195295786</v>
      </c>
      <c r="G43" s="30">
        <v>0.192942308442445</v>
      </c>
      <c r="H43" s="30">
        <v>0.32348596750369285</v>
      </c>
      <c r="I43">
        <v>1</v>
      </c>
      <c r="K43" s="31">
        <f t="shared" si="0"/>
        <v>1</v>
      </c>
      <c r="L43" s="31">
        <f t="shared" si="1"/>
        <v>0</v>
      </c>
      <c r="M43" s="31">
        <f t="shared" si="2"/>
        <v>0</v>
      </c>
    </row>
    <row r="44" spans="1:13" x14ac:dyDescent="0.2">
      <c r="A44">
        <v>43</v>
      </c>
      <c r="B44" s="30">
        <v>0.24268177525967896</v>
      </c>
      <c r="C44" s="30">
        <v>0.23553719008264476</v>
      </c>
      <c r="D44" s="30">
        <v>0.84210526315789491</v>
      </c>
      <c r="E44" s="30">
        <v>0.13457207207207203</v>
      </c>
      <c r="F44" s="30">
        <v>0.40698503207412684</v>
      </c>
      <c r="G44" s="30">
        <v>0.22050735284557077</v>
      </c>
      <c r="H44" s="30">
        <v>0.12998522895125567</v>
      </c>
      <c r="I44">
        <v>1</v>
      </c>
      <c r="K44" s="31">
        <f t="shared" si="0"/>
        <v>1</v>
      </c>
      <c r="L44" s="31">
        <f t="shared" si="1"/>
        <v>0</v>
      </c>
      <c r="M44" s="31">
        <f t="shared" si="2"/>
        <v>0</v>
      </c>
    </row>
    <row r="45" spans="1:13" x14ac:dyDescent="0.2">
      <c r="A45">
        <v>44</v>
      </c>
      <c r="B45" s="30">
        <v>0.46364494806421153</v>
      </c>
      <c r="C45" s="30">
        <v>0.50619834710743783</v>
      </c>
      <c r="D45" s="30">
        <v>0.67059891107078029</v>
      </c>
      <c r="E45" s="30">
        <v>0.55067567567567555</v>
      </c>
      <c r="F45" s="30">
        <v>0.54597291518175317</v>
      </c>
      <c r="G45" s="30">
        <v>0.51306089014289624</v>
      </c>
      <c r="H45" s="30">
        <v>0.49679960610536661</v>
      </c>
      <c r="I45">
        <v>1</v>
      </c>
      <c r="K45" s="31">
        <f t="shared" si="0"/>
        <v>1</v>
      </c>
      <c r="L45" s="31">
        <f t="shared" si="1"/>
        <v>0</v>
      </c>
      <c r="M45" s="31">
        <f t="shared" si="2"/>
        <v>0</v>
      </c>
    </row>
    <row r="46" spans="1:13" x14ac:dyDescent="0.2">
      <c r="A46">
        <v>45</v>
      </c>
      <c r="B46" s="30">
        <v>0.42681775259678939</v>
      </c>
      <c r="C46" s="30">
        <v>0.44008264462809898</v>
      </c>
      <c r="D46" s="30">
        <v>0.82123411978221361</v>
      </c>
      <c r="E46" s="30">
        <v>0.38288288288288275</v>
      </c>
      <c r="F46" s="30">
        <v>0.59301496792587316</v>
      </c>
      <c r="G46" s="30">
        <v>0.3072332236799335</v>
      </c>
      <c r="H46" s="30">
        <v>0.32545544066962073</v>
      </c>
      <c r="I46">
        <v>1</v>
      </c>
      <c r="K46" s="31">
        <f t="shared" si="0"/>
        <v>1</v>
      </c>
      <c r="L46" s="31">
        <f t="shared" si="1"/>
        <v>0</v>
      </c>
      <c r="M46" s="31">
        <f t="shared" si="2"/>
        <v>0</v>
      </c>
    </row>
    <row r="47" spans="1:13" x14ac:dyDescent="0.2">
      <c r="A47">
        <v>46</v>
      </c>
      <c r="B47" s="30">
        <v>0.30311614730878195</v>
      </c>
      <c r="C47" s="30">
        <v>0.33677685950413205</v>
      </c>
      <c r="D47" s="30">
        <v>0.64700544464609744</v>
      </c>
      <c r="E47" s="30">
        <v>0.26858108108108131</v>
      </c>
      <c r="F47" s="30">
        <v>0.37419814682822505</v>
      </c>
      <c r="G47" s="30">
        <v>0.10335591413228623</v>
      </c>
      <c r="H47" s="30">
        <v>0.21762678483505674</v>
      </c>
      <c r="I47">
        <v>1</v>
      </c>
      <c r="K47" s="31">
        <f t="shared" si="0"/>
        <v>1</v>
      </c>
      <c r="L47" s="31">
        <f t="shared" si="1"/>
        <v>0</v>
      </c>
      <c r="M47" s="31">
        <f t="shared" si="2"/>
        <v>0</v>
      </c>
    </row>
    <row r="48" spans="1:13" x14ac:dyDescent="0.2">
      <c r="A48">
        <v>47</v>
      </c>
      <c r="B48" s="30">
        <v>0.45042492917847021</v>
      </c>
      <c r="C48" s="30">
        <v>0.48553719008264457</v>
      </c>
      <c r="D48" s="30">
        <v>0.70780399274047168</v>
      </c>
      <c r="E48" s="30">
        <v>0.45157657657657641</v>
      </c>
      <c r="F48" s="30">
        <v>0.54383464005702042</v>
      </c>
      <c r="G48" s="30">
        <v>7.8261321821893409E-2</v>
      </c>
      <c r="H48" s="30">
        <v>0.30182176267848332</v>
      </c>
      <c r="I48">
        <v>1</v>
      </c>
      <c r="K48" s="31">
        <f t="shared" si="0"/>
        <v>1</v>
      </c>
      <c r="L48" s="31">
        <f t="shared" si="1"/>
        <v>0</v>
      </c>
      <c r="M48" s="31">
        <f t="shared" si="2"/>
        <v>0</v>
      </c>
    </row>
    <row r="49" spans="1:13" x14ac:dyDescent="0.2">
      <c r="A49">
        <v>48</v>
      </c>
      <c r="B49" s="30">
        <v>0.41548630783758267</v>
      </c>
      <c r="C49" s="30">
        <v>0.44421487603305793</v>
      </c>
      <c r="D49" s="30">
        <v>0.7277676950998182</v>
      </c>
      <c r="E49" s="30">
        <v>0.37781531531531548</v>
      </c>
      <c r="F49" s="30">
        <v>0.53243050605844588</v>
      </c>
      <c r="G49" s="30">
        <v>0.28512917863969112</v>
      </c>
      <c r="H49" s="30">
        <v>0.32299359921221066</v>
      </c>
      <c r="I49">
        <v>1</v>
      </c>
      <c r="K49" s="31">
        <f t="shared" si="0"/>
        <v>1</v>
      </c>
      <c r="L49" s="31">
        <f t="shared" si="1"/>
        <v>0</v>
      </c>
      <c r="M49" s="31">
        <f t="shared" si="2"/>
        <v>0</v>
      </c>
    </row>
    <row r="50" spans="1:13" x14ac:dyDescent="0.2">
      <c r="A50">
        <v>49</v>
      </c>
      <c r="B50" s="30">
        <v>0.39660056657223791</v>
      </c>
      <c r="C50" s="30">
        <v>0.43595041322314038</v>
      </c>
      <c r="D50" s="30">
        <v>0.66969147005444651</v>
      </c>
      <c r="E50" s="30">
        <v>0.36373873873873874</v>
      </c>
      <c r="F50" s="30">
        <v>0.47113328581610819</v>
      </c>
      <c r="G50" s="30">
        <v>0.25210313487368197</v>
      </c>
      <c r="H50" s="30">
        <v>0.29148202855736077</v>
      </c>
      <c r="I50">
        <v>1</v>
      </c>
      <c r="K50" s="31">
        <f t="shared" si="0"/>
        <v>1</v>
      </c>
      <c r="L50" s="31">
        <f t="shared" si="1"/>
        <v>0</v>
      </c>
      <c r="M50" s="31">
        <f t="shared" si="2"/>
        <v>0</v>
      </c>
    </row>
    <row r="51" spans="1:13" x14ac:dyDescent="0.2">
      <c r="A51">
        <v>50</v>
      </c>
      <c r="B51" s="30">
        <v>0.40321057601510857</v>
      </c>
      <c r="C51" s="30">
        <v>0.46694214876033052</v>
      </c>
      <c r="D51" s="30">
        <v>0.53992740471869338</v>
      </c>
      <c r="E51" s="30">
        <v>0.43862612612612611</v>
      </c>
      <c r="F51" s="30">
        <v>0.44761225944404842</v>
      </c>
      <c r="G51" s="30">
        <v>0.17733945311992097</v>
      </c>
      <c r="H51" s="30">
        <v>0.40965041851304773</v>
      </c>
      <c r="I51">
        <v>1</v>
      </c>
      <c r="K51" s="31">
        <f t="shared" si="0"/>
        <v>1</v>
      </c>
      <c r="L51" s="31">
        <f t="shared" si="1"/>
        <v>0</v>
      </c>
      <c r="M51" s="31">
        <f t="shared" si="2"/>
        <v>0</v>
      </c>
    </row>
    <row r="52" spans="1:13" x14ac:dyDescent="0.2">
      <c r="A52">
        <v>51</v>
      </c>
      <c r="B52" s="30">
        <v>0.36260623229461758</v>
      </c>
      <c r="C52" s="30">
        <v>0.4111570247933885</v>
      </c>
      <c r="D52" s="30">
        <v>0.60798548094373839</v>
      </c>
      <c r="E52" s="30">
        <v>0.38626126126126126</v>
      </c>
      <c r="F52" s="30">
        <v>0.45759087669280091</v>
      </c>
      <c r="G52" s="30">
        <v>0.41736337749808222</v>
      </c>
      <c r="H52" s="30">
        <v>0.30773018217626791</v>
      </c>
      <c r="I52">
        <v>1</v>
      </c>
      <c r="K52" s="31">
        <f t="shared" si="0"/>
        <v>1</v>
      </c>
      <c r="L52" s="31">
        <f t="shared" si="1"/>
        <v>0</v>
      </c>
      <c r="M52" s="31">
        <f t="shared" si="2"/>
        <v>0</v>
      </c>
    </row>
    <row r="53" spans="1:13" x14ac:dyDescent="0.2">
      <c r="A53">
        <v>52</v>
      </c>
      <c r="B53" s="30">
        <v>0.49008498583569399</v>
      </c>
      <c r="C53" s="30">
        <v>0.51652892561983477</v>
      </c>
      <c r="D53" s="30">
        <v>0.76406533575317581</v>
      </c>
      <c r="E53" s="30">
        <v>0.43637387387387411</v>
      </c>
      <c r="F53" s="30">
        <v>0.57305773342836774</v>
      </c>
      <c r="G53" s="30">
        <v>0.62774187676344773</v>
      </c>
      <c r="H53" s="30">
        <v>0.30379123584441164</v>
      </c>
      <c r="I53">
        <v>1</v>
      </c>
      <c r="K53" s="31">
        <f t="shared" si="0"/>
        <v>1</v>
      </c>
      <c r="L53" s="31">
        <f t="shared" si="1"/>
        <v>0</v>
      </c>
      <c r="M53" s="31">
        <f t="shared" si="2"/>
        <v>0</v>
      </c>
    </row>
    <row r="54" spans="1:13" x14ac:dyDescent="0.2">
      <c r="A54">
        <v>53</v>
      </c>
      <c r="B54" s="30">
        <v>0.36827195467422102</v>
      </c>
      <c r="C54" s="30">
        <v>0.45454545454545442</v>
      </c>
      <c r="D54" s="30">
        <v>0.41470054446460958</v>
      </c>
      <c r="E54" s="30">
        <v>0.45945945945945943</v>
      </c>
      <c r="F54" s="30">
        <v>0.34426229508196715</v>
      </c>
      <c r="G54" s="30">
        <v>0.43569673250204788</v>
      </c>
      <c r="H54" s="30">
        <v>0.43180699162973901</v>
      </c>
      <c r="I54">
        <v>1</v>
      </c>
      <c r="K54" s="31">
        <f t="shared" si="0"/>
        <v>1</v>
      </c>
      <c r="L54" s="31">
        <f t="shared" si="1"/>
        <v>0</v>
      </c>
      <c r="M54" s="31">
        <f t="shared" si="2"/>
        <v>0</v>
      </c>
    </row>
    <row r="55" spans="1:13" x14ac:dyDescent="0.2">
      <c r="A55">
        <v>54</v>
      </c>
      <c r="B55" s="30">
        <v>0.35316336166194523</v>
      </c>
      <c r="C55" s="30">
        <v>0.38636363636363619</v>
      </c>
      <c r="D55" s="30">
        <v>0.6805807622504535</v>
      </c>
      <c r="E55" s="30">
        <v>0.34065315315315292</v>
      </c>
      <c r="F55" s="30">
        <v>0.4055595153243049</v>
      </c>
      <c r="G55" s="30">
        <v>0.33323798255080683</v>
      </c>
      <c r="H55" s="30">
        <v>0.34711964549483021</v>
      </c>
      <c r="I55">
        <v>1</v>
      </c>
      <c r="K55" s="31">
        <f t="shared" si="0"/>
        <v>1</v>
      </c>
      <c r="L55" s="31">
        <f t="shared" si="1"/>
        <v>0</v>
      </c>
      <c r="M55" s="31">
        <f t="shared" si="2"/>
        <v>0</v>
      </c>
    </row>
    <row r="56" spans="1:13" x14ac:dyDescent="0.2">
      <c r="A56">
        <v>55</v>
      </c>
      <c r="B56" s="30">
        <v>0.37110481586402266</v>
      </c>
      <c r="C56" s="30">
        <v>0.45247933884297514</v>
      </c>
      <c r="D56" s="30">
        <v>0.43194192377495455</v>
      </c>
      <c r="E56" s="30">
        <v>0.47409909909909898</v>
      </c>
      <c r="F56" s="30">
        <v>0.34426229508196715</v>
      </c>
      <c r="G56" s="30">
        <v>9.3084034378291255E-2</v>
      </c>
      <c r="H56" s="30">
        <v>0.47661250615460371</v>
      </c>
      <c r="I56">
        <v>1</v>
      </c>
      <c r="K56" s="31">
        <f t="shared" si="0"/>
        <v>1</v>
      </c>
      <c r="L56" s="31">
        <f t="shared" si="1"/>
        <v>0</v>
      </c>
      <c r="M56" s="31">
        <f t="shared" si="2"/>
        <v>0</v>
      </c>
    </row>
    <row r="57" spans="1:13" x14ac:dyDescent="0.2">
      <c r="A57">
        <v>56</v>
      </c>
      <c r="B57" s="30">
        <v>0.41926345609065152</v>
      </c>
      <c r="C57" s="30">
        <v>0.48760330578512384</v>
      </c>
      <c r="D57" s="30">
        <v>0.5235934664246823</v>
      </c>
      <c r="E57" s="30">
        <v>0.45213963963963966</v>
      </c>
      <c r="F57" s="30">
        <v>0.41482537419814691</v>
      </c>
      <c r="G57" s="30">
        <v>0.15185478942646505</v>
      </c>
      <c r="H57" s="30">
        <v>0.4529788281634663</v>
      </c>
      <c r="I57">
        <v>1</v>
      </c>
      <c r="K57" s="31">
        <f t="shared" si="0"/>
        <v>1</v>
      </c>
      <c r="L57" s="31">
        <f t="shared" si="1"/>
        <v>0</v>
      </c>
      <c r="M57" s="31">
        <f t="shared" si="2"/>
        <v>0</v>
      </c>
    </row>
    <row r="58" spans="1:13" x14ac:dyDescent="0.2">
      <c r="A58">
        <v>57</v>
      </c>
      <c r="B58" s="30">
        <v>0.36543909348441939</v>
      </c>
      <c r="C58" s="30">
        <v>0.40082644628099162</v>
      </c>
      <c r="D58" s="30">
        <v>0.66878402903811263</v>
      </c>
      <c r="E58" s="30">
        <v>0.27533783783783777</v>
      </c>
      <c r="F58" s="30">
        <v>0.53243050605844588</v>
      </c>
      <c r="G58" s="30">
        <v>0.26484546672040987</v>
      </c>
      <c r="H58" s="30">
        <v>0.25849335302806475</v>
      </c>
      <c r="I58">
        <v>1</v>
      </c>
      <c r="K58" s="31">
        <f t="shared" si="0"/>
        <v>1</v>
      </c>
      <c r="L58" s="31">
        <f t="shared" si="1"/>
        <v>0</v>
      </c>
      <c r="M58" s="31">
        <f t="shared" si="2"/>
        <v>0</v>
      </c>
    </row>
    <row r="59" spans="1:13" x14ac:dyDescent="0.2">
      <c r="A59">
        <v>58</v>
      </c>
      <c r="B59" s="30">
        <v>0.40887629839471201</v>
      </c>
      <c r="C59" s="30">
        <v>0.41735537190082639</v>
      </c>
      <c r="D59" s="30">
        <v>0.83938294010889247</v>
      </c>
      <c r="E59" s="30">
        <v>0.27308558558558582</v>
      </c>
      <c r="F59" s="30">
        <v>0.55737704918032771</v>
      </c>
      <c r="G59" s="30">
        <v>4.9005968092160859E-2</v>
      </c>
      <c r="H59" s="30">
        <v>0.28015755785327429</v>
      </c>
      <c r="I59">
        <v>1</v>
      </c>
      <c r="K59" s="31">
        <f t="shared" si="0"/>
        <v>1</v>
      </c>
      <c r="L59" s="31">
        <f t="shared" si="1"/>
        <v>0</v>
      </c>
      <c r="M59" s="31">
        <f t="shared" si="2"/>
        <v>0</v>
      </c>
    </row>
    <row r="60" spans="1:13" x14ac:dyDescent="0.2">
      <c r="A60">
        <v>59</v>
      </c>
      <c r="B60" s="30">
        <v>0.4523135033050048</v>
      </c>
      <c r="C60" s="30">
        <v>0.48760330578512384</v>
      </c>
      <c r="D60" s="30">
        <v>0.70417422867513635</v>
      </c>
      <c r="E60" s="30">
        <v>0.42961711711711709</v>
      </c>
      <c r="F60" s="30">
        <v>0.56236635780470412</v>
      </c>
      <c r="G60" s="30">
        <v>0.16043635985385329</v>
      </c>
      <c r="H60" s="30">
        <v>0.34613490891186627</v>
      </c>
      <c r="I60">
        <v>1</v>
      </c>
      <c r="K60" s="31">
        <f t="shared" si="0"/>
        <v>1</v>
      </c>
      <c r="L60" s="31">
        <f t="shared" si="1"/>
        <v>0</v>
      </c>
      <c r="M60" s="31">
        <f t="shared" si="2"/>
        <v>0</v>
      </c>
    </row>
    <row r="61" spans="1:13" x14ac:dyDescent="0.2">
      <c r="A61">
        <v>60</v>
      </c>
      <c r="B61" s="30">
        <v>0.14353163361661941</v>
      </c>
      <c r="C61" s="30">
        <v>0.21900826446281002</v>
      </c>
      <c r="D61" s="30">
        <v>0.28221415607985406</v>
      </c>
      <c r="E61" s="30">
        <v>0.14639639639639629</v>
      </c>
      <c r="F61" s="30">
        <v>0.28652886671418387</v>
      </c>
      <c r="G61" s="30">
        <v>9.5814534059732948E-2</v>
      </c>
      <c r="H61" s="30">
        <v>0</v>
      </c>
      <c r="I61">
        <v>1</v>
      </c>
      <c r="K61" s="31">
        <f t="shared" si="0"/>
        <v>1</v>
      </c>
      <c r="L61" s="31">
        <f t="shared" si="1"/>
        <v>0</v>
      </c>
      <c r="M61" s="31">
        <f t="shared" si="2"/>
        <v>0</v>
      </c>
    </row>
    <row r="62" spans="1:13" x14ac:dyDescent="0.2">
      <c r="A62">
        <v>61</v>
      </c>
      <c r="B62" s="30">
        <v>7.8375826251180364E-2</v>
      </c>
      <c r="C62" s="30">
        <v>9.2975206611570105E-2</v>
      </c>
      <c r="D62" s="30">
        <v>0.54627949183303026</v>
      </c>
      <c r="E62" s="30">
        <v>6.1373873873873871E-2</v>
      </c>
      <c r="F62" s="30">
        <v>0.15680684248039922</v>
      </c>
      <c r="G62" s="30">
        <v>0.2515830396962645</v>
      </c>
      <c r="H62" s="30">
        <v>4.3328409650418558E-2</v>
      </c>
      <c r="I62">
        <v>1</v>
      </c>
      <c r="K62" s="31">
        <f t="shared" si="0"/>
        <v>1</v>
      </c>
      <c r="L62" s="31">
        <f t="shared" si="1"/>
        <v>0</v>
      </c>
      <c r="M62" s="31">
        <f t="shared" si="2"/>
        <v>0</v>
      </c>
    </row>
    <row r="63" spans="1:13" x14ac:dyDescent="0.2">
      <c r="A63">
        <v>62</v>
      </c>
      <c r="B63" s="30">
        <v>6.0434372049102979E-2</v>
      </c>
      <c r="C63" s="30">
        <v>4.5454545454545588E-2</v>
      </c>
      <c r="D63" s="30">
        <v>0.68874773139745904</v>
      </c>
      <c r="E63" s="30">
        <v>1.6891891891892535E-3</v>
      </c>
      <c r="F63" s="30">
        <v>0.17747683535281542</v>
      </c>
      <c r="G63" s="30">
        <v>0.19554278432953234</v>
      </c>
      <c r="H63" s="30">
        <v>9.0595765632693351E-2</v>
      </c>
      <c r="I63">
        <v>1</v>
      </c>
      <c r="K63" s="31">
        <f t="shared" si="0"/>
        <v>1</v>
      </c>
      <c r="L63" s="31">
        <f t="shared" si="1"/>
        <v>0</v>
      </c>
      <c r="M63" s="31">
        <f t="shared" si="2"/>
        <v>0</v>
      </c>
    </row>
    <row r="64" spans="1:13" x14ac:dyDescent="0.2">
      <c r="A64">
        <v>63</v>
      </c>
      <c r="B64" s="30">
        <v>0.16713881019830024</v>
      </c>
      <c r="C64" s="30">
        <v>0.16115702479338831</v>
      </c>
      <c r="D64" s="30">
        <v>0.76406533575317581</v>
      </c>
      <c r="E64" s="30">
        <v>9.9662162162161949E-2</v>
      </c>
      <c r="F64" s="30">
        <v>0.29365645046329281</v>
      </c>
      <c r="G64" s="30">
        <v>0.31919541276053526</v>
      </c>
      <c r="H64" s="30">
        <v>4.234367306745461E-2</v>
      </c>
      <c r="I64">
        <v>1</v>
      </c>
      <c r="K64" s="31">
        <f t="shared" si="0"/>
        <v>1</v>
      </c>
      <c r="L64" s="31">
        <f t="shared" si="1"/>
        <v>0</v>
      </c>
      <c r="M64" s="31">
        <f t="shared" si="2"/>
        <v>0</v>
      </c>
    </row>
    <row r="65" spans="1:13" x14ac:dyDescent="0.2">
      <c r="A65">
        <v>64</v>
      </c>
      <c r="B65" s="30">
        <v>0.24834749763928241</v>
      </c>
      <c r="C65" s="30">
        <v>0.29545454545454541</v>
      </c>
      <c r="D65" s="30">
        <v>0.54355716878402882</v>
      </c>
      <c r="E65" s="30">
        <v>0.27927927927927904</v>
      </c>
      <c r="F65" s="30">
        <v>0.31361368496079817</v>
      </c>
      <c r="G65" s="30">
        <v>0.44102770807057701</v>
      </c>
      <c r="H65" s="30">
        <v>0.28015755785327429</v>
      </c>
      <c r="I65">
        <v>1</v>
      </c>
      <c r="K65" s="31">
        <f t="shared" si="0"/>
        <v>1</v>
      </c>
      <c r="L65" s="31">
        <f t="shared" si="1"/>
        <v>0</v>
      </c>
      <c r="M65" s="31">
        <f t="shared" si="2"/>
        <v>0</v>
      </c>
    </row>
    <row r="66" spans="1:13" x14ac:dyDescent="0.2">
      <c r="A66">
        <v>65</v>
      </c>
      <c r="B66" s="30">
        <v>0.20679886685552404</v>
      </c>
      <c r="C66" s="30">
        <v>0.23966942148760334</v>
      </c>
      <c r="D66" s="30">
        <v>0.57622504537205099</v>
      </c>
      <c r="E66" s="30">
        <v>0.20439189189189166</v>
      </c>
      <c r="F66" s="30">
        <v>0.28225231646471832</v>
      </c>
      <c r="G66" s="30">
        <v>5.3426777100209336E-2</v>
      </c>
      <c r="H66" s="30">
        <v>0.12949286065977347</v>
      </c>
      <c r="I66">
        <v>1</v>
      </c>
      <c r="K66" s="31">
        <f t="shared" si="0"/>
        <v>1</v>
      </c>
      <c r="L66" s="31">
        <f t="shared" si="1"/>
        <v>0</v>
      </c>
      <c r="M66" s="31">
        <f t="shared" si="2"/>
        <v>0</v>
      </c>
    </row>
    <row r="67" spans="1:13" x14ac:dyDescent="0.2">
      <c r="A67">
        <v>66</v>
      </c>
      <c r="B67" s="30">
        <v>0.2162417374881965</v>
      </c>
      <c r="C67" s="30">
        <v>0.22520661157024791</v>
      </c>
      <c r="D67" s="30">
        <v>0.72413793103448287</v>
      </c>
      <c r="E67" s="30">
        <v>0.13513513513513528</v>
      </c>
      <c r="F67" s="30">
        <v>0.34853884533143276</v>
      </c>
      <c r="G67" s="30">
        <v>0.20633475926094477</v>
      </c>
      <c r="H67" s="30">
        <v>4.3328409650418558E-2</v>
      </c>
      <c r="I67">
        <v>1</v>
      </c>
      <c r="K67" s="31">
        <f t="shared" ref="K67:K76" si="3">IF(AND(I67=INT(RIGHT($K$1,1)),INT(RIGHT($K$1,1))=INT(RIGHT($K$1,1))),1,0)</f>
        <v>1</v>
      </c>
      <c r="L67" s="31">
        <f t="shared" ref="L67:L76" si="4">IF(AND(I67=INT(RIGHT($L$1,1)),INT(RIGHT($L$1,1))=INT(RIGHT($L$1,1))),1,0)</f>
        <v>0</v>
      </c>
      <c r="M67" s="31">
        <f t="shared" ref="M67:M76" si="5">IF(AND(I67=INT(RIGHT($M$1,1)),INT(RIGHT($M$1,1))=INT(RIGHT($M$1,1))),1,0)</f>
        <v>0</v>
      </c>
    </row>
    <row r="68" spans="1:13" x14ac:dyDescent="0.2">
      <c r="A68">
        <v>67</v>
      </c>
      <c r="B68" s="30">
        <v>0.35410764872521244</v>
      </c>
      <c r="C68" s="30">
        <v>0.40495867768595023</v>
      </c>
      <c r="D68" s="30">
        <v>0.58529945553539042</v>
      </c>
      <c r="E68" s="30">
        <v>0.41159909909909909</v>
      </c>
      <c r="F68" s="30">
        <v>0.39914468995010682</v>
      </c>
      <c r="G68" s="30">
        <v>7.1240036926757594E-2</v>
      </c>
      <c r="H68" s="30">
        <v>0.31068439192516017</v>
      </c>
      <c r="I68">
        <v>1</v>
      </c>
      <c r="K68" s="31">
        <f t="shared" si="3"/>
        <v>1</v>
      </c>
      <c r="L68" s="31">
        <f t="shared" si="4"/>
        <v>0</v>
      </c>
      <c r="M68" s="31">
        <f t="shared" si="5"/>
        <v>0</v>
      </c>
    </row>
    <row r="69" spans="1:13" x14ac:dyDescent="0.2">
      <c r="A69">
        <v>68</v>
      </c>
      <c r="B69" s="30">
        <v>0.32294617563739375</v>
      </c>
      <c r="C69" s="30">
        <v>0.38842975206611552</v>
      </c>
      <c r="D69" s="30">
        <v>0.49364791288566262</v>
      </c>
      <c r="E69" s="30">
        <v>0.3997747747747748</v>
      </c>
      <c r="F69" s="30">
        <v>0.37633642195295786</v>
      </c>
      <c r="G69" s="30">
        <v>0.18878154702310526</v>
      </c>
      <c r="H69" s="30">
        <v>0.30182176267848332</v>
      </c>
      <c r="I69">
        <v>1</v>
      </c>
      <c r="K69" s="31">
        <f t="shared" si="3"/>
        <v>1</v>
      </c>
      <c r="L69" s="31">
        <f t="shared" si="4"/>
        <v>0</v>
      </c>
      <c r="M69" s="31">
        <f t="shared" si="5"/>
        <v>0</v>
      </c>
    </row>
    <row r="70" spans="1:13" x14ac:dyDescent="0.2">
      <c r="A70">
        <v>69</v>
      </c>
      <c r="B70" s="30">
        <v>0.35694050991501408</v>
      </c>
      <c r="C70" s="30">
        <v>0.40909090909090917</v>
      </c>
      <c r="D70" s="30">
        <v>0.58529945553539042</v>
      </c>
      <c r="E70" s="30">
        <v>0.37725225225225223</v>
      </c>
      <c r="F70" s="30">
        <v>0.37277263007840339</v>
      </c>
      <c r="G70" s="30">
        <v>9.087362987426699E-2</v>
      </c>
      <c r="H70" s="30">
        <v>0.38453963564746418</v>
      </c>
      <c r="I70">
        <v>1</v>
      </c>
      <c r="K70" s="31">
        <f t="shared" si="3"/>
        <v>1</v>
      </c>
      <c r="L70" s="31">
        <f t="shared" si="4"/>
        <v>0</v>
      </c>
      <c r="M70" s="31">
        <f t="shared" si="5"/>
        <v>0</v>
      </c>
    </row>
    <row r="71" spans="1:13" x14ac:dyDescent="0.2">
      <c r="A71">
        <v>70</v>
      </c>
      <c r="B71" s="30">
        <v>0.20207743153918797</v>
      </c>
      <c r="C71" s="30">
        <v>0.27685950413223137</v>
      </c>
      <c r="D71" s="30">
        <v>0.34210526315789447</v>
      </c>
      <c r="E71" s="30">
        <v>0.28885135135135132</v>
      </c>
      <c r="F71" s="30">
        <v>0.17961511047754822</v>
      </c>
      <c r="G71" s="30">
        <v>0.35989286039345203</v>
      </c>
      <c r="H71" s="30">
        <v>0.26981782373215168</v>
      </c>
      <c r="I71">
        <v>1</v>
      </c>
      <c r="K71" s="31">
        <f t="shared" si="3"/>
        <v>1</v>
      </c>
      <c r="L71" s="31">
        <f t="shared" si="4"/>
        <v>0</v>
      </c>
      <c r="M71" s="31">
        <f t="shared" si="5"/>
        <v>0</v>
      </c>
    </row>
    <row r="72" spans="1:13" x14ac:dyDescent="0.2">
      <c r="A72">
        <v>71</v>
      </c>
      <c r="B72" s="30">
        <v>0.66477809254013209</v>
      </c>
      <c r="C72" s="30">
        <v>0.73760330578512401</v>
      </c>
      <c r="D72" s="30">
        <v>0.53720508166969094</v>
      </c>
      <c r="E72" s="30">
        <v>0.72747747747747749</v>
      </c>
      <c r="F72" s="30">
        <v>0.66357804704205259</v>
      </c>
      <c r="G72" s="30">
        <v>0.4304957807278732</v>
      </c>
      <c r="H72" s="30">
        <v>0.75873953717380582</v>
      </c>
      <c r="I72">
        <v>2</v>
      </c>
      <c r="K72" s="31">
        <f t="shared" si="3"/>
        <v>0</v>
      </c>
      <c r="L72" s="31">
        <f t="shared" si="4"/>
        <v>1</v>
      </c>
      <c r="M72" s="31">
        <f t="shared" si="5"/>
        <v>0</v>
      </c>
    </row>
    <row r="73" spans="1:13" x14ac:dyDescent="0.2">
      <c r="A73">
        <v>72</v>
      </c>
      <c r="B73" s="30">
        <v>0.59017941454202083</v>
      </c>
      <c r="C73" s="30">
        <v>0.67355371900826444</v>
      </c>
      <c r="D73" s="30">
        <v>0.49183303085299396</v>
      </c>
      <c r="E73" s="30">
        <v>0.61880630630630651</v>
      </c>
      <c r="F73" s="30">
        <v>0.60869565217391286</v>
      </c>
      <c r="G73" s="30">
        <v>0.50838003354613903</v>
      </c>
      <c r="H73" s="30">
        <v>0.66863613983259473</v>
      </c>
      <c r="I73">
        <v>2</v>
      </c>
      <c r="K73" s="31">
        <f t="shared" si="3"/>
        <v>0</v>
      </c>
      <c r="L73" s="31">
        <f t="shared" si="4"/>
        <v>1</v>
      </c>
      <c r="M73" s="31">
        <f t="shared" si="5"/>
        <v>0</v>
      </c>
    </row>
    <row r="74" spans="1:13" x14ac:dyDescent="0.2">
      <c r="A74">
        <v>73</v>
      </c>
      <c r="B74" s="30">
        <v>0.62983947119924477</v>
      </c>
      <c r="C74" s="30">
        <v>0.68595041322314054</v>
      </c>
      <c r="D74" s="30">
        <v>0.61887477313974548</v>
      </c>
      <c r="E74" s="30">
        <v>0.60754504504504492</v>
      </c>
      <c r="F74" s="30">
        <v>0.68709907341411236</v>
      </c>
      <c r="G74" s="30">
        <v>0.49069679751394507</v>
      </c>
      <c r="H74" s="30">
        <v>0.6262924667651405</v>
      </c>
      <c r="I74">
        <v>2</v>
      </c>
      <c r="K74" s="31">
        <f t="shared" si="3"/>
        <v>0</v>
      </c>
      <c r="L74" s="31">
        <f t="shared" si="4"/>
        <v>1</v>
      </c>
      <c r="M74" s="31">
        <f t="shared" si="5"/>
        <v>0</v>
      </c>
    </row>
    <row r="75" spans="1:13" x14ac:dyDescent="0.2">
      <c r="A75">
        <v>74</v>
      </c>
      <c r="B75" s="30">
        <v>0.80453257790368271</v>
      </c>
      <c r="C75" s="30">
        <v>0.79545454545454575</v>
      </c>
      <c r="D75" s="30">
        <v>0.90744101633393837</v>
      </c>
      <c r="E75" s="30">
        <v>0.70664414414414412</v>
      </c>
      <c r="F75" s="30">
        <v>0.92658588738417669</v>
      </c>
      <c r="G75" s="30">
        <v>0.28226865516389504</v>
      </c>
      <c r="H75" s="30">
        <v>0.76809453471196443</v>
      </c>
      <c r="I75">
        <v>2</v>
      </c>
      <c r="K75" s="31">
        <f t="shared" si="3"/>
        <v>0</v>
      </c>
      <c r="L75" s="31">
        <f t="shared" si="4"/>
        <v>1</v>
      </c>
      <c r="M75" s="31">
        <f t="shared" si="5"/>
        <v>0</v>
      </c>
    </row>
    <row r="76" spans="1:13" x14ac:dyDescent="0.2">
      <c r="A76">
        <v>75</v>
      </c>
      <c r="B76" s="30">
        <v>0.5882908404154864</v>
      </c>
      <c r="C76" s="30">
        <v>0.64049586776859502</v>
      </c>
      <c r="D76" s="30">
        <v>0.63974591651542678</v>
      </c>
      <c r="E76" s="30">
        <v>0.62950450450450479</v>
      </c>
      <c r="F76" s="30">
        <v>0.61012116892373491</v>
      </c>
      <c r="G76" s="30">
        <v>0.42113406753435878</v>
      </c>
      <c r="H76" s="30">
        <v>0.65091088133924191</v>
      </c>
      <c r="I76">
        <v>2</v>
      </c>
      <c r="K76" s="31">
        <f t="shared" si="3"/>
        <v>0</v>
      </c>
      <c r="L76" s="31">
        <f t="shared" si="4"/>
        <v>1</v>
      </c>
      <c r="M76" s="31">
        <f t="shared" si="5"/>
        <v>0</v>
      </c>
    </row>
    <row r="77" spans="1:13" x14ac:dyDescent="0.2">
      <c r="A77">
        <v>76</v>
      </c>
      <c r="B77" s="30">
        <v>0.58356940509915012</v>
      </c>
      <c r="C77" s="30">
        <v>0.66322314049586761</v>
      </c>
      <c r="D77" s="30">
        <v>0.50544464609800355</v>
      </c>
      <c r="E77" s="30">
        <v>0.57882882882882869</v>
      </c>
      <c r="F77" s="30">
        <v>0.57590876692801141</v>
      </c>
      <c r="G77" s="30">
        <v>0.5402358631629588</v>
      </c>
      <c r="H77" s="30">
        <v>0.62826193993106838</v>
      </c>
      <c r="I77">
        <v>2</v>
      </c>
      <c r="K77" s="31">
        <f t="shared" ref="K77:K140" si="6">IF(AND(I77=INT(RIGHT($K$1,1)),INT(RIGHT($K$1,1))=INT(RIGHT($K$1,1))),1,0)</f>
        <v>0</v>
      </c>
      <c r="L77" s="31">
        <f t="shared" ref="L77:L140" si="7">IF(AND(I77=INT(RIGHT($L$1,1)),INT(RIGHT($L$1,1))=INT(RIGHT($L$1,1))),1,0)</f>
        <v>1</v>
      </c>
      <c r="M77" s="31">
        <f t="shared" ref="M77:M140" si="8">IF(AND(I77=INT(RIGHT($M$1,1)),INT(RIGHT($M$1,1))=INT(RIGHT($M$1,1))),1,0)</f>
        <v>0</v>
      </c>
    </row>
    <row r="78" spans="1:13" x14ac:dyDescent="0.2">
      <c r="A78">
        <v>77</v>
      </c>
      <c r="B78" s="30">
        <v>0.63550519357884805</v>
      </c>
      <c r="C78" s="30">
        <v>0.72314049586776863</v>
      </c>
      <c r="D78" s="30">
        <v>0.47005444646097982</v>
      </c>
      <c r="E78" s="30">
        <v>0.65596846846846857</v>
      </c>
      <c r="F78" s="30">
        <v>0.55096222380612958</v>
      </c>
      <c r="G78" s="30">
        <v>0.39772978455057278</v>
      </c>
      <c r="H78" s="30">
        <v>0.69079271294928601</v>
      </c>
      <c r="I78">
        <v>2</v>
      </c>
      <c r="K78" s="31">
        <f t="shared" si="6"/>
        <v>0</v>
      </c>
      <c r="L78" s="31">
        <f t="shared" si="7"/>
        <v>1</v>
      </c>
      <c r="M78" s="31">
        <f t="shared" si="8"/>
        <v>0</v>
      </c>
    </row>
    <row r="79" spans="1:13" x14ac:dyDescent="0.2">
      <c r="A79">
        <v>78</v>
      </c>
      <c r="B79" s="30">
        <v>0.95561850802644011</v>
      </c>
      <c r="C79" s="30">
        <v>0.99586776859504145</v>
      </c>
      <c r="D79" s="30">
        <v>0.61887477313974548</v>
      </c>
      <c r="E79" s="30">
        <v>0.94594594594594594</v>
      </c>
      <c r="F79" s="30">
        <v>0.84390591589451158</v>
      </c>
      <c r="G79" s="30">
        <v>0.47925470361076078</v>
      </c>
      <c r="H79" s="30">
        <v>0.95125553914327909</v>
      </c>
      <c r="I79">
        <v>2</v>
      </c>
      <c r="K79" s="31">
        <f t="shared" si="6"/>
        <v>0</v>
      </c>
      <c r="L79" s="31">
        <f t="shared" si="7"/>
        <v>1</v>
      </c>
      <c r="M79" s="31">
        <f t="shared" si="8"/>
        <v>0</v>
      </c>
    </row>
    <row r="80" spans="1:13" x14ac:dyDescent="0.2">
      <c r="A80">
        <v>79</v>
      </c>
      <c r="B80" s="30">
        <v>0.78847969782813987</v>
      </c>
      <c r="C80" s="30">
        <v>0.84297520661156988</v>
      </c>
      <c r="D80" s="30">
        <v>0.6070780399274045</v>
      </c>
      <c r="E80" s="30">
        <v>0.87049549549549576</v>
      </c>
      <c r="F80" s="30">
        <v>0.71917320028510301</v>
      </c>
      <c r="G80" s="30">
        <v>0.55895928954998764</v>
      </c>
      <c r="H80" s="30">
        <v>0.90743476120137878</v>
      </c>
      <c r="I80">
        <v>2</v>
      </c>
      <c r="K80" s="31">
        <f t="shared" si="6"/>
        <v>0</v>
      </c>
      <c r="L80" s="31">
        <f t="shared" si="7"/>
        <v>1</v>
      </c>
      <c r="M80" s="31">
        <f t="shared" si="8"/>
        <v>0</v>
      </c>
    </row>
    <row r="81" spans="1:13" x14ac:dyDescent="0.2">
      <c r="A81">
        <v>80</v>
      </c>
      <c r="B81" s="30">
        <v>0.61661945231350346</v>
      </c>
      <c r="C81" s="30">
        <v>0.64876033057851257</v>
      </c>
      <c r="D81" s="30">
        <v>0.73593466424682374</v>
      </c>
      <c r="E81" s="30">
        <v>0.5354729729729728</v>
      </c>
      <c r="F81" s="30">
        <v>0.66714183891660706</v>
      </c>
      <c r="G81" s="30">
        <v>0.27212679920425442</v>
      </c>
      <c r="H81" s="30">
        <v>0.60413589364844933</v>
      </c>
      <c r="I81">
        <v>2</v>
      </c>
      <c r="K81" s="31">
        <f t="shared" si="6"/>
        <v>0</v>
      </c>
      <c r="L81" s="31">
        <f t="shared" si="7"/>
        <v>1</v>
      </c>
      <c r="M81" s="31">
        <f t="shared" si="8"/>
        <v>0</v>
      </c>
    </row>
    <row r="82" spans="1:13" x14ac:dyDescent="0.2">
      <c r="A82">
        <v>81</v>
      </c>
      <c r="B82" s="30">
        <v>0.56090651558073668</v>
      </c>
      <c r="C82" s="30">
        <v>0.60537190082644621</v>
      </c>
      <c r="D82" s="30">
        <v>0.67332123411978184</v>
      </c>
      <c r="E82" s="30">
        <v>0.5495495495495496</v>
      </c>
      <c r="F82" s="30">
        <v>0.59657875980042763</v>
      </c>
      <c r="G82" s="30">
        <v>0.61981042530783137</v>
      </c>
      <c r="H82" s="30">
        <v>0.67011324470704081</v>
      </c>
      <c r="I82">
        <v>2</v>
      </c>
      <c r="K82" s="31">
        <f t="shared" si="6"/>
        <v>0</v>
      </c>
      <c r="L82" s="31">
        <f t="shared" si="7"/>
        <v>1</v>
      </c>
      <c r="M82" s="31">
        <f t="shared" si="8"/>
        <v>0</v>
      </c>
    </row>
    <row r="83" spans="1:13" x14ac:dyDescent="0.2">
      <c r="A83">
        <v>82</v>
      </c>
      <c r="B83" s="30">
        <v>0.76770538243626052</v>
      </c>
      <c r="C83" s="30">
        <v>0.78099173553719037</v>
      </c>
      <c r="D83" s="30">
        <v>0.81306715063520907</v>
      </c>
      <c r="E83" s="30">
        <v>0.62331081081081097</v>
      </c>
      <c r="F83" s="30">
        <v>0.87455452601568062</v>
      </c>
      <c r="G83" s="30">
        <v>0.59276547608212304</v>
      </c>
      <c r="H83" s="30">
        <v>0.66962087641555867</v>
      </c>
      <c r="I83">
        <v>2</v>
      </c>
      <c r="K83" s="31">
        <f t="shared" si="6"/>
        <v>0</v>
      </c>
      <c r="L83" s="31">
        <f t="shared" si="7"/>
        <v>1</v>
      </c>
      <c r="M83" s="31">
        <f t="shared" si="8"/>
        <v>0</v>
      </c>
    </row>
    <row r="84" spans="1:13" x14ac:dyDescent="0.2">
      <c r="A84">
        <v>83</v>
      </c>
      <c r="B84" s="30">
        <v>0.90745986779981114</v>
      </c>
      <c r="C84" s="30">
        <v>0.92561983471074394</v>
      </c>
      <c r="D84" s="30">
        <v>0.73774954627949141</v>
      </c>
      <c r="E84" s="30">
        <v>0.78040540540540559</v>
      </c>
      <c r="F84" s="30">
        <v>0.8795438346400567</v>
      </c>
      <c r="G84" s="30">
        <v>0.57313188313461361</v>
      </c>
      <c r="H84" s="30">
        <v>0.82127031019202379</v>
      </c>
      <c r="I84">
        <v>2</v>
      </c>
      <c r="K84" s="31">
        <f t="shared" si="6"/>
        <v>0</v>
      </c>
      <c r="L84" s="31">
        <f t="shared" si="7"/>
        <v>1</v>
      </c>
      <c r="M84" s="31">
        <f t="shared" si="8"/>
        <v>0</v>
      </c>
    </row>
    <row r="85" spans="1:13" x14ac:dyDescent="0.2">
      <c r="A85">
        <v>84</v>
      </c>
      <c r="B85" s="30">
        <v>0.8479697828139755</v>
      </c>
      <c r="C85" s="30">
        <v>0.89462809917355335</v>
      </c>
      <c r="D85" s="30">
        <v>0.6333938294010889</v>
      </c>
      <c r="E85" s="30">
        <v>0.83614864864864891</v>
      </c>
      <c r="F85" s="30">
        <v>0.81397006414825335</v>
      </c>
      <c r="G85" s="30">
        <v>9.1913820229101925E-2</v>
      </c>
      <c r="H85" s="30">
        <v>0.86361398325947802</v>
      </c>
      <c r="I85">
        <v>2</v>
      </c>
      <c r="K85" s="31">
        <f t="shared" si="6"/>
        <v>0</v>
      </c>
      <c r="L85" s="31">
        <f t="shared" si="7"/>
        <v>1</v>
      </c>
      <c r="M85" s="31">
        <f t="shared" si="8"/>
        <v>0</v>
      </c>
    </row>
    <row r="86" spans="1:13" x14ac:dyDescent="0.2">
      <c r="A86">
        <v>85</v>
      </c>
      <c r="B86" s="30">
        <v>0.84230406043437223</v>
      </c>
      <c r="C86" s="30">
        <v>0.88842975206611585</v>
      </c>
      <c r="D86" s="30">
        <v>0.63430127041742268</v>
      </c>
      <c r="E86" s="30">
        <v>0.82601351351351338</v>
      </c>
      <c r="F86" s="30">
        <v>0.8346400570206699</v>
      </c>
      <c r="G86" s="30">
        <v>0.28564927381710858</v>
      </c>
      <c r="H86" s="30">
        <v>0.8202855736090594</v>
      </c>
      <c r="I86">
        <v>2</v>
      </c>
      <c r="K86" s="31">
        <f t="shared" si="6"/>
        <v>0</v>
      </c>
      <c r="L86" s="31">
        <f t="shared" si="7"/>
        <v>1</v>
      </c>
      <c r="M86" s="31">
        <f t="shared" si="8"/>
        <v>0</v>
      </c>
    </row>
    <row r="87" spans="1:13" x14ac:dyDescent="0.2">
      <c r="A87">
        <v>86</v>
      </c>
      <c r="B87" s="30">
        <v>0.72521246458923516</v>
      </c>
      <c r="C87" s="30">
        <v>0.7603305785123966</v>
      </c>
      <c r="D87" s="30">
        <v>0.71597096188747722</v>
      </c>
      <c r="E87" s="30">
        <v>0.7173423423423424</v>
      </c>
      <c r="F87" s="30">
        <v>0.72772630078403389</v>
      </c>
      <c r="G87" s="30">
        <v>0.21816692454719219</v>
      </c>
      <c r="H87" s="30">
        <v>0.82619399310684405</v>
      </c>
      <c r="I87">
        <v>2</v>
      </c>
      <c r="K87" s="31">
        <f t="shared" si="6"/>
        <v>0</v>
      </c>
      <c r="L87" s="31">
        <f t="shared" si="7"/>
        <v>1</v>
      </c>
      <c r="M87" s="31">
        <f t="shared" si="8"/>
        <v>0</v>
      </c>
    </row>
    <row r="88" spans="1:13" x14ac:dyDescent="0.2">
      <c r="A88">
        <v>87</v>
      </c>
      <c r="B88" s="30">
        <v>0.78281397544853626</v>
      </c>
      <c r="C88" s="30">
        <v>0.79545454545454575</v>
      </c>
      <c r="D88" s="30">
        <v>0.80580762250453741</v>
      </c>
      <c r="E88" s="30">
        <v>0.6672297297297296</v>
      </c>
      <c r="F88" s="30">
        <v>0.80826799714896613</v>
      </c>
      <c r="G88" s="30">
        <v>0.11492803182982488</v>
      </c>
      <c r="H88" s="30">
        <v>0.78286558345642543</v>
      </c>
      <c r="I88">
        <v>2</v>
      </c>
      <c r="K88" s="31">
        <f t="shared" si="6"/>
        <v>0</v>
      </c>
      <c r="L88" s="31">
        <f t="shared" si="7"/>
        <v>1</v>
      </c>
      <c r="M88" s="31">
        <f t="shared" si="8"/>
        <v>0</v>
      </c>
    </row>
    <row r="89" spans="1:13" x14ac:dyDescent="0.2">
      <c r="A89">
        <v>88</v>
      </c>
      <c r="B89" s="30">
        <v>0.79225684608120872</v>
      </c>
      <c r="C89" s="30">
        <v>0.87809917355371903</v>
      </c>
      <c r="D89" s="30">
        <v>0.46188747731397423</v>
      </c>
      <c r="E89" s="30">
        <v>0.92905405405405439</v>
      </c>
      <c r="F89" s="30">
        <v>0.74126870990734117</v>
      </c>
      <c r="G89" s="30">
        <v>0.38043661990144201</v>
      </c>
      <c r="H89" s="30">
        <v>0.97439684884293476</v>
      </c>
      <c r="I89">
        <v>2</v>
      </c>
      <c r="K89" s="31">
        <f t="shared" si="6"/>
        <v>0</v>
      </c>
      <c r="L89" s="31">
        <f t="shared" si="7"/>
        <v>1</v>
      </c>
      <c r="M89" s="31">
        <f t="shared" si="8"/>
        <v>0</v>
      </c>
    </row>
    <row r="90" spans="1:13" x14ac:dyDescent="0.2">
      <c r="A90">
        <v>89</v>
      </c>
      <c r="B90" s="30">
        <v>1</v>
      </c>
      <c r="C90" s="30">
        <v>0.99173553719008278</v>
      </c>
      <c r="D90" s="30">
        <v>0.82395644283121616</v>
      </c>
      <c r="E90" s="30">
        <v>0.94256756756756788</v>
      </c>
      <c r="F90" s="30">
        <v>1</v>
      </c>
      <c r="G90" s="30">
        <v>0.65205632630771437</v>
      </c>
      <c r="H90" s="30">
        <v>0.84293451501723293</v>
      </c>
      <c r="I90">
        <v>2</v>
      </c>
      <c r="K90" s="31">
        <f t="shared" si="6"/>
        <v>0</v>
      </c>
      <c r="L90" s="31">
        <f t="shared" si="7"/>
        <v>1</v>
      </c>
      <c r="M90" s="31">
        <f t="shared" si="8"/>
        <v>0</v>
      </c>
    </row>
    <row r="91" spans="1:13" x14ac:dyDescent="0.2">
      <c r="A91">
        <v>90</v>
      </c>
      <c r="B91" s="30">
        <v>0.97167138810198295</v>
      </c>
      <c r="C91" s="30">
        <v>0.95867768595041336</v>
      </c>
      <c r="D91" s="30">
        <v>0.86206896551724144</v>
      </c>
      <c r="E91" s="30">
        <v>0.87331081081081097</v>
      </c>
      <c r="F91" s="30">
        <v>0.99928724162508886</v>
      </c>
      <c r="G91" s="30">
        <v>0.55271814742097802</v>
      </c>
      <c r="H91" s="30">
        <v>0.88724766125061538</v>
      </c>
      <c r="I91">
        <v>2</v>
      </c>
      <c r="K91" s="31">
        <f t="shared" si="6"/>
        <v>0</v>
      </c>
      <c r="L91" s="31">
        <f t="shared" si="7"/>
        <v>1</v>
      </c>
      <c r="M91" s="31">
        <f t="shared" si="8"/>
        <v>0</v>
      </c>
    </row>
    <row r="92" spans="1:13" x14ac:dyDescent="0.2">
      <c r="A92">
        <v>91</v>
      </c>
      <c r="B92" s="30">
        <v>0.89801699716713901</v>
      </c>
      <c r="C92" s="30">
        <v>0.94628099173553681</v>
      </c>
      <c r="D92" s="30">
        <v>0.60344827586206917</v>
      </c>
      <c r="E92" s="30">
        <v>0.94707207207207245</v>
      </c>
      <c r="F92" s="30">
        <v>0.82323592302209536</v>
      </c>
      <c r="G92" s="30">
        <v>0.15471531290226115</v>
      </c>
      <c r="H92" s="30">
        <v>0.95027080256031515</v>
      </c>
      <c r="I92">
        <v>2</v>
      </c>
      <c r="K92" s="31">
        <f t="shared" si="6"/>
        <v>0</v>
      </c>
      <c r="L92" s="31">
        <f t="shared" si="7"/>
        <v>1</v>
      </c>
      <c r="M92" s="31">
        <f t="shared" si="8"/>
        <v>0</v>
      </c>
    </row>
    <row r="93" spans="1:13" x14ac:dyDescent="0.2">
      <c r="A93">
        <v>92</v>
      </c>
      <c r="B93" s="30">
        <v>0.7714825306893297</v>
      </c>
      <c r="C93" s="30">
        <v>0.78305785123966931</v>
      </c>
      <c r="D93" s="30">
        <v>0.81941923774954595</v>
      </c>
      <c r="E93" s="30">
        <v>0.7167792792792792</v>
      </c>
      <c r="F93" s="30">
        <v>0.8310762651461151</v>
      </c>
      <c r="G93" s="30">
        <v>0.30619303332509856</v>
      </c>
      <c r="H93" s="30">
        <v>0.75529295913343186</v>
      </c>
      <c r="I93">
        <v>2</v>
      </c>
      <c r="K93" s="31">
        <f t="shared" si="6"/>
        <v>0</v>
      </c>
      <c r="L93" s="31">
        <f t="shared" si="7"/>
        <v>1</v>
      </c>
      <c r="M93" s="31">
        <f t="shared" si="8"/>
        <v>0</v>
      </c>
    </row>
    <row r="94" spans="1:13" x14ac:dyDescent="0.2">
      <c r="A94">
        <v>93</v>
      </c>
      <c r="B94" s="30">
        <v>0.77620396600566566</v>
      </c>
      <c r="C94" s="30">
        <v>0.80165289256198324</v>
      </c>
      <c r="D94" s="30">
        <v>0.7486388384754985</v>
      </c>
      <c r="E94" s="30">
        <v>0.77308558558558582</v>
      </c>
      <c r="F94" s="30">
        <v>0.75766215253029212</v>
      </c>
      <c r="G94" s="30">
        <v>0.32140581726455947</v>
      </c>
      <c r="H94" s="30">
        <v>0.75529295913343186</v>
      </c>
      <c r="I94">
        <v>2</v>
      </c>
      <c r="K94" s="31">
        <f t="shared" si="6"/>
        <v>0</v>
      </c>
      <c r="L94" s="31">
        <f t="shared" si="7"/>
        <v>1</v>
      </c>
      <c r="M94" s="31">
        <f t="shared" si="8"/>
        <v>0</v>
      </c>
    </row>
    <row r="95" spans="1:13" x14ac:dyDescent="0.2">
      <c r="A95">
        <v>94</v>
      </c>
      <c r="B95" s="30">
        <v>0.75542965061378664</v>
      </c>
      <c r="C95" s="30">
        <v>0.7520661157024795</v>
      </c>
      <c r="D95" s="30">
        <v>0.89382940108892883</v>
      </c>
      <c r="E95" s="30">
        <v>0.64076576576576583</v>
      </c>
      <c r="F95" s="30">
        <v>0.87669280114041315</v>
      </c>
      <c r="G95" s="30">
        <v>0.68079158486002944</v>
      </c>
      <c r="H95" s="30">
        <v>0.66863613983259473</v>
      </c>
      <c r="I95">
        <v>2</v>
      </c>
      <c r="K95" s="31">
        <f t="shared" si="6"/>
        <v>0</v>
      </c>
      <c r="L95" s="31">
        <f t="shared" si="7"/>
        <v>1</v>
      </c>
      <c r="M95" s="31">
        <f t="shared" si="8"/>
        <v>0</v>
      </c>
    </row>
    <row r="96" spans="1:13" x14ac:dyDescent="0.2">
      <c r="A96">
        <v>95</v>
      </c>
      <c r="B96" s="30">
        <v>0.73371104815864019</v>
      </c>
      <c r="C96" s="30">
        <v>0.84917355371900816</v>
      </c>
      <c r="D96" s="30">
        <v>0.33666061705989042</v>
      </c>
      <c r="E96" s="30">
        <v>0.99493243243243279</v>
      </c>
      <c r="F96" s="30">
        <v>0.60940841054882378</v>
      </c>
      <c r="G96" s="30">
        <v>0.54192617248956554</v>
      </c>
      <c r="H96" s="30">
        <v>0.94977843426883335</v>
      </c>
      <c r="I96">
        <v>2</v>
      </c>
      <c r="K96" s="31">
        <f t="shared" si="6"/>
        <v>0</v>
      </c>
      <c r="L96" s="31">
        <f t="shared" si="7"/>
        <v>1</v>
      </c>
      <c r="M96" s="31">
        <f t="shared" si="8"/>
        <v>0</v>
      </c>
    </row>
    <row r="97" spans="1:13" x14ac:dyDescent="0.2">
      <c r="A97">
        <v>96</v>
      </c>
      <c r="B97" s="30">
        <v>0.59301227573182258</v>
      </c>
      <c r="C97" s="30">
        <v>0.66942148760330589</v>
      </c>
      <c r="D97" s="30">
        <v>0.51451905626134298</v>
      </c>
      <c r="E97" s="30">
        <v>0.69819819819819839</v>
      </c>
      <c r="F97" s="30">
        <v>0.59372772630078396</v>
      </c>
      <c r="G97" s="30">
        <v>0.38108673887321387</v>
      </c>
      <c r="H97" s="30">
        <v>0.71294928606597718</v>
      </c>
      <c r="I97">
        <v>2</v>
      </c>
      <c r="K97" s="31">
        <f t="shared" si="6"/>
        <v>0</v>
      </c>
      <c r="L97" s="31">
        <f t="shared" si="7"/>
        <v>1</v>
      </c>
      <c r="M97" s="31">
        <f t="shared" si="8"/>
        <v>0</v>
      </c>
    </row>
    <row r="98" spans="1:13" x14ac:dyDescent="0.2">
      <c r="A98">
        <v>97</v>
      </c>
      <c r="B98" s="30">
        <v>0.8234183191690273</v>
      </c>
      <c r="C98" s="30">
        <v>0.86363636363636365</v>
      </c>
      <c r="D98" s="30">
        <v>0.66606170598911008</v>
      </c>
      <c r="E98" s="30">
        <v>0.81193693693693714</v>
      </c>
      <c r="F98" s="30">
        <v>0.84105488239486792</v>
      </c>
      <c r="G98" s="30">
        <v>0.35261152790960748</v>
      </c>
      <c r="H98" s="30">
        <v>0.84638109305760734</v>
      </c>
      <c r="I98">
        <v>2</v>
      </c>
      <c r="K98" s="31">
        <f t="shared" si="6"/>
        <v>0</v>
      </c>
      <c r="L98" s="31">
        <f t="shared" si="7"/>
        <v>1</v>
      </c>
      <c r="M98" s="31">
        <f t="shared" si="8"/>
        <v>0</v>
      </c>
    </row>
    <row r="99" spans="1:13" x14ac:dyDescent="0.2">
      <c r="A99">
        <v>98</v>
      </c>
      <c r="B99" s="30">
        <v>0.79225684608120872</v>
      </c>
      <c r="C99" s="30">
        <v>0.85950413223140498</v>
      </c>
      <c r="D99" s="30">
        <v>0.5499092558983667</v>
      </c>
      <c r="E99" s="30">
        <v>0.87274774774774777</v>
      </c>
      <c r="F99" s="30">
        <v>0.65716322166785446</v>
      </c>
      <c r="G99" s="30">
        <v>0.1792898100352365</v>
      </c>
      <c r="H99" s="30">
        <v>0.95224027572624348</v>
      </c>
      <c r="I99">
        <v>2</v>
      </c>
      <c r="K99" s="31">
        <f t="shared" si="6"/>
        <v>0</v>
      </c>
      <c r="L99" s="31">
        <f t="shared" si="7"/>
        <v>1</v>
      </c>
      <c r="M99" s="31">
        <f t="shared" si="8"/>
        <v>0</v>
      </c>
    </row>
    <row r="100" spans="1:13" x14ac:dyDescent="0.2">
      <c r="A100">
        <v>99</v>
      </c>
      <c r="B100" s="30">
        <v>0.71576959395656303</v>
      </c>
      <c r="C100" s="30">
        <v>0.79545454545454575</v>
      </c>
      <c r="D100" s="30">
        <v>0.50453720508166966</v>
      </c>
      <c r="E100" s="30">
        <v>0.77252252252252251</v>
      </c>
      <c r="F100" s="30">
        <v>0.62865288667141828</v>
      </c>
      <c r="G100" s="30">
        <v>0.27147668023248261</v>
      </c>
      <c r="H100" s="30">
        <v>0.86361398325947802</v>
      </c>
      <c r="I100">
        <v>2</v>
      </c>
      <c r="K100" s="31">
        <f t="shared" si="6"/>
        <v>0</v>
      </c>
      <c r="L100" s="31">
        <f t="shared" si="7"/>
        <v>1</v>
      </c>
      <c r="M100" s="31">
        <f t="shared" si="8"/>
        <v>0</v>
      </c>
    </row>
    <row r="101" spans="1:13" x14ac:dyDescent="0.2">
      <c r="A101">
        <v>100</v>
      </c>
      <c r="B101" s="30">
        <v>0.76770538243626052</v>
      </c>
      <c r="C101" s="30">
        <v>0.81198347107438018</v>
      </c>
      <c r="D101" s="30">
        <v>0.66152450090744086</v>
      </c>
      <c r="E101" s="30">
        <v>0.74324324324324353</v>
      </c>
      <c r="F101" s="30">
        <v>0.75124732715609399</v>
      </c>
      <c r="G101" s="30">
        <v>0.18501085698682865</v>
      </c>
      <c r="H101" s="30">
        <v>0.77695716395864134</v>
      </c>
      <c r="I101">
        <v>2</v>
      </c>
      <c r="K101" s="31">
        <f t="shared" si="6"/>
        <v>0</v>
      </c>
      <c r="L101" s="31">
        <f t="shared" si="7"/>
        <v>1</v>
      </c>
      <c r="M101" s="31">
        <f t="shared" si="8"/>
        <v>0</v>
      </c>
    </row>
    <row r="102" spans="1:13" x14ac:dyDescent="0.2">
      <c r="A102">
        <v>101</v>
      </c>
      <c r="B102" s="30">
        <v>0.54957507082152979</v>
      </c>
      <c r="C102" s="30">
        <v>0.58677685950413216</v>
      </c>
      <c r="D102" s="30">
        <v>0.71234119782214189</v>
      </c>
      <c r="E102" s="30">
        <v>0.46114864864864868</v>
      </c>
      <c r="F102" s="30">
        <v>0.63791874554525996</v>
      </c>
      <c r="G102" s="30">
        <v>0.44882913573183897</v>
      </c>
      <c r="H102" s="30">
        <v>0.54111275233874956</v>
      </c>
      <c r="I102">
        <v>2</v>
      </c>
      <c r="K102" s="31">
        <f t="shared" si="6"/>
        <v>0</v>
      </c>
      <c r="L102" s="31">
        <f t="shared" si="7"/>
        <v>1</v>
      </c>
      <c r="M102" s="31">
        <f t="shared" si="8"/>
        <v>0</v>
      </c>
    </row>
    <row r="103" spans="1:13" x14ac:dyDescent="0.2">
      <c r="A103">
        <v>102</v>
      </c>
      <c r="B103" s="30">
        <v>0.69877242681775242</v>
      </c>
      <c r="C103" s="30">
        <v>0.7128099173553718</v>
      </c>
      <c r="D103" s="30">
        <v>0.82667876588021771</v>
      </c>
      <c r="E103" s="30">
        <v>0.55799549549549532</v>
      </c>
      <c r="F103" s="30">
        <v>0.75837491090520293</v>
      </c>
      <c r="G103" s="30">
        <v>0.16940800166430461</v>
      </c>
      <c r="H103" s="30">
        <v>0.64894140817331358</v>
      </c>
      <c r="I103">
        <v>2</v>
      </c>
      <c r="K103" s="31">
        <f t="shared" si="6"/>
        <v>0</v>
      </c>
      <c r="L103" s="31">
        <f t="shared" si="7"/>
        <v>1</v>
      </c>
      <c r="M103" s="31">
        <f t="shared" si="8"/>
        <v>0</v>
      </c>
    </row>
    <row r="104" spans="1:13" x14ac:dyDescent="0.2">
      <c r="A104">
        <v>103</v>
      </c>
      <c r="B104" s="30">
        <v>0.83758262511803594</v>
      </c>
      <c r="C104" s="30">
        <v>0.8450413223140496</v>
      </c>
      <c r="D104" s="30">
        <v>0.82032667876587984</v>
      </c>
      <c r="E104" s="30">
        <v>0.68355855855855885</v>
      </c>
      <c r="F104" s="30">
        <v>0.89950106913756211</v>
      </c>
      <c r="G104" s="30">
        <v>0.46066130101808633</v>
      </c>
      <c r="H104" s="30">
        <v>0.73362875430822272</v>
      </c>
      <c r="I104">
        <v>2</v>
      </c>
      <c r="K104" s="31">
        <f t="shared" si="6"/>
        <v>0</v>
      </c>
      <c r="L104" s="31">
        <f t="shared" si="7"/>
        <v>1</v>
      </c>
      <c r="M104" s="31">
        <f t="shared" si="8"/>
        <v>0</v>
      </c>
    </row>
    <row r="105" spans="1:13" x14ac:dyDescent="0.2">
      <c r="A105">
        <v>104</v>
      </c>
      <c r="B105" s="30">
        <v>0.81114258734655331</v>
      </c>
      <c r="C105" s="30">
        <v>0.87190082644628075</v>
      </c>
      <c r="D105" s="30">
        <v>0.57713248638838488</v>
      </c>
      <c r="E105" s="30">
        <v>0.82770270270270263</v>
      </c>
      <c r="F105" s="30">
        <v>0.74910905203136124</v>
      </c>
      <c r="G105" s="30">
        <v>0.3370086725870835</v>
      </c>
      <c r="H105" s="30">
        <v>0.84194977843426899</v>
      </c>
      <c r="I105">
        <v>2</v>
      </c>
      <c r="K105" s="31">
        <f t="shared" si="6"/>
        <v>0</v>
      </c>
      <c r="L105" s="31">
        <f t="shared" si="7"/>
        <v>1</v>
      </c>
      <c r="M105" s="31">
        <f t="shared" si="8"/>
        <v>0</v>
      </c>
    </row>
    <row r="106" spans="1:13" x14ac:dyDescent="0.2">
      <c r="A106">
        <v>105</v>
      </c>
      <c r="B106" s="30">
        <v>0.78942398489140697</v>
      </c>
      <c r="C106" s="30">
        <v>0.82851239669421517</v>
      </c>
      <c r="D106" s="30">
        <v>0.67876588021778583</v>
      </c>
      <c r="E106" s="30">
        <v>0.75957207207207222</v>
      </c>
      <c r="F106" s="30">
        <v>0.80185317177476811</v>
      </c>
      <c r="G106" s="30">
        <v>0.33843893432498151</v>
      </c>
      <c r="H106" s="30">
        <v>0.80206794682422444</v>
      </c>
      <c r="I106">
        <v>2</v>
      </c>
      <c r="K106" s="31">
        <f t="shared" si="6"/>
        <v>0</v>
      </c>
      <c r="L106" s="31">
        <f t="shared" si="7"/>
        <v>1</v>
      </c>
      <c r="M106" s="31">
        <f t="shared" si="8"/>
        <v>0</v>
      </c>
    </row>
    <row r="107" spans="1:13" x14ac:dyDescent="0.2">
      <c r="A107">
        <v>106</v>
      </c>
      <c r="B107" s="30">
        <v>0.77809254013220008</v>
      </c>
      <c r="C107" s="30">
        <v>0.80165289256198324</v>
      </c>
      <c r="D107" s="30">
        <v>0.75862068965517271</v>
      </c>
      <c r="E107" s="30">
        <v>0.64076576576576583</v>
      </c>
      <c r="F107" s="30">
        <v>0.82394868139700628</v>
      </c>
      <c r="G107" s="30">
        <v>0.23246954192617253</v>
      </c>
      <c r="H107" s="30">
        <v>0.66962087641555867</v>
      </c>
      <c r="I107">
        <v>2</v>
      </c>
      <c r="K107" s="31">
        <f t="shared" si="6"/>
        <v>0</v>
      </c>
      <c r="L107" s="31">
        <f t="shared" si="7"/>
        <v>1</v>
      </c>
      <c r="M107" s="31">
        <f t="shared" si="8"/>
        <v>0</v>
      </c>
    </row>
    <row r="108" spans="1:13" x14ac:dyDescent="0.2">
      <c r="A108">
        <v>107</v>
      </c>
      <c r="B108" s="30">
        <v>0.77998111425873484</v>
      </c>
      <c r="C108" s="30">
        <v>0.7768595041322317</v>
      </c>
      <c r="D108" s="30">
        <v>0.8847549909255894</v>
      </c>
      <c r="E108" s="30">
        <v>0.70551801801801817</v>
      </c>
      <c r="F108" s="30">
        <v>0.83820384889522437</v>
      </c>
      <c r="G108" s="30">
        <v>0.27017644228893889</v>
      </c>
      <c r="H108" s="30">
        <v>0.82767109798129013</v>
      </c>
      <c r="I108">
        <v>2</v>
      </c>
      <c r="K108" s="31">
        <f t="shared" si="6"/>
        <v>0</v>
      </c>
      <c r="L108" s="31">
        <f t="shared" si="7"/>
        <v>1</v>
      </c>
      <c r="M108" s="31">
        <f t="shared" si="8"/>
        <v>0</v>
      </c>
    </row>
    <row r="109" spans="1:13" x14ac:dyDescent="0.2">
      <c r="A109">
        <v>108</v>
      </c>
      <c r="B109" s="30">
        <v>0.66477809254013209</v>
      </c>
      <c r="C109" s="30">
        <v>0.7128099173553718</v>
      </c>
      <c r="D109" s="30">
        <v>0.65245009074410154</v>
      </c>
      <c r="E109" s="30">
        <v>0.63851351351351382</v>
      </c>
      <c r="F109" s="30">
        <v>0.67213114754098346</v>
      </c>
      <c r="G109" s="30">
        <v>0.38771795238528656</v>
      </c>
      <c r="H109" s="30">
        <v>0.69423929098966042</v>
      </c>
      <c r="I109">
        <v>2</v>
      </c>
      <c r="K109" s="31">
        <f t="shared" si="6"/>
        <v>0</v>
      </c>
      <c r="L109" s="31">
        <f t="shared" si="7"/>
        <v>1</v>
      </c>
      <c r="M109" s="31">
        <f t="shared" si="8"/>
        <v>0</v>
      </c>
    </row>
    <row r="110" spans="1:13" x14ac:dyDescent="0.2">
      <c r="A110">
        <v>109</v>
      </c>
      <c r="B110" s="30">
        <v>0.88290840415486327</v>
      </c>
      <c r="C110" s="30">
        <v>0.93181818181818221</v>
      </c>
      <c r="D110" s="30">
        <v>0.60889292196007228</v>
      </c>
      <c r="E110" s="30">
        <v>1</v>
      </c>
      <c r="F110" s="30">
        <v>0.80755523877405533</v>
      </c>
      <c r="G110" s="30">
        <v>0.32335617417987494</v>
      </c>
      <c r="H110" s="30">
        <v>1</v>
      </c>
      <c r="I110">
        <v>2</v>
      </c>
      <c r="K110" s="31">
        <f t="shared" si="6"/>
        <v>0</v>
      </c>
      <c r="L110" s="31">
        <f t="shared" si="7"/>
        <v>1</v>
      </c>
      <c r="M110" s="31">
        <f t="shared" si="8"/>
        <v>0</v>
      </c>
    </row>
    <row r="111" spans="1:13" x14ac:dyDescent="0.2">
      <c r="A111">
        <v>110</v>
      </c>
      <c r="B111" s="30">
        <v>0.75165250236071779</v>
      </c>
      <c r="C111" s="30">
        <v>0.78719008264462786</v>
      </c>
      <c r="D111" s="30">
        <v>0.71143375680580712</v>
      </c>
      <c r="E111" s="30">
        <v>0.70608108108108092</v>
      </c>
      <c r="F111" s="30">
        <v>0.74411974340698483</v>
      </c>
      <c r="G111" s="30">
        <v>0.12650014952736352</v>
      </c>
      <c r="H111" s="30">
        <v>0.6770064007877894</v>
      </c>
      <c r="I111">
        <v>2</v>
      </c>
      <c r="K111" s="31">
        <f t="shared" si="6"/>
        <v>0</v>
      </c>
      <c r="L111" s="31">
        <f t="shared" si="7"/>
        <v>1</v>
      </c>
      <c r="M111" s="31">
        <f t="shared" si="8"/>
        <v>0</v>
      </c>
    </row>
    <row r="112" spans="1:13" x14ac:dyDescent="0.2">
      <c r="A112">
        <v>111</v>
      </c>
      <c r="B112" s="30">
        <v>0.74220963172804533</v>
      </c>
      <c r="C112" s="30">
        <v>0.76652892561983488</v>
      </c>
      <c r="D112" s="30">
        <v>0.76225045372050804</v>
      </c>
      <c r="E112" s="30">
        <v>0.68018018018018034</v>
      </c>
      <c r="F112" s="30">
        <v>0.81183178902352093</v>
      </c>
      <c r="G112" s="30">
        <v>0.19112197532148384</v>
      </c>
      <c r="H112" s="30">
        <v>0.62776957163958624</v>
      </c>
      <c r="I112">
        <v>2</v>
      </c>
      <c r="K112" s="31">
        <f t="shared" si="6"/>
        <v>0</v>
      </c>
      <c r="L112" s="31">
        <f t="shared" si="7"/>
        <v>1</v>
      </c>
      <c r="M112" s="31">
        <f t="shared" si="8"/>
        <v>0</v>
      </c>
    </row>
    <row r="113" spans="1:13" x14ac:dyDescent="0.2">
      <c r="A113">
        <v>112</v>
      </c>
      <c r="B113" s="30">
        <v>0.8300283286118979</v>
      </c>
      <c r="C113" s="30">
        <v>0.8904958677685948</v>
      </c>
      <c r="D113" s="30">
        <v>0.57622504537205099</v>
      </c>
      <c r="E113" s="30">
        <v>0.79054054054054057</v>
      </c>
      <c r="F113" s="30">
        <v>0.82751247327156063</v>
      </c>
      <c r="G113" s="30">
        <v>0.37874631057483527</v>
      </c>
      <c r="H113" s="30">
        <v>0.71196454948301324</v>
      </c>
      <c r="I113">
        <v>2</v>
      </c>
      <c r="K113" s="31">
        <f t="shared" si="6"/>
        <v>0</v>
      </c>
      <c r="L113" s="31">
        <f t="shared" si="7"/>
        <v>1</v>
      </c>
      <c r="M113" s="31">
        <f t="shared" si="8"/>
        <v>0</v>
      </c>
    </row>
    <row r="114" spans="1:13" x14ac:dyDescent="0.2">
      <c r="A114">
        <v>113</v>
      </c>
      <c r="B114" s="30">
        <v>0.80642115203021714</v>
      </c>
      <c r="C114" s="30">
        <v>0.80578512396694191</v>
      </c>
      <c r="D114" s="30">
        <v>0.86569872958257676</v>
      </c>
      <c r="E114" s="30">
        <v>0.72297297297297292</v>
      </c>
      <c r="F114" s="30">
        <v>0.90662865288667127</v>
      </c>
      <c r="G114" s="30">
        <v>0.17473897723283363</v>
      </c>
      <c r="H114" s="30">
        <v>0.6917774495322504</v>
      </c>
      <c r="I114">
        <v>2</v>
      </c>
      <c r="K114" s="31">
        <f t="shared" si="6"/>
        <v>0</v>
      </c>
      <c r="L114" s="31">
        <f t="shared" si="7"/>
        <v>1</v>
      </c>
      <c r="M114" s="31">
        <f t="shared" si="8"/>
        <v>0</v>
      </c>
    </row>
    <row r="115" spans="1:13" x14ac:dyDescent="0.2">
      <c r="A115">
        <v>114</v>
      </c>
      <c r="B115" s="30">
        <v>0.80736543909348446</v>
      </c>
      <c r="C115" s="30">
        <v>0.8677685950413222</v>
      </c>
      <c r="D115" s="30">
        <v>0.5816696914700541</v>
      </c>
      <c r="E115" s="30">
        <v>0.76576576576576605</v>
      </c>
      <c r="F115" s="30">
        <v>0.78902352102637197</v>
      </c>
      <c r="G115" s="30">
        <v>0.76933778881535331</v>
      </c>
      <c r="H115" s="30">
        <v>0.75529295913343186</v>
      </c>
      <c r="I115">
        <v>2</v>
      </c>
      <c r="K115" s="31">
        <f t="shared" si="6"/>
        <v>0</v>
      </c>
      <c r="L115" s="31">
        <f t="shared" si="7"/>
        <v>1</v>
      </c>
      <c r="M115" s="31">
        <f t="shared" si="8"/>
        <v>0</v>
      </c>
    </row>
    <row r="116" spans="1:13" x14ac:dyDescent="0.2">
      <c r="A116">
        <v>115</v>
      </c>
      <c r="B116" s="30">
        <v>0.98016997167138797</v>
      </c>
      <c r="C116" s="30">
        <v>1</v>
      </c>
      <c r="D116" s="30">
        <v>0.70598911070780401</v>
      </c>
      <c r="E116" s="30">
        <v>0.93693693693693691</v>
      </c>
      <c r="F116" s="30">
        <v>0.97006414825374176</v>
      </c>
      <c r="G116" s="30">
        <v>0.50864008113484771</v>
      </c>
      <c r="H116" s="30">
        <v>0.88478581979320525</v>
      </c>
      <c r="I116">
        <v>2</v>
      </c>
      <c r="K116" s="31">
        <f t="shared" si="6"/>
        <v>0</v>
      </c>
      <c r="L116" s="31">
        <f t="shared" si="7"/>
        <v>1</v>
      </c>
      <c r="M116" s="31">
        <f t="shared" si="8"/>
        <v>0</v>
      </c>
    </row>
    <row r="117" spans="1:13" x14ac:dyDescent="0.2">
      <c r="A117">
        <v>116</v>
      </c>
      <c r="B117" s="30">
        <v>0.79981114258734642</v>
      </c>
      <c r="C117" s="30">
        <v>0.83471074380165278</v>
      </c>
      <c r="D117" s="30">
        <v>0.7014519056261338</v>
      </c>
      <c r="E117" s="30">
        <v>0.85416666666666696</v>
      </c>
      <c r="F117" s="30">
        <v>0.77619387027797548</v>
      </c>
      <c r="G117" s="30">
        <v>0.19281228464809066</v>
      </c>
      <c r="H117" s="30">
        <v>0.80945347119645517</v>
      </c>
      <c r="I117">
        <v>2</v>
      </c>
      <c r="K117" s="31">
        <f t="shared" si="6"/>
        <v>0</v>
      </c>
      <c r="L117" s="31">
        <f t="shared" si="7"/>
        <v>1</v>
      </c>
      <c r="M117" s="31">
        <f t="shared" si="8"/>
        <v>0</v>
      </c>
    </row>
    <row r="118" spans="1:13" x14ac:dyDescent="0.2">
      <c r="A118">
        <v>117</v>
      </c>
      <c r="B118" s="30">
        <v>0.7903682719546743</v>
      </c>
      <c r="C118" s="30">
        <v>0.78305785123966931</v>
      </c>
      <c r="D118" s="30">
        <v>0.90381125226860204</v>
      </c>
      <c r="E118" s="30">
        <v>0.6486486486486488</v>
      </c>
      <c r="F118" s="30">
        <v>0.90306486101211647</v>
      </c>
      <c r="G118" s="30">
        <v>0.46404191967129987</v>
      </c>
      <c r="H118" s="30">
        <v>0.60610536681437721</v>
      </c>
      <c r="I118">
        <v>2</v>
      </c>
      <c r="K118" s="31">
        <f t="shared" si="6"/>
        <v>0</v>
      </c>
      <c r="L118" s="31">
        <f t="shared" si="7"/>
        <v>1</v>
      </c>
      <c r="M118" s="31">
        <f t="shared" si="8"/>
        <v>0</v>
      </c>
    </row>
    <row r="119" spans="1:13" x14ac:dyDescent="0.2">
      <c r="A119">
        <v>118</v>
      </c>
      <c r="B119" s="30">
        <v>0.80830972615675156</v>
      </c>
      <c r="C119" s="30">
        <v>0.83471074380165278</v>
      </c>
      <c r="D119" s="30">
        <v>0.73411978221415608</v>
      </c>
      <c r="E119" s="30">
        <v>0.75788288288288297</v>
      </c>
      <c r="F119" s="30">
        <v>0.84461867426942239</v>
      </c>
      <c r="G119" s="30">
        <v>0.30151217672834135</v>
      </c>
      <c r="H119" s="30">
        <v>0.8202855736090594</v>
      </c>
      <c r="I119">
        <v>2</v>
      </c>
      <c r="K119" s="31">
        <f t="shared" si="6"/>
        <v>0</v>
      </c>
      <c r="L119" s="31">
        <f t="shared" si="7"/>
        <v>1</v>
      </c>
      <c r="M119" s="31">
        <f t="shared" si="8"/>
        <v>0</v>
      </c>
    </row>
    <row r="120" spans="1:13" x14ac:dyDescent="0.2">
      <c r="A120">
        <v>119</v>
      </c>
      <c r="B120" s="30">
        <v>0.78375826251180369</v>
      </c>
      <c r="C120" s="30">
        <v>0.78925619834710747</v>
      </c>
      <c r="D120" s="30">
        <v>0.84119782214156114</v>
      </c>
      <c r="E120" s="30">
        <v>0.74774774774774799</v>
      </c>
      <c r="F120" s="30">
        <v>0.81183178902352093</v>
      </c>
      <c r="G120" s="30">
        <v>0.37367538259501493</v>
      </c>
      <c r="H120" s="30">
        <v>0.71245691777449549</v>
      </c>
      <c r="I120">
        <v>2</v>
      </c>
      <c r="K120" s="31">
        <f t="shared" si="6"/>
        <v>0</v>
      </c>
      <c r="L120" s="31">
        <f t="shared" si="7"/>
        <v>1</v>
      </c>
      <c r="M120" s="31">
        <f t="shared" si="8"/>
        <v>0</v>
      </c>
    </row>
    <row r="121" spans="1:13" x14ac:dyDescent="0.2">
      <c r="A121">
        <v>120</v>
      </c>
      <c r="B121" s="30">
        <v>0.8914069877242683</v>
      </c>
      <c r="C121" s="30">
        <v>0.92768595041322288</v>
      </c>
      <c r="D121" s="30">
        <v>0.66243194192377475</v>
      </c>
      <c r="E121" s="30">
        <v>0.89752252252252285</v>
      </c>
      <c r="F121" s="30">
        <v>0.87455452601568062</v>
      </c>
      <c r="G121" s="30">
        <v>0.29878167704689967</v>
      </c>
      <c r="H121" s="30">
        <v>0.88675529295913369</v>
      </c>
      <c r="I121">
        <v>2</v>
      </c>
      <c r="K121" s="31">
        <f t="shared" si="6"/>
        <v>0</v>
      </c>
      <c r="L121" s="31">
        <f t="shared" si="7"/>
        <v>1</v>
      </c>
      <c r="M121" s="31">
        <f t="shared" si="8"/>
        <v>0</v>
      </c>
    </row>
    <row r="122" spans="1:13" x14ac:dyDescent="0.2">
      <c r="A122">
        <v>121</v>
      </c>
      <c r="B122" s="30">
        <v>0.91123701605287999</v>
      </c>
      <c r="C122" s="30">
        <v>0.92975206611570249</v>
      </c>
      <c r="D122" s="30">
        <v>0.74047186932849396</v>
      </c>
      <c r="E122" s="30">
        <v>0.79729729729729759</v>
      </c>
      <c r="F122" s="30">
        <v>0.94939415538132566</v>
      </c>
      <c r="G122" s="30">
        <v>0.66778920542459275</v>
      </c>
      <c r="H122" s="30">
        <v>0.82176267848350559</v>
      </c>
      <c r="I122">
        <v>2</v>
      </c>
      <c r="K122" s="31">
        <f t="shared" si="6"/>
        <v>0</v>
      </c>
      <c r="L122" s="31">
        <f t="shared" si="7"/>
        <v>1</v>
      </c>
      <c r="M122" s="31">
        <f t="shared" si="8"/>
        <v>0</v>
      </c>
    </row>
    <row r="123" spans="1:13" x14ac:dyDescent="0.2">
      <c r="A123">
        <v>122</v>
      </c>
      <c r="B123" s="30">
        <v>0.71293673276676117</v>
      </c>
      <c r="C123" s="30">
        <v>0.76652892561983488</v>
      </c>
      <c r="D123" s="30">
        <v>0.62704174228675102</v>
      </c>
      <c r="E123" s="30">
        <v>0.65315315315315325</v>
      </c>
      <c r="F123" s="30">
        <v>0.66500356379187453</v>
      </c>
      <c r="G123" s="30">
        <v>0.37107490670792764</v>
      </c>
      <c r="H123" s="30">
        <v>0.73461349089118666</v>
      </c>
      <c r="I123">
        <v>2</v>
      </c>
      <c r="K123" s="31">
        <f t="shared" si="6"/>
        <v>0</v>
      </c>
      <c r="L123" s="31">
        <f t="shared" si="7"/>
        <v>1</v>
      </c>
      <c r="M123" s="31">
        <f t="shared" si="8"/>
        <v>0</v>
      </c>
    </row>
    <row r="124" spans="1:13" x14ac:dyDescent="0.2">
      <c r="A124">
        <v>123</v>
      </c>
      <c r="B124" s="30">
        <v>0.52691218130311634</v>
      </c>
      <c r="C124" s="30">
        <v>0.61363636363636376</v>
      </c>
      <c r="D124" s="30">
        <v>0.46007259528130656</v>
      </c>
      <c r="E124" s="30">
        <v>0.48592342342342321</v>
      </c>
      <c r="F124" s="30">
        <v>0.53955808980755515</v>
      </c>
      <c r="G124" s="30">
        <v>0.45780077754229026</v>
      </c>
      <c r="H124" s="30">
        <v>0.58296405711472199</v>
      </c>
      <c r="I124">
        <v>2</v>
      </c>
      <c r="K124" s="31">
        <f t="shared" si="6"/>
        <v>0</v>
      </c>
      <c r="L124" s="31">
        <f t="shared" si="7"/>
        <v>1</v>
      </c>
      <c r="M124" s="31">
        <f t="shared" si="8"/>
        <v>0</v>
      </c>
    </row>
    <row r="125" spans="1:13" x14ac:dyDescent="0.2">
      <c r="A125">
        <v>124</v>
      </c>
      <c r="B125" s="30">
        <v>0.7403210576015109</v>
      </c>
      <c r="C125" s="30">
        <v>0.73553719008264473</v>
      </c>
      <c r="D125" s="30">
        <v>0.90381125226860204</v>
      </c>
      <c r="E125" s="30">
        <v>0.60867117117117142</v>
      </c>
      <c r="F125" s="30">
        <v>0.81325730577334254</v>
      </c>
      <c r="G125" s="30">
        <v>0.28850979729290466</v>
      </c>
      <c r="H125" s="30">
        <v>0.68242245199409179</v>
      </c>
      <c r="I125">
        <v>2</v>
      </c>
      <c r="K125" s="31">
        <f t="shared" si="6"/>
        <v>0</v>
      </c>
      <c r="L125" s="31">
        <f t="shared" si="7"/>
        <v>1</v>
      </c>
      <c r="M125" s="31">
        <f t="shared" si="8"/>
        <v>0</v>
      </c>
    </row>
    <row r="126" spans="1:13" x14ac:dyDescent="0.2">
      <c r="A126">
        <v>125</v>
      </c>
      <c r="B126" s="30">
        <v>0.50991501416430596</v>
      </c>
      <c r="C126" s="30">
        <v>0.5123966942148761</v>
      </c>
      <c r="D126" s="30">
        <v>0.89201451905626106</v>
      </c>
      <c r="E126" s="30">
        <v>0.26126126126126153</v>
      </c>
      <c r="F126" s="30">
        <v>0.67854597291518148</v>
      </c>
      <c r="G126" s="30">
        <v>0.33427817290564177</v>
      </c>
      <c r="H126" s="30">
        <v>0.30773018217626791</v>
      </c>
      <c r="I126">
        <v>2</v>
      </c>
      <c r="K126" s="31">
        <f t="shared" si="6"/>
        <v>0</v>
      </c>
      <c r="L126" s="31">
        <f t="shared" si="7"/>
        <v>1</v>
      </c>
      <c r="M126" s="31">
        <f t="shared" si="8"/>
        <v>0</v>
      </c>
    </row>
    <row r="127" spans="1:13" x14ac:dyDescent="0.2">
      <c r="A127">
        <v>126</v>
      </c>
      <c r="B127" s="30">
        <v>0.77053824362606238</v>
      </c>
      <c r="C127" s="30">
        <v>0.77892561983471065</v>
      </c>
      <c r="D127" s="30">
        <v>0.83303085299455559</v>
      </c>
      <c r="E127" s="30">
        <v>0.68243243243243235</v>
      </c>
      <c r="F127" s="30">
        <v>0.8831076265146115</v>
      </c>
      <c r="G127" s="30">
        <v>0.4450584456955623</v>
      </c>
      <c r="H127" s="30">
        <v>0.72525849335302806</v>
      </c>
      <c r="I127">
        <v>2</v>
      </c>
      <c r="K127" s="31">
        <f t="shared" si="6"/>
        <v>0</v>
      </c>
      <c r="L127" s="31">
        <f t="shared" si="7"/>
        <v>1</v>
      </c>
      <c r="M127" s="31">
        <f t="shared" si="8"/>
        <v>0</v>
      </c>
    </row>
    <row r="128" spans="1:13" x14ac:dyDescent="0.2">
      <c r="A128">
        <v>127</v>
      </c>
      <c r="B128" s="30">
        <v>0.76109537299338992</v>
      </c>
      <c r="C128" s="30">
        <v>0.82644628099173556</v>
      </c>
      <c r="D128" s="30">
        <v>0.55989110707803991</v>
      </c>
      <c r="E128" s="30">
        <v>0.78040540540540559</v>
      </c>
      <c r="F128" s="30">
        <v>0.68709907341411236</v>
      </c>
      <c r="G128" s="30">
        <v>0.47145327594949882</v>
      </c>
      <c r="H128" s="30">
        <v>0.77941900541605147</v>
      </c>
      <c r="I128">
        <v>2</v>
      </c>
      <c r="K128" s="31">
        <f t="shared" si="6"/>
        <v>0</v>
      </c>
      <c r="L128" s="31">
        <f t="shared" si="7"/>
        <v>1</v>
      </c>
      <c r="M128" s="31">
        <f t="shared" si="8"/>
        <v>0</v>
      </c>
    </row>
    <row r="129" spans="1:13" x14ac:dyDescent="0.2">
      <c r="A129">
        <v>128</v>
      </c>
      <c r="B129" s="30">
        <v>0.69782813975448543</v>
      </c>
      <c r="C129" s="30">
        <v>0.71074380165289253</v>
      </c>
      <c r="D129" s="30">
        <v>0.82758620689655149</v>
      </c>
      <c r="E129" s="30">
        <v>0.60810810810810823</v>
      </c>
      <c r="F129" s="30">
        <v>0.75338560228082652</v>
      </c>
      <c r="G129" s="30">
        <v>0.19398249879727994</v>
      </c>
      <c r="H129" s="30">
        <v>0.68931560807483983</v>
      </c>
      <c r="I129">
        <v>2</v>
      </c>
      <c r="K129" s="31">
        <f t="shared" si="6"/>
        <v>0</v>
      </c>
      <c r="L129" s="31">
        <f t="shared" si="7"/>
        <v>1</v>
      </c>
      <c r="M129" s="31">
        <f t="shared" si="8"/>
        <v>0</v>
      </c>
    </row>
    <row r="130" spans="1:13" x14ac:dyDescent="0.2">
      <c r="A130">
        <v>129</v>
      </c>
      <c r="B130" s="30">
        <v>0.90368271954674229</v>
      </c>
      <c r="C130" s="30">
        <v>0.95454545454545481</v>
      </c>
      <c r="D130" s="30">
        <v>0.59346642468239597</v>
      </c>
      <c r="E130" s="30">
        <v>0.90878378378378377</v>
      </c>
      <c r="F130" s="30">
        <v>0.8146828225231646</v>
      </c>
      <c r="G130" s="30">
        <v>0.14886424215631461</v>
      </c>
      <c r="H130" s="30">
        <v>0.8202855736090594</v>
      </c>
      <c r="I130">
        <v>2</v>
      </c>
      <c r="K130" s="31">
        <f t="shared" si="6"/>
        <v>0</v>
      </c>
      <c r="L130" s="31">
        <f t="shared" si="7"/>
        <v>1</v>
      </c>
      <c r="M130" s="31">
        <f t="shared" si="8"/>
        <v>0</v>
      </c>
    </row>
    <row r="131" spans="1:13" x14ac:dyDescent="0.2">
      <c r="A131">
        <v>130</v>
      </c>
      <c r="B131" s="30">
        <v>0.65722379603399439</v>
      </c>
      <c r="C131" s="30">
        <v>0.67148760330578516</v>
      </c>
      <c r="D131" s="30">
        <v>0.82577132486388383</v>
      </c>
      <c r="E131" s="30">
        <v>0.50225225225225245</v>
      </c>
      <c r="F131" s="30">
        <v>0.75552387740555926</v>
      </c>
      <c r="G131" s="30">
        <v>0.5982264754450064</v>
      </c>
      <c r="H131" s="30">
        <v>0.56228458887247645</v>
      </c>
      <c r="I131">
        <v>2</v>
      </c>
      <c r="K131" s="31">
        <f t="shared" si="6"/>
        <v>0</v>
      </c>
      <c r="L131" s="31">
        <f t="shared" si="7"/>
        <v>1</v>
      </c>
      <c r="M131" s="31">
        <f t="shared" si="8"/>
        <v>0</v>
      </c>
    </row>
    <row r="132" spans="1:13" x14ac:dyDescent="0.2">
      <c r="A132">
        <v>131</v>
      </c>
      <c r="B132" s="30">
        <v>0.72804532577903691</v>
      </c>
      <c r="C132" s="30">
        <v>0.71900826446281008</v>
      </c>
      <c r="D132" s="30">
        <v>0.93194192377495499</v>
      </c>
      <c r="E132" s="30">
        <v>0.60810810810810823</v>
      </c>
      <c r="F132" s="30">
        <v>0.80185317177476811</v>
      </c>
      <c r="G132" s="30">
        <v>0.26939629952281274</v>
      </c>
      <c r="H132" s="30">
        <v>0.71048744460856716</v>
      </c>
      <c r="I132">
        <v>2</v>
      </c>
      <c r="K132" s="31">
        <f t="shared" si="6"/>
        <v>0</v>
      </c>
      <c r="L132" s="31">
        <f t="shared" si="7"/>
        <v>1</v>
      </c>
      <c r="M132" s="31">
        <f t="shared" si="8"/>
        <v>0</v>
      </c>
    </row>
    <row r="133" spans="1:13" x14ac:dyDescent="0.2">
      <c r="A133">
        <v>132</v>
      </c>
      <c r="B133" s="30">
        <v>0.78847969782813987</v>
      </c>
      <c r="C133" s="30">
        <v>0.80785123966942152</v>
      </c>
      <c r="D133" s="30">
        <v>0.78130671506352067</v>
      </c>
      <c r="E133" s="30">
        <v>0.7010135135135136</v>
      </c>
      <c r="F133" s="30">
        <v>0.85174625801853165</v>
      </c>
      <c r="G133" s="30">
        <v>0.27862798892197277</v>
      </c>
      <c r="H133" s="30">
        <v>0.70408665681930083</v>
      </c>
      <c r="I133">
        <v>2</v>
      </c>
      <c r="K133" s="31">
        <f t="shared" si="6"/>
        <v>0</v>
      </c>
      <c r="L133" s="31">
        <f t="shared" si="7"/>
        <v>1</v>
      </c>
      <c r="M133" s="31">
        <f t="shared" si="8"/>
        <v>0</v>
      </c>
    </row>
    <row r="134" spans="1:13" x14ac:dyDescent="0.2">
      <c r="A134">
        <v>133</v>
      </c>
      <c r="B134" s="30">
        <v>0.4523135033050048</v>
      </c>
      <c r="C134" s="30">
        <v>0.51446280991735538</v>
      </c>
      <c r="D134" s="30">
        <v>0.56715063520871156</v>
      </c>
      <c r="E134" s="30">
        <v>0.55461711711711736</v>
      </c>
      <c r="F134" s="30">
        <v>0.4547398431931573</v>
      </c>
      <c r="G134" s="30">
        <v>0.48068496534865884</v>
      </c>
      <c r="H134" s="30">
        <v>0.62826193993106838</v>
      </c>
      <c r="I134">
        <v>2</v>
      </c>
      <c r="K134" s="31">
        <f t="shared" si="6"/>
        <v>0</v>
      </c>
      <c r="L134" s="31">
        <f t="shared" si="7"/>
        <v>1</v>
      </c>
      <c r="M134" s="31">
        <f t="shared" si="8"/>
        <v>0</v>
      </c>
    </row>
    <row r="135" spans="1:13" x14ac:dyDescent="0.2">
      <c r="A135">
        <v>134</v>
      </c>
      <c r="B135" s="30">
        <v>0.52596789423984891</v>
      </c>
      <c r="C135" s="30">
        <v>0.60330578512396693</v>
      </c>
      <c r="D135" s="30">
        <v>0.51088929219600654</v>
      </c>
      <c r="E135" s="30">
        <v>0.5326576576576576</v>
      </c>
      <c r="F135" s="30">
        <v>0.54526015680684237</v>
      </c>
      <c r="G135" s="30">
        <v>0.45520030165520298</v>
      </c>
      <c r="H135" s="30">
        <v>0.62826193993106838</v>
      </c>
      <c r="I135">
        <v>2</v>
      </c>
      <c r="K135" s="31">
        <f t="shared" si="6"/>
        <v>0</v>
      </c>
      <c r="L135" s="31">
        <f t="shared" si="7"/>
        <v>1</v>
      </c>
      <c r="M135" s="31">
        <f t="shared" si="8"/>
        <v>0</v>
      </c>
    </row>
    <row r="136" spans="1:13" x14ac:dyDescent="0.2">
      <c r="A136">
        <v>135</v>
      </c>
      <c r="B136" s="30">
        <v>0.46931067044381497</v>
      </c>
      <c r="C136" s="30">
        <v>0.5123966942148761</v>
      </c>
      <c r="D136" s="30">
        <v>0.67332123411978184</v>
      </c>
      <c r="E136" s="30">
        <v>0.49380630630630623</v>
      </c>
      <c r="F136" s="30">
        <v>0.55452601568068405</v>
      </c>
      <c r="G136" s="30">
        <v>0.54699710046938599</v>
      </c>
      <c r="H136" s="30">
        <v>0.65386509108813418</v>
      </c>
      <c r="I136">
        <v>2</v>
      </c>
      <c r="K136" s="31">
        <f t="shared" si="6"/>
        <v>0</v>
      </c>
      <c r="L136" s="31">
        <f t="shared" si="7"/>
        <v>1</v>
      </c>
      <c r="M136" s="31">
        <f t="shared" si="8"/>
        <v>0</v>
      </c>
    </row>
    <row r="137" spans="1:13" x14ac:dyDescent="0.2">
      <c r="A137">
        <v>136</v>
      </c>
      <c r="B137" s="30">
        <v>0.4523135033050048</v>
      </c>
      <c r="C137" s="30">
        <v>0.46487603305785125</v>
      </c>
      <c r="D137" s="30">
        <v>0.82486388384755005</v>
      </c>
      <c r="E137" s="30">
        <v>0.32545045045045062</v>
      </c>
      <c r="F137" s="30">
        <v>0.59515324305060557</v>
      </c>
      <c r="G137" s="30">
        <v>0.36860445461519464</v>
      </c>
      <c r="H137" s="30">
        <v>0.4529788281634663</v>
      </c>
      <c r="I137">
        <v>2</v>
      </c>
      <c r="K137" s="31">
        <f t="shared" si="6"/>
        <v>0</v>
      </c>
      <c r="L137" s="31">
        <f t="shared" si="7"/>
        <v>1</v>
      </c>
      <c r="M137" s="31">
        <f t="shared" si="8"/>
        <v>0</v>
      </c>
    </row>
    <row r="138" spans="1:13" x14ac:dyDescent="0.2">
      <c r="A138">
        <v>137</v>
      </c>
      <c r="B138" s="30">
        <v>0.6392823418319169</v>
      </c>
      <c r="C138" s="30">
        <v>0.69214876033057848</v>
      </c>
      <c r="D138" s="30">
        <v>0.6388384754990919</v>
      </c>
      <c r="E138" s="30">
        <v>0.70157657657657635</v>
      </c>
      <c r="F138" s="30">
        <v>0.67284390591589427</v>
      </c>
      <c r="G138" s="30">
        <v>0.35898269383297143</v>
      </c>
      <c r="H138" s="30">
        <v>0.71491875923190551</v>
      </c>
      <c r="I138">
        <v>2</v>
      </c>
      <c r="K138" s="31">
        <f t="shared" si="6"/>
        <v>0</v>
      </c>
      <c r="L138" s="31">
        <f t="shared" si="7"/>
        <v>1</v>
      </c>
      <c r="M138" s="31">
        <f t="shared" si="8"/>
        <v>0</v>
      </c>
    </row>
    <row r="139" spans="1:13" x14ac:dyDescent="0.2">
      <c r="A139">
        <v>138</v>
      </c>
      <c r="B139" s="30">
        <v>0.47025495750708218</v>
      </c>
      <c r="C139" s="30">
        <v>0.56611570247933896</v>
      </c>
      <c r="D139" s="30">
        <v>0.40471869328493637</v>
      </c>
      <c r="E139" s="30">
        <v>0.57488738738738743</v>
      </c>
      <c r="F139" s="30">
        <v>0.42836778332145387</v>
      </c>
      <c r="G139" s="30">
        <v>0.24378161203500245</v>
      </c>
      <c r="H139" s="30">
        <v>0.66962087641555867</v>
      </c>
      <c r="I139">
        <v>2</v>
      </c>
      <c r="K139" s="31">
        <f t="shared" si="6"/>
        <v>0</v>
      </c>
      <c r="L139" s="31">
        <f t="shared" si="7"/>
        <v>1</v>
      </c>
      <c r="M139" s="31">
        <f t="shared" si="8"/>
        <v>0</v>
      </c>
    </row>
    <row r="140" spans="1:13" x14ac:dyDescent="0.2">
      <c r="A140">
        <v>139</v>
      </c>
      <c r="B140" s="30">
        <v>0.47308781869688382</v>
      </c>
      <c r="C140" s="30">
        <v>0.55785123966942141</v>
      </c>
      <c r="D140" s="30">
        <v>0.45281306715063485</v>
      </c>
      <c r="E140" s="30">
        <v>0.52533783783783783</v>
      </c>
      <c r="F140" s="30">
        <v>0.46756949394155378</v>
      </c>
      <c r="G140" s="30">
        <v>0.25483363455512364</v>
      </c>
      <c r="H140" s="30">
        <v>0.60709010339734115</v>
      </c>
      <c r="I140">
        <v>2</v>
      </c>
      <c r="K140" s="31">
        <f t="shared" si="6"/>
        <v>0</v>
      </c>
      <c r="L140" s="31">
        <f t="shared" si="7"/>
        <v>1</v>
      </c>
      <c r="M140" s="31">
        <f t="shared" si="8"/>
        <v>0</v>
      </c>
    </row>
    <row r="141" spans="1:13" x14ac:dyDescent="0.2">
      <c r="A141">
        <v>140</v>
      </c>
      <c r="B141" s="30">
        <v>0.53257790368271962</v>
      </c>
      <c r="C141" s="30">
        <v>0.57231404958677679</v>
      </c>
      <c r="D141" s="30">
        <v>0.69782214156079847</v>
      </c>
      <c r="E141" s="30">
        <v>0.54786036036036034</v>
      </c>
      <c r="F141" s="30">
        <v>0.60014255167498198</v>
      </c>
      <c r="G141" s="30">
        <v>0.39057847586108263</v>
      </c>
      <c r="H141" s="30">
        <v>0.69079271294928601</v>
      </c>
      <c r="I141">
        <v>2</v>
      </c>
      <c r="K141" s="31">
        <f t="shared" ref="K141:K149" si="9">IF(AND(I141=INT(RIGHT($K$1,1)),INT(RIGHT($K$1,1))=INT(RIGHT($K$1,1))),1,0)</f>
        <v>0</v>
      </c>
      <c r="L141" s="31">
        <f t="shared" ref="L141:L149" si="10">IF(AND(I141=INT(RIGHT($L$1,1)),INT(RIGHT($L$1,1))=INT(RIGHT($L$1,1))),1,0)</f>
        <v>1</v>
      </c>
      <c r="M141" s="31">
        <f t="shared" ref="M141:M149" si="11">IF(AND(I141=INT(RIGHT($M$1,1)),INT(RIGHT($M$1,1))=INT(RIGHT($M$1,1))),1,0)</f>
        <v>0</v>
      </c>
    </row>
    <row r="142" spans="1:13" x14ac:dyDescent="0.2">
      <c r="A142">
        <v>141</v>
      </c>
      <c r="B142" s="30">
        <v>0.23418319169027388</v>
      </c>
      <c r="C142" s="30">
        <v>0.31198347107438013</v>
      </c>
      <c r="D142" s="30">
        <v>0.36206896551724094</v>
      </c>
      <c r="E142" s="30">
        <v>0.32263513513513542</v>
      </c>
      <c r="F142" s="30">
        <v>0.25944404846756963</v>
      </c>
      <c r="G142" s="30">
        <v>0.5901650001950357</v>
      </c>
      <c r="H142" s="30">
        <v>0.43131462333825682</v>
      </c>
      <c r="I142">
        <v>3</v>
      </c>
      <c r="K142" s="31">
        <f t="shared" si="9"/>
        <v>0</v>
      </c>
      <c r="L142" s="31">
        <f t="shared" si="10"/>
        <v>0</v>
      </c>
      <c r="M142" s="31">
        <f t="shared" si="11"/>
        <v>1</v>
      </c>
    </row>
    <row r="143" spans="1:13" x14ac:dyDescent="0.2">
      <c r="A143">
        <v>142</v>
      </c>
      <c r="B143" s="30">
        <v>0.25779036827195473</v>
      </c>
      <c r="C143" s="30">
        <v>0.31611570247933873</v>
      </c>
      <c r="D143" s="30">
        <v>0.48275862068965453</v>
      </c>
      <c r="E143" s="30">
        <v>0.36148648648648674</v>
      </c>
      <c r="F143" s="30">
        <v>0.31575196008553097</v>
      </c>
      <c r="G143" s="30">
        <v>0.81523618822244481</v>
      </c>
      <c r="H143" s="30">
        <v>0.45347119645494849</v>
      </c>
      <c r="I143">
        <v>3</v>
      </c>
      <c r="K143" s="31">
        <f t="shared" si="9"/>
        <v>0</v>
      </c>
      <c r="L143" s="31">
        <f t="shared" si="10"/>
        <v>0</v>
      </c>
      <c r="M143" s="31">
        <f t="shared" si="11"/>
        <v>1</v>
      </c>
    </row>
    <row r="144" spans="1:13" x14ac:dyDescent="0.2">
      <c r="A144">
        <v>143</v>
      </c>
      <c r="B144" s="30">
        <v>0.25967894239848915</v>
      </c>
      <c r="C144" s="30">
        <v>0.31818181818181801</v>
      </c>
      <c r="D144" s="30">
        <v>0.48911070780399241</v>
      </c>
      <c r="E144" s="30">
        <v>0.27590090090090102</v>
      </c>
      <c r="F144" s="30">
        <v>0.31646471846044177</v>
      </c>
      <c r="G144" s="30">
        <v>0.68001144209390318</v>
      </c>
      <c r="H144" s="30">
        <v>0.3879862136878387</v>
      </c>
      <c r="I144">
        <v>3</v>
      </c>
      <c r="K144" s="31">
        <f t="shared" si="9"/>
        <v>0</v>
      </c>
      <c r="L144" s="31">
        <f t="shared" si="10"/>
        <v>0</v>
      </c>
      <c r="M144" s="31">
        <f t="shared" si="11"/>
        <v>1</v>
      </c>
    </row>
    <row r="145" spans="1:13" x14ac:dyDescent="0.2">
      <c r="A145">
        <v>144</v>
      </c>
      <c r="B145" s="30">
        <v>0.15391879131255909</v>
      </c>
      <c r="C145" s="30">
        <v>0.18801652892561987</v>
      </c>
      <c r="D145" s="30">
        <v>0.51814882032667831</v>
      </c>
      <c r="E145" s="30">
        <v>0.18299549549549562</v>
      </c>
      <c r="F145" s="30">
        <v>0.2401995723449751</v>
      </c>
      <c r="G145" s="30">
        <v>0.61161892626350634</v>
      </c>
      <c r="H145" s="30">
        <v>0.34564254062038408</v>
      </c>
      <c r="I145">
        <v>3</v>
      </c>
      <c r="K145" s="31">
        <f t="shared" si="9"/>
        <v>0</v>
      </c>
      <c r="L145" s="31">
        <f t="shared" si="10"/>
        <v>0</v>
      </c>
      <c r="M145" s="31">
        <f t="shared" si="11"/>
        <v>1</v>
      </c>
    </row>
    <row r="146" spans="1:13" x14ac:dyDescent="0.2">
      <c r="A146">
        <v>145</v>
      </c>
      <c r="B146" s="30">
        <v>0.11614730878186973</v>
      </c>
      <c r="C146" s="30">
        <v>0.20454545454545459</v>
      </c>
      <c r="D146" s="30">
        <v>0.17513611615245001</v>
      </c>
      <c r="E146" s="30">
        <v>0.23367117117117123</v>
      </c>
      <c r="F146" s="30">
        <v>0.1047754811119032</v>
      </c>
      <c r="G146" s="30">
        <v>0.48185517949784817</v>
      </c>
      <c r="H146" s="30">
        <v>0.32447070408665679</v>
      </c>
      <c r="I146">
        <v>3</v>
      </c>
      <c r="K146" s="31">
        <f t="shared" si="9"/>
        <v>0</v>
      </c>
      <c r="L146" s="31">
        <f t="shared" si="10"/>
        <v>0</v>
      </c>
      <c r="M146" s="31">
        <f t="shared" si="11"/>
        <v>1</v>
      </c>
    </row>
    <row r="147" spans="1:13" x14ac:dyDescent="0.2">
      <c r="A147">
        <v>146</v>
      </c>
      <c r="B147" s="30">
        <v>5.8545797922568553E-2</v>
      </c>
      <c r="C147" s="30">
        <v>0.14876033057851254</v>
      </c>
      <c r="D147" s="30">
        <v>7.8039927404718185E-2</v>
      </c>
      <c r="E147" s="30">
        <v>0.21396396396396392</v>
      </c>
      <c r="F147" s="30">
        <v>4.062722736992154E-2</v>
      </c>
      <c r="G147" s="30">
        <v>0.70263558231156298</v>
      </c>
      <c r="H147" s="30">
        <v>0.37223042836041376</v>
      </c>
      <c r="I147">
        <v>3</v>
      </c>
      <c r="K147" s="31">
        <f t="shared" si="9"/>
        <v>0</v>
      </c>
      <c r="L147" s="31">
        <f t="shared" si="10"/>
        <v>0</v>
      </c>
      <c r="M147" s="31">
        <f t="shared" si="11"/>
        <v>1</v>
      </c>
    </row>
    <row r="148" spans="1:13" x14ac:dyDescent="0.2">
      <c r="A148">
        <v>147</v>
      </c>
      <c r="B148" s="30">
        <v>7.9320113314447577E-2</v>
      </c>
      <c r="C148" s="30">
        <v>0.14876033057851254</v>
      </c>
      <c r="D148" s="30">
        <v>0.2304900181488202</v>
      </c>
      <c r="E148" s="30">
        <v>0.15596846846846857</v>
      </c>
      <c r="F148" s="30">
        <v>6.3435495367070521E-2</v>
      </c>
      <c r="G148" s="30">
        <v>0.18930164220052273</v>
      </c>
      <c r="H148" s="30">
        <v>0.30182176267848332</v>
      </c>
      <c r="I148">
        <v>3</v>
      </c>
      <c r="K148" s="31">
        <f t="shared" si="9"/>
        <v>0</v>
      </c>
      <c r="L148" s="31">
        <f t="shared" si="10"/>
        <v>0</v>
      </c>
      <c r="M148" s="31">
        <f t="shared" si="11"/>
        <v>1</v>
      </c>
    </row>
    <row r="149" spans="1:13" x14ac:dyDescent="0.2">
      <c r="A149">
        <v>148</v>
      </c>
      <c r="B149" s="30">
        <v>0.17941454202077436</v>
      </c>
      <c r="C149" s="30">
        <v>0.21694214876033074</v>
      </c>
      <c r="D149" s="30">
        <v>0.5235934664246823</v>
      </c>
      <c r="E149" s="30">
        <v>0.20720720720720742</v>
      </c>
      <c r="F149" s="30">
        <v>0.2401995723449751</v>
      </c>
      <c r="G149" s="30">
        <v>0.47535398978012988</v>
      </c>
      <c r="H149" s="30">
        <v>0.23781388478581966</v>
      </c>
      <c r="I149">
        <v>3</v>
      </c>
      <c r="K149" s="31">
        <f t="shared" si="9"/>
        <v>0</v>
      </c>
      <c r="L149" s="31">
        <f t="shared" si="10"/>
        <v>0</v>
      </c>
      <c r="M149" s="31">
        <f t="shared" si="11"/>
        <v>1</v>
      </c>
    </row>
    <row r="150" spans="1:13" x14ac:dyDescent="0.2">
      <c r="A150">
        <v>149</v>
      </c>
      <c r="B150" s="30">
        <v>0.19924457034938617</v>
      </c>
      <c r="C150" s="30">
        <v>0.26859504132231421</v>
      </c>
      <c r="D150" s="30">
        <v>0.37205081669691414</v>
      </c>
      <c r="E150" s="30">
        <v>0.27421171171171183</v>
      </c>
      <c r="F150" s="30">
        <v>0.20028510334996438</v>
      </c>
      <c r="G150" s="30">
        <v>0.32439636453470988</v>
      </c>
      <c r="H150" s="30">
        <v>0.39241752831117666</v>
      </c>
      <c r="I150">
        <v>3</v>
      </c>
      <c r="K150" s="31">
        <f t="shared" ref="K150:K211" si="12">IF(AND(I150=INT(RIGHT($K$1,1)),INT(RIGHT($K$1,1))=INT(RIGHT($K$1,1))),1,0)</f>
        <v>0</v>
      </c>
      <c r="L150" s="31">
        <f t="shared" ref="L150:L211" si="13">IF(AND(I150=INT(RIGHT($L$1,1)),INT(RIGHT($L$1,1))=INT(RIGHT($L$1,1))),1,0)</f>
        <v>0</v>
      </c>
      <c r="M150" s="31">
        <f t="shared" ref="M150:M211" si="14">IF(AND(I150=INT(RIGHT($M$1,1)),INT(RIGHT($M$1,1))=INT(RIGHT($M$1,1))),1,0)</f>
        <v>1</v>
      </c>
    </row>
    <row r="151" spans="1:13" x14ac:dyDescent="0.2">
      <c r="A151">
        <v>150</v>
      </c>
      <c r="B151" s="30">
        <v>1.8885741265344598E-2</v>
      </c>
      <c r="C151" s="30">
        <v>0.10743801652892554</v>
      </c>
      <c r="D151" s="30">
        <v>2.3593466424681821E-2</v>
      </c>
      <c r="E151" s="30">
        <v>0.23536036036036048</v>
      </c>
      <c r="F151" s="30">
        <v>1.2829650748396459E-2</v>
      </c>
      <c r="G151" s="30">
        <v>0.61070875970302563</v>
      </c>
      <c r="H151" s="30">
        <v>0.33234859675036926</v>
      </c>
      <c r="I151">
        <v>3</v>
      </c>
      <c r="K151" s="31">
        <f t="shared" si="12"/>
        <v>0</v>
      </c>
      <c r="L151" s="31">
        <f t="shared" si="13"/>
        <v>0</v>
      </c>
      <c r="M151" s="31">
        <f t="shared" si="14"/>
        <v>1</v>
      </c>
    </row>
    <row r="152" spans="1:13" x14ac:dyDescent="0.2">
      <c r="A152">
        <v>151</v>
      </c>
      <c r="B152" s="30">
        <v>0.11709159584513694</v>
      </c>
      <c r="C152" s="30">
        <v>0.16942148760330586</v>
      </c>
      <c r="D152" s="30">
        <v>0.37658802177858436</v>
      </c>
      <c r="E152" s="30">
        <v>0.20495495495495492</v>
      </c>
      <c r="F152" s="30">
        <v>0.14967925873129001</v>
      </c>
      <c r="G152" s="30">
        <v>0.57599240661040974</v>
      </c>
      <c r="H152" s="30">
        <v>0.3879862136878387</v>
      </c>
      <c r="I152">
        <v>3</v>
      </c>
      <c r="K152" s="31">
        <f t="shared" si="12"/>
        <v>0</v>
      </c>
      <c r="L152" s="31">
        <f t="shared" si="13"/>
        <v>0</v>
      </c>
      <c r="M152" s="31">
        <f t="shared" si="14"/>
        <v>1</v>
      </c>
    </row>
    <row r="153" spans="1:13" x14ac:dyDescent="0.2">
      <c r="A153">
        <v>152</v>
      </c>
      <c r="B153" s="30">
        <v>0.13408876298394712</v>
      </c>
      <c r="C153" s="30">
        <v>0.22933884297520651</v>
      </c>
      <c r="D153" s="30">
        <v>0.15245009074410101</v>
      </c>
      <c r="E153" s="30">
        <v>0.28490990990991005</v>
      </c>
      <c r="F153" s="30">
        <v>0.10406272273699206</v>
      </c>
      <c r="G153" s="30">
        <v>0.80964516506520701</v>
      </c>
      <c r="H153" s="30">
        <v>0.36976858690300324</v>
      </c>
      <c r="I153">
        <v>3</v>
      </c>
      <c r="K153" s="31">
        <f t="shared" si="12"/>
        <v>0</v>
      </c>
      <c r="L153" s="31">
        <f t="shared" si="13"/>
        <v>0</v>
      </c>
      <c r="M153" s="31">
        <f t="shared" si="14"/>
        <v>1</v>
      </c>
    </row>
    <row r="154" spans="1:13" x14ac:dyDescent="0.2">
      <c r="A154">
        <v>153</v>
      </c>
      <c r="B154" s="30">
        <v>0.15769593956562794</v>
      </c>
      <c r="C154" s="30">
        <v>0.24586776859504123</v>
      </c>
      <c r="D154" s="30">
        <v>0.22867513611615253</v>
      </c>
      <c r="E154" s="30">
        <v>0.28659909909909931</v>
      </c>
      <c r="F154" s="30">
        <v>0.14468995010691391</v>
      </c>
      <c r="G154" s="30">
        <v>0.51891196088884273</v>
      </c>
      <c r="H154" s="30">
        <v>0.41408173313638619</v>
      </c>
      <c r="I154">
        <v>3</v>
      </c>
      <c r="K154" s="31">
        <f t="shared" si="12"/>
        <v>0</v>
      </c>
      <c r="L154" s="31">
        <f t="shared" si="13"/>
        <v>0</v>
      </c>
      <c r="M154" s="31">
        <f t="shared" si="14"/>
        <v>1</v>
      </c>
    </row>
    <row r="155" spans="1:13" x14ac:dyDescent="0.2">
      <c r="A155">
        <v>154</v>
      </c>
      <c r="B155" s="30">
        <v>5.5712936732766748E-2</v>
      </c>
      <c r="C155" s="30">
        <v>0.13016528925619814</v>
      </c>
      <c r="D155" s="30">
        <v>0.16787658802177829</v>
      </c>
      <c r="E155" s="30">
        <v>0.18074324324324312</v>
      </c>
      <c r="F155" s="30">
        <v>4.4903777619387131E-2</v>
      </c>
      <c r="G155" s="30">
        <v>0.3337580777282243</v>
      </c>
      <c r="H155" s="30">
        <v>0.23732151649433791</v>
      </c>
      <c r="I155">
        <v>3</v>
      </c>
      <c r="K155" s="31">
        <f t="shared" si="12"/>
        <v>0</v>
      </c>
      <c r="L155" s="31">
        <f t="shared" si="13"/>
        <v>0</v>
      </c>
      <c r="M155" s="31">
        <f t="shared" si="14"/>
        <v>1</v>
      </c>
    </row>
    <row r="156" spans="1:13" x14ac:dyDescent="0.2">
      <c r="A156">
        <v>155</v>
      </c>
      <c r="B156" s="30">
        <v>7.271010387157692E-2</v>
      </c>
      <c r="C156" s="30">
        <v>0.1322314049586778</v>
      </c>
      <c r="D156" s="30">
        <v>0.27313974591651463</v>
      </c>
      <c r="E156" s="30">
        <v>0.15540540540540532</v>
      </c>
      <c r="F156" s="30">
        <v>8.9094796863863124E-2</v>
      </c>
      <c r="G156" s="30">
        <v>0.42685511448595098</v>
      </c>
      <c r="H156" s="30">
        <v>0.36632200886262917</v>
      </c>
      <c r="I156">
        <v>3</v>
      </c>
      <c r="K156" s="31">
        <f t="shared" si="12"/>
        <v>0</v>
      </c>
      <c r="L156" s="31">
        <f t="shared" si="13"/>
        <v>0</v>
      </c>
      <c r="M156" s="31">
        <f t="shared" si="14"/>
        <v>1</v>
      </c>
    </row>
    <row r="157" spans="1:13" x14ac:dyDescent="0.2">
      <c r="A157">
        <v>156</v>
      </c>
      <c r="B157" s="30">
        <v>5.6657223796033961E-2</v>
      </c>
      <c r="C157" s="30">
        <v>0.1322314049586778</v>
      </c>
      <c r="D157" s="30">
        <v>0.15607985480943737</v>
      </c>
      <c r="E157" s="30">
        <v>0.19763513513513514</v>
      </c>
      <c r="F157" s="30">
        <v>3.207412687099067E-2</v>
      </c>
      <c r="G157" s="30">
        <v>0.65634711152140846</v>
      </c>
      <c r="H157" s="30">
        <v>0.34465780403742013</v>
      </c>
      <c r="I157">
        <v>3</v>
      </c>
      <c r="K157" s="31">
        <f t="shared" si="12"/>
        <v>0</v>
      </c>
      <c r="L157" s="31">
        <f t="shared" si="13"/>
        <v>0</v>
      </c>
      <c r="M157" s="31">
        <f t="shared" si="14"/>
        <v>1</v>
      </c>
    </row>
    <row r="158" spans="1:13" x14ac:dyDescent="0.2">
      <c r="A158">
        <v>157</v>
      </c>
      <c r="B158" s="30">
        <v>7.0821529745042494E-2</v>
      </c>
      <c r="C158" s="30">
        <v>9.5041322314049395E-2</v>
      </c>
      <c r="D158" s="30">
        <v>0.46733212341197827</v>
      </c>
      <c r="E158" s="30">
        <v>8.6711711711711673E-2</v>
      </c>
      <c r="F158" s="30">
        <v>0.15609408410548842</v>
      </c>
      <c r="G158" s="30">
        <v>0.33570843464353983</v>
      </c>
      <c r="H158" s="30">
        <v>0.23830625307730186</v>
      </c>
      <c r="I158">
        <v>3</v>
      </c>
      <c r="K158" s="31">
        <f t="shared" si="12"/>
        <v>0</v>
      </c>
      <c r="L158" s="31">
        <f t="shared" si="13"/>
        <v>0</v>
      </c>
      <c r="M158" s="31">
        <f t="shared" si="14"/>
        <v>1</v>
      </c>
    </row>
    <row r="159" spans="1:13" x14ac:dyDescent="0.2">
      <c r="A159">
        <v>158</v>
      </c>
      <c r="B159" s="30">
        <v>0.14542020774315401</v>
      </c>
      <c r="C159" s="30">
        <v>0.27272727272727282</v>
      </c>
      <c r="D159" s="30">
        <v>0</v>
      </c>
      <c r="E159" s="30">
        <v>0.27871621621621628</v>
      </c>
      <c r="F159" s="30">
        <v>8.1967213114754217E-2</v>
      </c>
      <c r="G159" s="30">
        <v>0.52788360269929402</v>
      </c>
      <c r="H159" s="30">
        <v>0.34515017232890188</v>
      </c>
      <c r="I159">
        <v>3</v>
      </c>
      <c r="K159" s="31">
        <f t="shared" si="12"/>
        <v>0</v>
      </c>
      <c r="L159" s="31">
        <f t="shared" si="13"/>
        <v>0</v>
      </c>
      <c r="M159" s="31">
        <f t="shared" si="14"/>
        <v>1</v>
      </c>
    </row>
    <row r="160" spans="1:13" x14ac:dyDescent="0.2">
      <c r="A160">
        <v>159</v>
      </c>
      <c r="B160" s="30">
        <v>0.10953729933899907</v>
      </c>
      <c r="C160" s="30">
        <v>0.22933884297520651</v>
      </c>
      <c r="D160" s="30">
        <v>9.0744101633383862E-4</v>
      </c>
      <c r="E160" s="30">
        <v>0.30686936936936937</v>
      </c>
      <c r="F160" s="30">
        <v>3.4212401995723465E-2</v>
      </c>
      <c r="G160" s="30">
        <v>0.46976296662289208</v>
      </c>
      <c r="H160" s="30">
        <v>0.38946331856228439</v>
      </c>
      <c r="I160">
        <v>3</v>
      </c>
      <c r="K160" s="31">
        <f t="shared" si="12"/>
        <v>0</v>
      </c>
      <c r="L160" s="31">
        <f t="shared" si="13"/>
        <v>0</v>
      </c>
      <c r="M160" s="31">
        <f t="shared" si="14"/>
        <v>1</v>
      </c>
    </row>
    <row r="161" spans="1:13" x14ac:dyDescent="0.2">
      <c r="A161">
        <v>160</v>
      </c>
      <c r="B161" s="30">
        <v>8.4985835694051021E-2</v>
      </c>
      <c r="C161" s="30">
        <v>0.16735537190082656</v>
      </c>
      <c r="D161" s="30">
        <v>0.16515426497277677</v>
      </c>
      <c r="E161" s="30">
        <v>0.22804054054054071</v>
      </c>
      <c r="F161" s="30">
        <v>4.6329294369208782E-2</v>
      </c>
      <c r="G161" s="30">
        <v>0.60108699892080253</v>
      </c>
      <c r="H161" s="30">
        <v>0.38946331856228439</v>
      </c>
      <c r="I161">
        <v>3</v>
      </c>
      <c r="K161" s="31">
        <f t="shared" si="12"/>
        <v>0</v>
      </c>
      <c r="L161" s="31">
        <f t="shared" si="13"/>
        <v>0</v>
      </c>
      <c r="M161" s="31">
        <f t="shared" si="14"/>
        <v>1</v>
      </c>
    </row>
    <row r="162" spans="1:13" x14ac:dyDescent="0.2">
      <c r="A162">
        <v>161</v>
      </c>
      <c r="B162" s="30">
        <v>0.18413597733711043</v>
      </c>
      <c r="C162" s="30">
        <v>0.26033057851239666</v>
      </c>
      <c r="D162" s="30">
        <v>0.31215970961887474</v>
      </c>
      <c r="E162" s="30">
        <v>0.31081081081081063</v>
      </c>
      <c r="F162" s="30">
        <v>0.17747683535281542</v>
      </c>
      <c r="G162" s="30">
        <v>0.30125212913963256</v>
      </c>
      <c r="H162" s="30">
        <v>0.47858197932053159</v>
      </c>
      <c r="I162">
        <v>3</v>
      </c>
      <c r="K162" s="31">
        <f t="shared" si="12"/>
        <v>0</v>
      </c>
      <c r="L162" s="31">
        <f t="shared" si="13"/>
        <v>0</v>
      </c>
      <c r="M162" s="31">
        <f t="shared" si="14"/>
        <v>1</v>
      </c>
    </row>
    <row r="163" spans="1:13" x14ac:dyDescent="0.2">
      <c r="A163">
        <v>162</v>
      </c>
      <c r="B163" s="30">
        <v>0.13503305004721433</v>
      </c>
      <c r="C163" s="30">
        <v>0.19008264462809915</v>
      </c>
      <c r="D163" s="30">
        <v>0.38294010889292124</v>
      </c>
      <c r="E163" s="30">
        <v>0.25394144144144126</v>
      </c>
      <c r="F163" s="30">
        <v>0.12829650748396301</v>
      </c>
      <c r="G163" s="30">
        <v>0.45585042062697478</v>
      </c>
      <c r="H163" s="30">
        <v>0.38847858197932045</v>
      </c>
      <c r="I163">
        <v>3</v>
      </c>
      <c r="K163" s="31">
        <f t="shared" si="12"/>
        <v>0</v>
      </c>
      <c r="L163" s="31">
        <f t="shared" si="13"/>
        <v>0</v>
      </c>
      <c r="M163" s="31">
        <f t="shared" si="14"/>
        <v>1</v>
      </c>
    </row>
    <row r="164" spans="1:13" x14ac:dyDescent="0.2">
      <c r="A164">
        <v>163</v>
      </c>
      <c r="B164" s="30">
        <v>0.13786591123701614</v>
      </c>
      <c r="C164" s="30">
        <v>0.20661157024793389</v>
      </c>
      <c r="D164" s="30">
        <v>0.30399274047186919</v>
      </c>
      <c r="E164" s="30">
        <v>0.20720720720720742</v>
      </c>
      <c r="F164" s="30">
        <v>0.15466856735566645</v>
      </c>
      <c r="G164" s="30">
        <v>0.54907748117905586</v>
      </c>
      <c r="H164" s="30">
        <v>0.25947808961102914</v>
      </c>
      <c r="I164">
        <v>3</v>
      </c>
      <c r="K164" s="31">
        <f t="shared" si="12"/>
        <v>0</v>
      </c>
      <c r="L164" s="31">
        <f t="shared" si="13"/>
        <v>0</v>
      </c>
      <c r="M164" s="31">
        <f t="shared" si="14"/>
        <v>1</v>
      </c>
    </row>
    <row r="165" spans="1:13" x14ac:dyDescent="0.2">
      <c r="A165">
        <v>164</v>
      </c>
      <c r="B165" s="30">
        <v>0.18508026440037781</v>
      </c>
      <c r="C165" s="30">
        <v>0.23966942148760334</v>
      </c>
      <c r="D165" s="30">
        <v>0.43284936479128838</v>
      </c>
      <c r="E165" s="30">
        <v>0.24436936936936948</v>
      </c>
      <c r="F165" s="30">
        <v>0.24091233071988594</v>
      </c>
      <c r="G165" s="30">
        <v>0.47509394219142104</v>
      </c>
      <c r="H165" s="30">
        <v>0.32348596750369285</v>
      </c>
      <c r="I165">
        <v>3</v>
      </c>
      <c r="K165" s="31">
        <f t="shared" si="12"/>
        <v>0</v>
      </c>
      <c r="L165" s="31">
        <f t="shared" si="13"/>
        <v>0</v>
      </c>
      <c r="M165" s="31">
        <f t="shared" si="14"/>
        <v>1</v>
      </c>
    </row>
    <row r="166" spans="1:13" x14ac:dyDescent="0.2">
      <c r="A166">
        <v>165</v>
      </c>
      <c r="B166" s="30">
        <v>5.1935788479697896E-2</v>
      </c>
      <c r="C166" s="30">
        <v>7.851239669421467E-2</v>
      </c>
      <c r="D166" s="30">
        <v>0.43284936479128838</v>
      </c>
      <c r="E166" s="30">
        <v>6.3063063063063127E-2</v>
      </c>
      <c r="F166" s="30">
        <v>0.11689237348538851</v>
      </c>
      <c r="G166" s="30">
        <v>0.73111079327516937</v>
      </c>
      <c r="H166" s="30">
        <v>0.26095519448547527</v>
      </c>
      <c r="I166">
        <v>3</v>
      </c>
      <c r="K166" s="31">
        <f t="shared" si="12"/>
        <v>0</v>
      </c>
      <c r="L166" s="31">
        <f t="shared" si="13"/>
        <v>0</v>
      </c>
      <c r="M166" s="31">
        <f t="shared" si="14"/>
        <v>1</v>
      </c>
    </row>
    <row r="167" spans="1:13" x14ac:dyDescent="0.2">
      <c r="A167">
        <v>166</v>
      </c>
      <c r="B167" s="30">
        <v>0.1425873465533522</v>
      </c>
      <c r="C167" s="30">
        <v>0.15289256198347112</v>
      </c>
      <c r="D167" s="30">
        <v>0.64609800362976366</v>
      </c>
      <c r="E167" s="30">
        <v>0.11599099099099124</v>
      </c>
      <c r="F167" s="30">
        <v>0.22166785459729141</v>
      </c>
      <c r="G167" s="30">
        <v>0.18670116631343539</v>
      </c>
      <c r="H167" s="30">
        <v>0.26440177252584934</v>
      </c>
      <c r="I167">
        <v>3</v>
      </c>
      <c r="K167" s="31">
        <f t="shared" si="12"/>
        <v>0</v>
      </c>
      <c r="L167" s="31">
        <f t="shared" si="13"/>
        <v>0</v>
      </c>
      <c r="M167" s="31">
        <f t="shared" si="14"/>
        <v>1</v>
      </c>
    </row>
    <row r="168" spans="1:13" x14ac:dyDescent="0.2">
      <c r="A168">
        <v>167</v>
      </c>
      <c r="B168" s="30">
        <v>0.17469310670443811</v>
      </c>
      <c r="C168" s="30">
        <v>0.24380165289256192</v>
      </c>
      <c r="D168" s="30">
        <v>0.3457350272232298</v>
      </c>
      <c r="E168" s="30">
        <v>0.23648648648648649</v>
      </c>
      <c r="F168" s="30">
        <v>0.19030648610121156</v>
      </c>
      <c r="G168" s="30">
        <v>0.54075595834037637</v>
      </c>
      <c r="H168" s="30">
        <v>0.36976858690300324</v>
      </c>
      <c r="I168">
        <v>3</v>
      </c>
      <c r="K168" s="31">
        <f t="shared" si="12"/>
        <v>0</v>
      </c>
      <c r="L168" s="31">
        <f t="shared" si="13"/>
        <v>0</v>
      </c>
      <c r="M168" s="31">
        <f t="shared" si="14"/>
        <v>1</v>
      </c>
    </row>
    <row r="169" spans="1:13" x14ac:dyDescent="0.2">
      <c r="A169">
        <v>168</v>
      </c>
      <c r="B169" s="30">
        <v>0.14730878186968843</v>
      </c>
      <c r="C169" s="30">
        <v>0.21487603305785108</v>
      </c>
      <c r="D169" s="30">
        <v>0.32849364791288588</v>
      </c>
      <c r="E169" s="30">
        <v>0.29166666666666657</v>
      </c>
      <c r="F169" s="30">
        <v>0.14754098360655754</v>
      </c>
      <c r="G169" s="30">
        <v>0.37354535880066059</v>
      </c>
      <c r="H169" s="30">
        <v>0.40324963072378145</v>
      </c>
      <c r="I169">
        <v>3</v>
      </c>
      <c r="K169" s="31">
        <f t="shared" si="12"/>
        <v>0</v>
      </c>
      <c r="L169" s="31">
        <f t="shared" si="13"/>
        <v>0</v>
      </c>
      <c r="M169" s="31">
        <f t="shared" si="14"/>
        <v>1</v>
      </c>
    </row>
    <row r="170" spans="1:13" x14ac:dyDescent="0.2">
      <c r="A170">
        <v>169</v>
      </c>
      <c r="B170" s="30">
        <v>7.1765816808309707E-2</v>
      </c>
      <c r="C170" s="30">
        <v>0.14669421487603287</v>
      </c>
      <c r="D170" s="30">
        <v>0.19056261343012626</v>
      </c>
      <c r="E170" s="30">
        <v>0.15596846846846857</v>
      </c>
      <c r="F170" s="30">
        <v>2.7084818246614573E-2</v>
      </c>
      <c r="G170" s="30">
        <v>0.464431991054363</v>
      </c>
      <c r="H170" s="30">
        <v>0.30182176267848332</v>
      </c>
      <c r="I170">
        <v>3</v>
      </c>
      <c r="K170" s="31">
        <f t="shared" si="12"/>
        <v>0</v>
      </c>
      <c r="L170" s="31">
        <f t="shared" si="13"/>
        <v>0</v>
      </c>
      <c r="M170" s="31">
        <f t="shared" si="14"/>
        <v>1</v>
      </c>
    </row>
    <row r="171" spans="1:13" x14ac:dyDescent="0.2">
      <c r="A171">
        <v>170</v>
      </c>
      <c r="B171" s="30">
        <v>6.1378659112370192E-2</v>
      </c>
      <c r="C171" s="30">
        <v>0.12190082644628096</v>
      </c>
      <c r="D171" s="30">
        <v>0.25226860254083433</v>
      </c>
      <c r="E171" s="30">
        <v>0.10754504504504496</v>
      </c>
      <c r="F171" s="30">
        <v>6.0584461867426893E-2</v>
      </c>
      <c r="G171" s="30">
        <v>0.35833257486119963</v>
      </c>
      <c r="H171" s="30">
        <v>0.28015755785327429</v>
      </c>
      <c r="I171">
        <v>3</v>
      </c>
      <c r="K171" s="31">
        <f t="shared" si="12"/>
        <v>0</v>
      </c>
      <c r="L171" s="31">
        <f t="shared" si="13"/>
        <v>0</v>
      </c>
      <c r="M171" s="31">
        <f t="shared" si="14"/>
        <v>1</v>
      </c>
    </row>
    <row r="172" spans="1:13" x14ac:dyDescent="0.2">
      <c r="A172">
        <v>171</v>
      </c>
      <c r="B172" s="30">
        <v>4.0604343720491001E-2</v>
      </c>
      <c r="C172" s="30">
        <v>0.12190082644628096</v>
      </c>
      <c r="D172" s="30">
        <v>9.8003629764064654E-2</v>
      </c>
      <c r="E172" s="30">
        <v>0.23986486486486497</v>
      </c>
      <c r="F172" s="30">
        <v>5.060584461867438E-2</v>
      </c>
      <c r="G172" s="30">
        <v>0.77622904991613473</v>
      </c>
      <c r="H172" s="30">
        <v>0.31708517971442651</v>
      </c>
      <c r="I172">
        <v>3</v>
      </c>
      <c r="K172" s="31">
        <f t="shared" si="12"/>
        <v>0</v>
      </c>
      <c r="L172" s="31">
        <f t="shared" si="13"/>
        <v>0</v>
      </c>
      <c r="M172" s="31">
        <f t="shared" si="14"/>
        <v>1</v>
      </c>
    </row>
    <row r="173" spans="1:13" x14ac:dyDescent="0.2">
      <c r="A173">
        <v>172</v>
      </c>
      <c r="B173" s="30">
        <v>9.0651558073654478E-2</v>
      </c>
      <c r="C173" s="30">
        <v>0.14256198347107429</v>
      </c>
      <c r="D173" s="30">
        <v>0.33938294010889292</v>
      </c>
      <c r="E173" s="30">
        <v>0.1509009009009008</v>
      </c>
      <c r="F173" s="30">
        <v>0.15324305060584478</v>
      </c>
      <c r="G173" s="30">
        <v>0.77362857402904739</v>
      </c>
      <c r="H173" s="30">
        <v>0.21516494337764666</v>
      </c>
      <c r="I173">
        <v>3</v>
      </c>
      <c r="K173" s="31">
        <f t="shared" si="12"/>
        <v>0</v>
      </c>
      <c r="L173" s="31">
        <f t="shared" si="13"/>
        <v>0</v>
      </c>
      <c r="M173" s="31">
        <f t="shared" si="14"/>
        <v>1</v>
      </c>
    </row>
    <row r="174" spans="1:13" x14ac:dyDescent="0.2">
      <c r="A174">
        <v>173</v>
      </c>
      <c r="B174" s="30">
        <v>6.4211520302171837E-2</v>
      </c>
      <c r="C174" s="30">
        <v>0.11570247933884308</v>
      </c>
      <c r="D174" s="30">
        <v>0.30671506352087069</v>
      </c>
      <c r="E174" s="30">
        <v>0.10641891891891896</v>
      </c>
      <c r="F174" s="30">
        <v>9.4796863863150366E-2</v>
      </c>
      <c r="G174" s="30">
        <v>0.46079132481244078</v>
      </c>
      <c r="H174" s="30">
        <v>0.23682914820285572</v>
      </c>
      <c r="I174">
        <v>3</v>
      </c>
      <c r="K174" s="31">
        <f t="shared" si="12"/>
        <v>0</v>
      </c>
      <c r="L174" s="31">
        <f t="shared" si="13"/>
        <v>0</v>
      </c>
      <c r="M174" s="31">
        <f t="shared" si="14"/>
        <v>1</v>
      </c>
    </row>
    <row r="175" spans="1:13" x14ac:dyDescent="0.2">
      <c r="A175">
        <v>174</v>
      </c>
      <c r="B175" s="30">
        <v>7.6487252124645938E-2</v>
      </c>
      <c r="C175" s="30">
        <v>0.13842975206611569</v>
      </c>
      <c r="D175" s="30">
        <v>0.26678765880217775</v>
      </c>
      <c r="E175" s="30">
        <v>0.13344594594594603</v>
      </c>
      <c r="F175" s="30">
        <v>9.4796863863150366E-2</v>
      </c>
      <c r="G175" s="30">
        <v>0.62709175779167592</v>
      </c>
      <c r="H175" s="30">
        <v>0.28064992614475648</v>
      </c>
      <c r="I175">
        <v>3</v>
      </c>
      <c r="K175" s="31">
        <f t="shared" si="12"/>
        <v>0</v>
      </c>
      <c r="L175" s="31">
        <f t="shared" si="13"/>
        <v>0</v>
      </c>
      <c r="M175" s="31">
        <f t="shared" si="14"/>
        <v>1</v>
      </c>
    </row>
    <row r="176" spans="1:13" x14ac:dyDescent="0.2">
      <c r="A176">
        <v>175</v>
      </c>
      <c r="B176" s="30">
        <v>2.266288951841362E-2</v>
      </c>
      <c r="C176" s="30">
        <v>0.11363636363636379</v>
      </c>
      <c r="D176" s="30">
        <v>1.6333938294010104E-2</v>
      </c>
      <c r="E176" s="30">
        <v>0.21340090090090066</v>
      </c>
      <c r="F176" s="30">
        <v>7.8403421240200409E-3</v>
      </c>
      <c r="G176" s="30">
        <v>0.57430209728380299</v>
      </c>
      <c r="H176" s="30">
        <v>0.32791728212703081</v>
      </c>
      <c r="I176">
        <v>3</v>
      </c>
      <c r="K176" s="31">
        <f t="shared" si="12"/>
        <v>0</v>
      </c>
      <c r="L176" s="31">
        <f t="shared" si="13"/>
        <v>0</v>
      </c>
      <c r="M176" s="31">
        <f t="shared" si="14"/>
        <v>1</v>
      </c>
    </row>
    <row r="177" spans="1:13" x14ac:dyDescent="0.2">
      <c r="A177">
        <v>176</v>
      </c>
      <c r="B177" s="30">
        <v>1.9830028328611977E-2</v>
      </c>
      <c r="C177" s="30">
        <v>3.305785123966945E-2</v>
      </c>
      <c r="D177" s="30">
        <v>0.46188747731397423</v>
      </c>
      <c r="E177" s="30">
        <v>4.6171171171171095E-2</v>
      </c>
      <c r="F177" s="30">
        <v>0.13613684960798306</v>
      </c>
      <c r="G177" s="30">
        <v>0.52112236539286683</v>
      </c>
      <c r="H177" s="30">
        <v>0.26784835056622336</v>
      </c>
      <c r="I177">
        <v>3</v>
      </c>
      <c r="K177" s="31">
        <f t="shared" si="12"/>
        <v>0</v>
      </c>
      <c r="L177" s="31">
        <f t="shared" si="13"/>
        <v>0</v>
      </c>
      <c r="M177" s="31">
        <f t="shared" si="14"/>
        <v>1</v>
      </c>
    </row>
    <row r="178" spans="1:13" x14ac:dyDescent="0.2">
      <c r="A178">
        <v>177</v>
      </c>
      <c r="B178" s="30">
        <v>6.3267233238904624E-2</v>
      </c>
      <c r="C178" s="30">
        <v>0.12396694214876026</v>
      </c>
      <c r="D178" s="30">
        <v>0.248638838475499</v>
      </c>
      <c r="E178" s="30">
        <v>0.16159909909909909</v>
      </c>
      <c r="F178" s="30">
        <v>5.7020669992872447E-2</v>
      </c>
      <c r="G178" s="30">
        <v>0.59419573782002111</v>
      </c>
      <c r="H178" s="30">
        <v>0.28212703101920217</v>
      </c>
      <c r="I178">
        <v>3</v>
      </c>
      <c r="K178" s="31">
        <f t="shared" si="12"/>
        <v>0</v>
      </c>
      <c r="L178" s="31">
        <f t="shared" si="13"/>
        <v>0</v>
      </c>
      <c r="M178" s="31">
        <f t="shared" si="14"/>
        <v>1</v>
      </c>
    </row>
    <row r="179" spans="1:13" x14ac:dyDescent="0.2">
      <c r="A179">
        <v>178</v>
      </c>
      <c r="B179" s="30">
        <v>1.4164305949008532E-2</v>
      </c>
      <c r="C179" s="30">
        <v>6.61157024793389E-2</v>
      </c>
      <c r="D179" s="30">
        <v>0.22504537205081615</v>
      </c>
      <c r="E179" s="30">
        <v>0.13851351351351326</v>
      </c>
      <c r="F179" s="30">
        <v>8.5531004989308664E-3</v>
      </c>
      <c r="G179" s="30">
        <v>0.51189067599370686</v>
      </c>
      <c r="H179" s="30">
        <v>0.21861152141802068</v>
      </c>
      <c r="I179">
        <v>3</v>
      </c>
      <c r="K179" s="31">
        <f t="shared" si="12"/>
        <v>0</v>
      </c>
      <c r="L179" s="31">
        <f t="shared" si="13"/>
        <v>0</v>
      </c>
      <c r="M179" s="31">
        <f t="shared" si="14"/>
        <v>1</v>
      </c>
    </row>
    <row r="180" spans="1:13" x14ac:dyDescent="0.2">
      <c r="A180">
        <v>179</v>
      </c>
      <c r="B180" s="30">
        <v>8.4041548630783808E-2</v>
      </c>
      <c r="C180" s="30">
        <v>0.1322314049586778</v>
      </c>
      <c r="D180" s="30">
        <v>0.35571687840290406</v>
      </c>
      <c r="E180" s="30">
        <v>0.15822072072072058</v>
      </c>
      <c r="F180" s="30">
        <v>9.1233071988595912E-2</v>
      </c>
      <c r="G180" s="30">
        <v>0.6645386105657336</v>
      </c>
      <c r="H180" s="30">
        <v>0.23781388478581966</v>
      </c>
      <c r="I180">
        <v>3</v>
      </c>
      <c r="K180" s="31">
        <f t="shared" si="12"/>
        <v>0</v>
      </c>
      <c r="L180" s="31">
        <f t="shared" si="13"/>
        <v>0</v>
      </c>
      <c r="M180" s="31">
        <f t="shared" si="14"/>
        <v>1</v>
      </c>
    </row>
    <row r="181" spans="1:13" x14ac:dyDescent="0.2">
      <c r="A181">
        <v>180</v>
      </c>
      <c r="B181" s="30">
        <v>0.15297450424929188</v>
      </c>
      <c r="C181" s="30">
        <v>0.21900826446281002</v>
      </c>
      <c r="D181" s="30">
        <v>0.33756805807622525</v>
      </c>
      <c r="E181" s="30">
        <v>0.25788288288288302</v>
      </c>
      <c r="F181" s="30">
        <v>0.18745545260156793</v>
      </c>
      <c r="G181" s="30">
        <v>0.11648831736207728</v>
      </c>
      <c r="H181" s="30">
        <v>0.32447070408665679</v>
      </c>
      <c r="I181">
        <v>3</v>
      </c>
      <c r="K181" s="31">
        <f t="shared" si="12"/>
        <v>0</v>
      </c>
      <c r="L181" s="31">
        <f t="shared" si="13"/>
        <v>0</v>
      </c>
      <c r="M181" s="31">
        <f t="shared" si="14"/>
        <v>1</v>
      </c>
    </row>
    <row r="182" spans="1:13" x14ac:dyDescent="0.2">
      <c r="A182">
        <v>181</v>
      </c>
      <c r="B182" s="30">
        <v>7.7431539187913151E-2</v>
      </c>
      <c r="C182" s="30">
        <v>0.11157024793388412</v>
      </c>
      <c r="D182" s="30">
        <v>0.43466424682395605</v>
      </c>
      <c r="E182" s="30">
        <v>0.10754504504504496</v>
      </c>
      <c r="F182" s="30">
        <v>0.10334996436208123</v>
      </c>
      <c r="G182" s="30">
        <v>0.54504674355407035</v>
      </c>
      <c r="H182" s="30">
        <v>0.15066469719350079</v>
      </c>
      <c r="I182">
        <v>3</v>
      </c>
      <c r="K182" s="31">
        <f t="shared" si="12"/>
        <v>0</v>
      </c>
      <c r="L182" s="31">
        <f t="shared" si="13"/>
        <v>0</v>
      </c>
      <c r="M182" s="31">
        <f t="shared" si="14"/>
        <v>1</v>
      </c>
    </row>
    <row r="183" spans="1:13" x14ac:dyDescent="0.2">
      <c r="A183">
        <v>182</v>
      </c>
      <c r="B183" s="30">
        <v>0.1765816808309727</v>
      </c>
      <c r="C183" s="30">
        <v>0.20661157024793389</v>
      </c>
      <c r="D183" s="30">
        <v>0.56715063520871156</v>
      </c>
      <c r="E183" s="30">
        <v>0.18975225225225212</v>
      </c>
      <c r="F183" s="30">
        <v>0.27583749109052025</v>
      </c>
      <c r="G183" s="30">
        <v>0.54894745738470141</v>
      </c>
      <c r="H183" s="30">
        <v>0.30920728705071404</v>
      </c>
      <c r="I183">
        <v>3</v>
      </c>
      <c r="K183" s="31">
        <f t="shared" si="12"/>
        <v>0</v>
      </c>
      <c r="L183" s="31">
        <f t="shared" si="13"/>
        <v>0</v>
      </c>
      <c r="M183" s="31">
        <f t="shared" si="14"/>
        <v>1</v>
      </c>
    </row>
    <row r="184" spans="1:13" x14ac:dyDescent="0.2">
      <c r="A184">
        <v>183</v>
      </c>
      <c r="B184" s="30">
        <v>0.15108593012275728</v>
      </c>
      <c r="C184" s="30">
        <v>0.19628099173553704</v>
      </c>
      <c r="D184" s="30">
        <v>0.45190562613430102</v>
      </c>
      <c r="E184" s="30">
        <v>0.19200450450450463</v>
      </c>
      <c r="F184" s="30">
        <v>0.19885958660014241</v>
      </c>
      <c r="G184" s="30">
        <v>0.53204436411863376</v>
      </c>
      <c r="H184" s="30">
        <v>0.31462333825701644</v>
      </c>
      <c r="I184">
        <v>3</v>
      </c>
      <c r="K184" s="31">
        <f t="shared" si="12"/>
        <v>0</v>
      </c>
      <c r="L184" s="31">
        <f t="shared" si="13"/>
        <v>0</v>
      </c>
      <c r="M184" s="31">
        <f t="shared" si="14"/>
        <v>1</v>
      </c>
    </row>
    <row r="185" spans="1:13" x14ac:dyDescent="0.2">
      <c r="A185">
        <v>184</v>
      </c>
      <c r="B185" s="30">
        <v>0.10009442870632677</v>
      </c>
      <c r="C185" s="30">
        <v>0.13636363636363641</v>
      </c>
      <c r="D185" s="30">
        <v>0.44827586206896564</v>
      </c>
      <c r="E185" s="30">
        <v>0.11768018018017999</v>
      </c>
      <c r="F185" s="30">
        <v>0.15680684248039922</v>
      </c>
      <c r="G185" s="30">
        <v>0.57781273973137082</v>
      </c>
      <c r="H185" s="30">
        <v>0.30329886755292945</v>
      </c>
      <c r="I185">
        <v>3</v>
      </c>
      <c r="K185" s="31">
        <f t="shared" si="12"/>
        <v>0</v>
      </c>
      <c r="L185" s="31">
        <f t="shared" si="13"/>
        <v>0</v>
      </c>
      <c r="M185" s="31">
        <f t="shared" si="14"/>
        <v>1</v>
      </c>
    </row>
    <row r="186" spans="1:13" x14ac:dyDescent="0.2">
      <c r="A186">
        <v>185</v>
      </c>
      <c r="B186" s="30">
        <v>0.21718602455146371</v>
      </c>
      <c r="C186" s="30">
        <v>0.28099173553718998</v>
      </c>
      <c r="D186" s="30">
        <v>0.41742286751361113</v>
      </c>
      <c r="E186" s="30">
        <v>0.33558558558558566</v>
      </c>
      <c r="F186" s="30">
        <v>0.28225231646471832</v>
      </c>
      <c r="G186" s="30">
        <v>0.70471596302123285</v>
      </c>
      <c r="H186" s="30">
        <v>0.39241752831117666</v>
      </c>
      <c r="I186">
        <v>3</v>
      </c>
      <c r="K186" s="31">
        <f t="shared" si="12"/>
        <v>0</v>
      </c>
      <c r="L186" s="31">
        <f t="shared" si="13"/>
        <v>0</v>
      </c>
      <c r="M186" s="31">
        <f t="shared" si="14"/>
        <v>1</v>
      </c>
    </row>
    <row r="187" spans="1:13" x14ac:dyDescent="0.2">
      <c r="A187">
        <v>186</v>
      </c>
      <c r="B187" s="30">
        <v>9.1595845136921691E-2</v>
      </c>
      <c r="C187" s="30">
        <v>0.18595041322314057</v>
      </c>
      <c r="D187" s="30">
        <v>0.10617059891107021</v>
      </c>
      <c r="E187" s="30">
        <v>0.26126126126126153</v>
      </c>
      <c r="F187" s="30">
        <v>3.7776193870277919E-2</v>
      </c>
      <c r="G187" s="30">
        <v>0.42867544760691217</v>
      </c>
      <c r="H187" s="30">
        <v>0.32644017725258512</v>
      </c>
      <c r="I187">
        <v>3</v>
      </c>
      <c r="K187" s="31">
        <f t="shared" si="12"/>
        <v>0</v>
      </c>
      <c r="L187" s="31">
        <f t="shared" si="13"/>
        <v>0</v>
      </c>
      <c r="M187" s="31">
        <f t="shared" si="14"/>
        <v>1</v>
      </c>
    </row>
    <row r="188" spans="1:13" x14ac:dyDescent="0.2">
      <c r="A188">
        <v>187</v>
      </c>
      <c r="B188" s="30">
        <v>0.11520302171860251</v>
      </c>
      <c r="C188" s="30">
        <v>0.21487603305785108</v>
      </c>
      <c r="D188" s="30">
        <v>0.10617059891107021</v>
      </c>
      <c r="E188" s="30">
        <v>0.28941441441441457</v>
      </c>
      <c r="F188" s="30">
        <v>6.1297220242338038E-2</v>
      </c>
      <c r="G188" s="30">
        <v>0.53737533968716278</v>
      </c>
      <c r="H188" s="30">
        <v>0.41014278680452992</v>
      </c>
      <c r="I188">
        <v>3</v>
      </c>
      <c r="K188" s="31">
        <f t="shared" si="12"/>
        <v>0</v>
      </c>
      <c r="L188" s="31">
        <f t="shared" si="13"/>
        <v>0</v>
      </c>
      <c r="M188" s="31">
        <f t="shared" si="14"/>
        <v>1</v>
      </c>
    </row>
    <row r="189" spans="1:13" x14ac:dyDescent="0.2">
      <c r="A189">
        <v>188</v>
      </c>
      <c r="B189" s="30">
        <v>3.0217186024551489E-2</v>
      </c>
      <c r="C189" s="30">
        <v>8.0578512396694335E-2</v>
      </c>
      <c r="D189" s="30">
        <v>0.26406533575317626</v>
      </c>
      <c r="E189" s="30">
        <v>0.10641891891891896</v>
      </c>
      <c r="F189" s="30">
        <v>3.207412687099067E-2</v>
      </c>
      <c r="G189" s="30">
        <v>0.44388823154637308</v>
      </c>
      <c r="H189" s="30">
        <v>0.21516494337764666</v>
      </c>
      <c r="I189">
        <v>3</v>
      </c>
      <c r="K189" s="31">
        <f t="shared" si="12"/>
        <v>0</v>
      </c>
      <c r="L189" s="31">
        <f t="shared" si="13"/>
        <v>0</v>
      </c>
      <c r="M189" s="31">
        <f t="shared" si="14"/>
        <v>1</v>
      </c>
    </row>
    <row r="190" spans="1:13" x14ac:dyDescent="0.2">
      <c r="A190">
        <v>189</v>
      </c>
      <c r="B190" s="30">
        <v>6.0434372049102979E-2</v>
      </c>
      <c r="C190" s="30">
        <v>8.471074380165293E-2</v>
      </c>
      <c r="D190" s="30">
        <v>0.46551724137931061</v>
      </c>
      <c r="E190" s="30">
        <v>0.10698198198198221</v>
      </c>
      <c r="F190" s="30">
        <v>0.13613684960798306</v>
      </c>
      <c r="G190" s="30">
        <v>0.87881782366173011</v>
      </c>
      <c r="H190" s="30">
        <v>0.21565731166912841</v>
      </c>
      <c r="I190">
        <v>3</v>
      </c>
      <c r="K190" s="31">
        <f t="shared" si="12"/>
        <v>0</v>
      </c>
      <c r="L190" s="31">
        <f t="shared" si="13"/>
        <v>0</v>
      </c>
      <c r="M190" s="31">
        <f t="shared" si="14"/>
        <v>1</v>
      </c>
    </row>
    <row r="191" spans="1:13" x14ac:dyDescent="0.2">
      <c r="A191">
        <v>190</v>
      </c>
      <c r="B191" s="30">
        <v>0</v>
      </c>
      <c r="C191" s="30">
        <v>0</v>
      </c>
      <c r="D191" s="30">
        <v>0.51451905626134298</v>
      </c>
      <c r="E191" s="30">
        <v>0</v>
      </c>
      <c r="F191" s="30">
        <v>0.11190306486101211</v>
      </c>
      <c r="G191" s="30">
        <v>0.54738717185244901</v>
      </c>
      <c r="H191" s="30">
        <v>0.13540128015755762</v>
      </c>
      <c r="I191">
        <v>3</v>
      </c>
      <c r="K191" s="31">
        <f t="shared" si="12"/>
        <v>0</v>
      </c>
      <c r="L191" s="31">
        <f t="shared" si="13"/>
        <v>0</v>
      </c>
      <c r="M191" s="31">
        <f t="shared" si="14"/>
        <v>1</v>
      </c>
    </row>
    <row r="192" spans="1:13" x14ac:dyDescent="0.2">
      <c r="A192">
        <v>191</v>
      </c>
      <c r="B192" s="30">
        <v>3.2105760151085919E-2</v>
      </c>
      <c r="C192" s="30">
        <v>8.0578512396694335E-2</v>
      </c>
      <c r="D192" s="30">
        <v>0.28039927404718634</v>
      </c>
      <c r="E192" s="30">
        <v>8.277027027027041E-2</v>
      </c>
      <c r="F192" s="30">
        <v>6.2009978617248863E-2</v>
      </c>
      <c r="G192" s="30">
        <v>0.60238723686434614</v>
      </c>
      <c r="H192" s="30">
        <v>0.25898572131954695</v>
      </c>
      <c r="I192">
        <v>3</v>
      </c>
      <c r="K192" s="31">
        <f t="shared" si="12"/>
        <v>0</v>
      </c>
      <c r="L192" s="31">
        <f t="shared" si="13"/>
        <v>0</v>
      </c>
      <c r="M192" s="31">
        <f t="shared" si="14"/>
        <v>1</v>
      </c>
    </row>
    <row r="193" spans="1:13" x14ac:dyDescent="0.2">
      <c r="A193">
        <v>192</v>
      </c>
      <c r="B193" s="30">
        <v>6.4211520302171837E-2</v>
      </c>
      <c r="C193" s="30">
        <v>9.2975206611570105E-2</v>
      </c>
      <c r="D193" s="30">
        <v>0.4373865698729576</v>
      </c>
      <c r="E193" s="30">
        <v>0.10810810810810821</v>
      </c>
      <c r="F193" s="30">
        <v>0.12401995723449742</v>
      </c>
      <c r="G193" s="30">
        <v>0.41866361544162584</v>
      </c>
      <c r="H193" s="30">
        <v>0.23732151649433791</v>
      </c>
      <c r="I193">
        <v>3</v>
      </c>
      <c r="K193" s="31">
        <f t="shared" si="12"/>
        <v>0</v>
      </c>
      <c r="L193" s="31">
        <f t="shared" si="13"/>
        <v>0</v>
      </c>
      <c r="M193" s="31">
        <f t="shared" si="14"/>
        <v>1</v>
      </c>
    </row>
    <row r="194" spans="1:13" x14ac:dyDescent="0.2">
      <c r="A194">
        <v>193</v>
      </c>
      <c r="B194" s="30">
        <v>0.12086874409820579</v>
      </c>
      <c r="C194" s="30">
        <v>0.12603305785123955</v>
      </c>
      <c r="D194" s="30">
        <v>0.64791288566243133</v>
      </c>
      <c r="E194" s="30">
        <v>0.13119369369369352</v>
      </c>
      <c r="F194" s="30">
        <v>0.23022095509622226</v>
      </c>
      <c r="G194" s="30">
        <v>0.36821438323213151</v>
      </c>
      <c r="H194" s="30">
        <v>0.30182176267848332</v>
      </c>
      <c r="I194">
        <v>3</v>
      </c>
      <c r="K194" s="31">
        <f t="shared" si="12"/>
        <v>0</v>
      </c>
      <c r="L194" s="31">
        <f t="shared" si="13"/>
        <v>0</v>
      </c>
      <c r="M194" s="31">
        <f t="shared" si="14"/>
        <v>1</v>
      </c>
    </row>
    <row r="195" spans="1:13" x14ac:dyDescent="0.2">
      <c r="A195">
        <v>194</v>
      </c>
      <c r="B195" s="30">
        <v>2.1718602455146407E-2</v>
      </c>
      <c r="C195" s="30">
        <v>8.677685950413222E-2</v>
      </c>
      <c r="D195" s="30">
        <v>0.15880217785843889</v>
      </c>
      <c r="E195" s="30">
        <v>0.15822072072072058</v>
      </c>
      <c r="F195" s="30">
        <v>0</v>
      </c>
      <c r="G195" s="30">
        <v>0.53152426894121618</v>
      </c>
      <c r="H195" s="30">
        <v>0.28064992614475648</v>
      </c>
      <c r="I195">
        <v>3</v>
      </c>
      <c r="K195" s="31">
        <f t="shared" si="12"/>
        <v>0</v>
      </c>
      <c r="L195" s="31">
        <f t="shared" si="13"/>
        <v>0</v>
      </c>
      <c r="M195" s="31">
        <f t="shared" si="14"/>
        <v>1</v>
      </c>
    </row>
    <row r="196" spans="1:13" x14ac:dyDescent="0.2">
      <c r="A196">
        <v>195</v>
      </c>
      <c r="B196" s="30">
        <v>0.14353163361661941</v>
      </c>
      <c r="C196" s="30">
        <v>0.17768595041322302</v>
      </c>
      <c r="D196" s="30">
        <v>0.50635208711433732</v>
      </c>
      <c r="E196" s="30">
        <v>0.18975225225225212</v>
      </c>
      <c r="F196" s="30">
        <v>0.24590163934426235</v>
      </c>
      <c r="G196" s="30">
        <v>0.43777711321171775</v>
      </c>
      <c r="H196" s="30">
        <v>0.24273756770063984</v>
      </c>
      <c r="I196">
        <v>3</v>
      </c>
      <c r="K196" s="31">
        <f t="shared" si="12"/>
        <v>0</v>
      </c>
      <c r="L196" s="31">
        <f t="shared" si="13"/>
        <v>0</v>
      </c>
      <c r="M196" s="31">
        <f t="shared" si="14"/>
        <v>1</v>
      </c>
    </row>
    <row r="197" spans="1:13" x14ac:dyDescent="0.2">
      <c r="A197">
        <v>196</v>
      </c>
      <c r="B197" s="30">
        <v>0.20868744098205863</v>
      </c>
      <c r="C197" s="30">
        <v>0.21900826446281002</v>
      </c>
      <c r="D197" s="30">
        <v>0.7068965517241379</v>
      </c>
      <c r="E197" s="30">
        <v>0.14695945945945954</v>
      </c>
      <c r="F197" s="30">
        <v>0.35352815395580883</v>
      </c>
      <c r="G197" s="30">
        <v>0.53412474482830363</v>
      </c>
      <c r="H197" s="30">
        <v>0.1944854751354011</v>
      </c>
      <c r="I197">
        <v>3</v>
      </c>
      <c r="K197" s="31">
        <f t="shared" si="12"/>
        <v>0</v>
      </c>
      <c r="L197" s="31">
        <f t="shared" si="13"/>
        <v>0</v>
      </c>
      <c r="M197" s="31">
        <f t="shared" si="14"/>
        <v>1</v>
      </c>
    </row>
    <row r="198" spans="1:13" x14ac:dyDescent="0.2">
      <c r="A198">
        <v>197</v>
      </c>
      <c r="B198" s="30">
        <v>0.20774315391879125</v>
      </c>
      <c r="C198" s="30">
        <v>0.23140495867768579</v>
      </c>
      <c r="D198" s="30">
        <v>0.63974591651542678</v>
      </c>
      <c r="E198" s="30">
        <v>0.18299549549549562</v>
      </c>
      <c r="F198" s="30">
        <v>0.30220955096222368</v>
      </c>
      <c r="G198" s="30">
        <v>0.61343925938446731</v>
      </c>
      <c r="H198" s="30">
        <v>0.2161496799606106</v>
      </c>
      <c r="I198">
        <v>3</v>
      </c>
      <c r="K198" s="31">
        <f t="shared" si="12"/>
        <v>0</v>
      </c>
      <c r="L198" s="31">
        <f t="shared" si="13"/>
        <v>0</v>
      </c>
      <c r="M198" s="31">
        <f t="shared" si="14"/>
        <v>1</v>
      </c>
    </row>
    <row r="199" spans="1:13" x14ac:dyDescent="0.2">
      <c r="A199">
        <v>198</v>
      </c>
      <c r="B199" s="30">
        <v>0.26251180358829079</v>
      </c>
      <c r="C199" s="30">
        <v>0.28305785123966926</v>
      </c>
      <c r="D199" s="30">
        <v>0.69691470054446469</v>
      </c>
      <c r="E199" s="30">
        <v>0.23704954954954974</v>
      </c>
      <c r="F199" s="30">
        <v>0.35495367070563083</v>
      </c>
      <c r="G199" s="30">
        <v>0.50772991457436711</v>
      </c>
      <c r="H199" s="30">
        <v>0.28163466272772042</v>
      </c>
      <c r="I199">
        <v>3</v>
      </c>
      <c r="K199" s="31">
        <f t="shared" si="12"/>
        <v>0</v>
      </c>
      <c r="L199" s="31">
        <f t="shared" si="13"/>
        <v>0</v>
      </c>
      <c r="M199" s="31">
        <f t="shared" si="14"/>
        <v>1</v>
      </c>
    </row>
    <row r="200" spans="1:13" x14ac:dyDescent="0.2">
      <c r="A200">
        <v>199</v>
      </c>
      <c r="B200" s="30">
        <v>0.1916902738432483</v>
      </c>
      <c r="C200" s="30">
        <v>0.26033057851239666</v>
      </c>
      <c r="D200" s="30">
        <v>0.36297640653357477</v>
      </c>
      <c r="E200" s="30">
        <v>0.28772522522522531</v>
      </c>
      <c r="F200" s="30">
        <v>0.20028510334996438</v>
      </c>
      <c r="G200" s="30">
        <v>0.33037745907501076</v>
      </c>
      <c r="H200" s="30">
        <v>0.35056622353520428</v>
      </c>
      <c r="I200">
        <v>3</v>
      </c>
      <c r="K200" s="31">
        <f t="shared" si="12"/>
        <v>0</v>
      </c>
      <c r="L200" s="31">
        <f t="shared" si="13"/>
        <v>0</v>
      </c>
      <c r="M200" s="31">
        <f t="shared" si="14"/>
        <v>1</v>
      </c>
    </row>
    <row r="201" spans="1:13" x14ac:dyDescent="0.2">
      <c r="A201">
        <v>200</v>
      </c>
      <c r="B201" s="30">
        <v>0.20491029272898961</v>
      </c>
      <c r="C201" s="30">
        <v>0.20041322314049601</v>
      </c>
      <c r="D201" s="30">
        <v>0.8012704174228672</v>
      </c>
      <c r="E201" s="30">
        <v>9.7972972972973194E-2</v>
      </c>
      <c r="F201" s="30">
        <v>0.37419814682822505</v>
      </c>
      <c r="G201" s="30">
        <v>0.26822608537362341</v>
      </c>
      <c r="H201" s="30">
        <v>0.15312653865091089</v>
      </c>
      <c r="I201">
        <v>3</v>
      </c>
      <c r="K201" s="31">
        <f t="shared" si="12"/>
        <v>0</v>
      </c>
      <c r="L201" s="31">
        <f t="shared" si="13"/>
        <v>0</v>
      </c>
      <c r="M201" s="31">
        <f t="shared" si="14"/>
        <v>1</v>
      </c>
    </row>
    <row r="202" spans="1:13" x14ac:dyDescent="0.2">
      <c r="A202">
        <v>201</v>
      </c>
      <c r="B202" s="30">
        <v>0.16902738432483483</v>
      </c>
      <c r="C202" s="30">
        <v>0.21280991735537177</v>
      </c>
      <c r="D202" s="30">
        <v>0.4791288566243192</v>
      </c>
      <c r="E202" s="30">
        <v>0.18018018018018037</v>
      </c>
      <c r="F202" s="30">
        <v>0.25588025659301489</v>
      </c>
      <c r="G202" s="30">
        <v>0.61200899764656935</v>
      </c>
      <c r="H202" s="30">
        <v>0.25898572131954695</v>
      </c>
      <c r="I202">
        <v>3</v>
      </c>
      <c r="K202" s="31">
        <f t="shared" si="12"/>
        <v>0</v>
      </c>
      <c r="L202" s="31">
        <f t="shared" si="13"/>
        <v>0</v>
      </c>
      <c r="M202" s="31">
        <f t="shared" si="14"/>
        <v>1</v>
      </c>
    </row>
    <row r="203" spans="1:13" x14ac:dyDescent="0.2">
      <c r="A203">
        <v>202</v>
      </c>
      <c r="B203" s="30">
        <v>0.19641170915958453</v>
      </c>
      <c r="C203" s="30">
        <v>0.18801652892561987</v>
      </c>
      <c r="D203" s="30">
        <v>0.81306715063520907</v>
      </c>
      <c r="E203" s="30">
        <v>4.7860360360360343E-2</v>
      </c>
      <c r="F203" s="30">
        <v>0.35994297933000691</v>
      </c>
      <c r="G203" s="30">
        <v>0.19957352195451769</v>
      </c>
      <c r="H203" s="30">
        <v>0.11127523387493846</v>
      </c>
      <c r="I203">
        <v>3</v>
      </c>
      <c r="K203" s="31">
        <f t="shared" si="12"/>
        <v>0</v>
      </c>
      <c r="L203" s="31">
        <f t="shared" si="13"/>
        <v>0</v>
      </c>
      <c r="M203" s="31">
        <f t="shared" si="14"/>
        <v>1</v>
      </c>
    </row>
    <row r="204" spans="1:13" x14ac:dyDescent="0.2">
      <c r="A204">
        <v>203</v>
      </c>
      <c r="B204" s="30">
        <v>5.5712936732766748E-2</v>
      </c>
      <c r="C204" s="30">
        <v>6.404958677685961E-2</v>
      </c>
      <c r="D204" s="30">
        <v>0.54355716878402882</v>
      </c>
      <c r="E204" s="30">
        <v>6.1936936936937123E-2</v>
      </c>
      <c r="F204" s="30">
        <v>0.12829650748396301</v>
      </c>
      <c r="G204" s="30">
        <v>0.42724518586901411</v>
      </c>
      <c r="H204" s="30">
        <v>0.15214180206794692</v>
      </c>
      <c r="I204">
        <v>3</v>
      </c>
      <c r="K204" s="31">
        <f t="shared" si="12"/>
        <v>0</v>
      </c>
      <c r="L204" s="31">
        <f t="shared" si="13"/>
        <v>0</v>
      </c>
      <c r="M204" s="31">
        <f t="shared" si="14"/>
        <v>1</v>
      </c>
    </row>
    <row r="205" spans="1:13" x14ac:dyDescent="0.2">
      <c r="A205">
        <v>204</v>
      </c>
      <c r="B205" s="30">
        <v>0.19924457034938617</v>
      </c>
      <c r="C205" s="30">
        <v>0.20661157024793389</v>
      </c>
      <c r="D205" s="30">
        <v>0.71960072595281266</v>
      </c>
      <c r="E205" s="30">
        <v>0.15990990990990983</v>
      </c>
      <c r="F205" s="30">
        <v>0.3285816108339274</v>
      </c>
      <c r="G205" s="30">
        <v>1</v>
      </c>
      <c r="H205" s="30">
        <v>0.23682914820285572</v>
      </c>
      <c r="I205">
        <v>3</v>
      </c>
      <c r="K205" s="31">
        <f t="shared" si="12"/>
        <v>0</v>
      </c>
      <c r="L205" s="31">
        <f t="shared" si="13"/>
        <v>0</v>
      </c>
      <c r="M205" s="31">
        <f t="shared" si="14"/>
        <v>1</v>
      </c>
    </row>
    <row r="206" spans="1:13" x14ac:dyDescent="0.2">
      <c r="A206">
        <v>205</v>
      </c>
      <c r="B206" s="30">
        <v>0.16808309726156745</v>
      </c>
      <c r="C206" s="30">
        <v>0.21900826446281002</v>
      </c>
      <c r="D206" s="30">
        <v>0.44101633393829393</v>
      </c>
      <c r="E206" s="30">
        <v>0.17173423423423409</v>
      </c>
      <c r="F206" s="30">
        <v>0.23521026372059869</v>
      </c>
      <c r="G206" s="30">
        <v>0.41008204501423767</v>
      </c>
      <c r="H206" s="30">
        <v>0.23732151649433791</v>
      </c>
      <c r="I206">
        <v>3</v>
      </c>
      <c r="K206" s="31">
        <f t="shared" si="12"/>
        <v>0</v>
      </c>
      <c r="L206" s="31">
        <f t="shared" si="13"/>
        <v>0</v>
      </c>
      <c r="M206" s="31">
        <f t="shared" si="14"/>
        <v>1</v>
      </c>
    </row>
    <row r="207" spans="1:13" x14ac:dyDescent="0.2">
      <c r="A207">
        <v>206</v>
      </c>
      <c r="B207" s="30">
        <v>0.15108593012275728</v>
      </c>
      <c r="C207" s="30">
        <v>0.16322314049586759</v>
      </c>
      <c r="D207" s="30">
        <v>0.63702359346642423</v>
      </c>
      <c r="E207" s="30">
        <v>0.13400900900900878</v>
      </c>
      <c r="F207" s="30">
        <v>0.25017818959372762</v>
      </c>
      <c r="G207" s="30">
        <v>0.37263519224017999</v>
      </c>
      <c r="H207" s="30">
        <v>0.17282127031019204</v>
      </c>
      <c r="I207">
        <v>3</v>
      </c>
      <c r="K207" s="31">
        <f t="shared" si="12"/>
        <v>0</v>
      </c>
      <c r="L207" s="31">
        <f t="shared" si="13"/>
        <v>0</v>
      </c>
      <c r="M207" s="31">
        <f t="shared" si="14"/>
        <v>1</v>
      </c>
    </row>
    <row r="208" spans="1:13" x14ac:dyDescent="0.2">
      <c r="A208">
        <v>207</v>
      </c>
      <c r="B208" s="30">
        <v>6.0434372049102979E-2</v>
      </c>
      <c r="C208" s="30">
        <v>9.710743801652906E-2</v>
      </c>
      <c r="D208" s="30">
        <v>0.39019963702359295</v>
      </c>
      <c r="E208" s="30">
        <v>0.13569819819819803</v>
      </c>
      <c r="F208" s="30">
        <v>0.11760513186029935</v>
      </c>
      <c r="G208" s="30">
        <v>0.46287170552211065</v>
      </c>
      <c r="H208" s="30">
        <v>0.23830625307730186</v>
      </c>
      <c r="I208">
        <v>3</v>
      </c>
      <c r="K208" s="31">
        <f t="shared" si="12"/>
        <v>0</v>
      </c>
      <c r="L208" s="31">
        <f t="shared" si="13"/>
        <v>0</v>
      </c>
      <c r="M208" s="31">
        <f t="shared" si="14"/>
        <v>1</v>
      </c>
    </row>
    <row r="209" spans="1:13" x14ac:dyDescent="0.2">
      <c r="A209">
        <v>208</v>
      </c>
      <c r="B209" s="30">
        <v>0.24645892351274781</v>
      </c>
      <c r="C209" s="30">
        <v>0.25826446280991738</v>
      </c>
      <c r="D209" s="30">
        <v>0.7277676950998182</v>
      </c>
      <c r="E209" s="30">
        <v>0.18975225225225212</v>
      </c>
      <c r="F209" s="30">
        <v>0.429080541696365</v>
      </c>
      <c r="G209" s="30">
        <v>0.98166664499603429</v>
      </c>
      <c r="H209" s="30">
        <v>0.26440177252584934</v>
      </c>
      <c r="I209">
        <v>3</v>
      </c>
      <c r="K209" s="31">
        <f t="shared" si="12"/>
        <v>0</v>
      </c>
      <c r="L209" s="31">
        <f t="shared" si="13"/>
        <v>0</v>
      </c>
      <c r="M209" s="31">
        <f t="shared" si="14"/>
        <v>1</v>
      </c>
    </row>
    <row r="210" spans="1:13" x14ac:dyDescent="0.2">
      <c r="A210">
        <v>209</v>
      </c>
      <c r="B210" s="30">
        <v>0.11803588290840415</v>
      </c>
      <c r="C210" s="30">
        <v>0.16528925619834725</v>
      </c>
      <c r="D210" s="30">
        <v>0.39927404718693232</v>
      </c>
      <c r="E210" s="30">
        <v>0.15540540540540532</v>
      </c>
      <c r="F210" s="30">
        <v>0.1468282252316464</v>
      </c>
      <c r="G210" s="30">
        <v>0.36834440702648591</v>
      </c>
      <c r="H210" s="30">
        <v>0.25849335302806475</v>
      </c>
      <c r="I210">
        <v>3</v>
      </c>
      <c r="K210" s="31">
        <f t="shared" si="12"/>
        <v>0</v>
      </c>
      <c r="L210" s="31">
        <f t="shared" si="13"/>
        <v>0</v>
      </c>
      <c r="M210" s="31">
        <f t="shared" si="14"/>
        <v>1</v>
      </c>
    </row>
    <row r="211" spans="1:13" x14ac:dyDescent="0.2">
      <c r="A211">
        <v>210</v>
      </c>
      <c r="B211" s="30">
        <v>0.16147308781869696</v>
      </c>
      <c r="C211" s="30">
        <v>0.19214876033057846</v>
      </c>
      <c r="D211" s="30">
        <v>0.54718693284936415</v>
      </c>
      <c r="E211" s="30">
        <v>0.19369369369369388</v>
      </c>
      <c r="F211" s="30">
        <v>0.24518888096935151</v>
      </c>
      <c r="G211" s="30">
        <v>0.63346292371503987</v>
      </c>
      <c r="H211" s="30">
        <v>0.26784835056622336</v>
      </c>
      <c r="I211">
        <v>3</v>
      </c>
      <c r="K211" s="31">
        <f t="shared" si="12"/>
        <v>0</v>
      </c>
      <c r="L211" s="31">
        <f t="shared" si="13"/>
        <v>0</v>
      </c>
      <c r="M211" s="31">
        <f t="shared" si="14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211"/>
  <sheetViews>
    <sheetView showGridLines="0" workbookViewId="0">
      <selection activeCell="A2" sqref="A2"/>
    </sheetView>
  </sheetViews>
  <sheetFormatPr defaultRowHeight="12.75" x14ac:dyDescent="0.2"/>
  <cols>
    <col min="2" max="2" width="5.42578125" bestFit="1" customWidth="1"/>
    <col min="3" max="9" width="7.5703125" bestFit="1" customWidth="1"/>
    <col min="10" max="10" width="3.42578125" bestFit="1" customWidth="1"/>
    <col min="11" max="13" width="4.28515625" customWidth="1"/>
    <col min="14" max="14" width="4.140625" customWidth="1"/>
    <col min="15" max="15" width="9.5703125" bestFit="1" customWidth="1"/>
  </cols>
  <sheetData>
    <row r="1" spans="1:15" x14ac:dyDescent="0.2">
      <c r="A1" s="34" t="s">
        <v>74</v>
      </c>
      <c r="B1" s="34" t="s">
        <v>75</v>
      </c>
      <c r="C1" s="34" t="s">
        <v>61</v>
      </c>
      <c r="D1" s="34" t="s">
        <v>62</v>
      </c>
      <c r="E1" s="34" t="s">
        <v>63</v>
      </c>
      <c r="F1" s="34" t="s">
        <v>64</v>
      </c>
      <c r="G1" s="34" t="s">
        <v>65</v>
      </c>
      <c r="H1" s="34" t="s">
        <v>122</v>
      </c>
      <c r="I1" s="34" t="s">
        <v>123</v>
      </c>
      <c r="J1" s="34" t="s">
        <v>46</v>
      </c>
      <c r="K1" s="39" t="s">
        <v>70</v>
      </c>
      <c r="L1" s="39" t="s">
        <v>71</v>
      </c>
      <c r="M1" s="39" t="s">
        <v>72</v>
      </c>
      <c r="N1" s="34"/>
      <c r="O1" s="79" t="s">
        <v>233</v>
      </c>
    </row>
    <row r="2" spans="1:15" x14ac:dyDescent="0.2">
      <c r="A2" s="33">
        <v>0.50082197447395294</v>
      </c>
      <c r="B2" s="34">
        <v>194</v>
      </c>
      <c r="C2" s="34">
        <v>2.1718602455146407E-2</v>
      </c>
      <c r="D2" s="34">
        <v>8.677685950413222E-2</v>
      </c>
      <c r="E2" s="34">
        <v>0.15880217785843889</v>
      </c>
      <c r="F2" s="34">
        <v>0.15822072072072058</v>
      </c>
      <c r="G2" s="34">
        <v>0</v>
      </c>
      <c r="H2" s="34">
        <v>0.53152426894121618</v>
      </c>
      <c r="I2" s="34">
        <v>0.28064992614475648</v>
      </c>
      <c r="J2" s="34">
        <v>3</v>
      </c>
      <c r="K2" s="54">
        <v>0</v>
      </c>
      <c r="L2" s="54">
        <v>0</v>
      </c>
      <c r="M2" s="54">
        <v>1</v>
      </c>
      <c r="N2" s="34"/>
      <c r="O2" s="79" t="s">
        <v>234</v>
      </c>
    </row>
    <row r="3" spans="1:15" x14ac:dyDescent="0.2">
      <c r="A3" s="33">
        <v>0.57784246334769596</v>
      </c>
      <c r="B3" s="34">
        <v>78</v>
      </c>
      <c r="C3" s="33">
        <v>0.95561850802644011</v>
      </c>
      <c r="D3" s="33">
        <v>0.99586776859504145</v>
      </c>
      <c r="E3" s="33">
        <v>0.61887477313974548</v>
      </c>
      <c r="F3" s="33">
        <v>0.94594594594594594</v>
      </c>
      <c r="G3" s="33">
        <v>0.84390591589451158</v>
      </c>
      <c r="H3" s="33">
        <v>0.47925470361076078</v>
      </c>
      <c r="I3" s="33">
        <v>0.95125553914327909</v>
      </c>
      <c r="J3" s="34">
        <v>2</v>
      </c>
      <c r="K3" s="54">
        <v>0</v>
      </c>
      <c r="L3" s="54">
        <v>1</v>
      </c>
      <c r="M3" s="54">
        <v>0</v>
      </c>
      <c r="N3" s="34"/>
    </row>
    <row r="4" spans="1:15" x14ac:dyDescent="0.2">
      <c r="A4" s="33">
        <v>0.86661468987167789</v>
      </c>
      <c r="B4" s="34">
        <v>185</v>
      </c>
      <c r="C4" s="33">
        <v>0.21718602455146371</v>
      </c>
      <c r="D4" s="33">
        <v>0.28099173553718998</v>
      </c>
      <c r="E4" s="33">
        <v>0.41742286751361113</v>
      </c>
      <c r="F4" s="33">
        <v>0.33558558558558566</v>
      </c>
      <c r="G4" s="33">
        <v>0.28225231646471832</v>
      </c>
      <c r="H4" s="33">
        <v>0.70471596302123285</v>
      </c>
      <c r="I4" s="33">
        <v>0.39241752831117666</v>
      </c>
      <c r="J4" s="34">
        <v>3</v>
      </c>
      <c r="K4" s="54">
        <v>0</v>
      </c>
      <c r="L4" s="54">
        <v>0</v>
      </c>
      <c r="M4" s="54">
        <v>1</v>
      </c>
      <c r="N4" s="34"/>
    </row>
    <row r="5" spans="1:15" x14ac:dyDescent="0.2">
      <c r="A5" s="33">
        <v>0.62829178748569603</v>
      </c>
      <c r="B5" s="34">
        <v>96</v>
      </c>
      <c r="C5" s="33">
        <v>0.59301227573182258</v>
      </c>
      <c r="D5" s="33">
        <v>0.66942148760330589</v>
      </c>
      <c r="E5" s="33">
        <v>0.51451905626134298</v>
      </c>
      <c r="F5" s="33">
        <v>0.69819819819819839</v>
      </c>
      <c r="G5" s="33">
        <v>0.59372772630078396</v>
      </c>
      <c r="H5" s="33">
        <v>0.38108673887321387</v>
      </c>
      <c r="I5" s="33">
        <v>0.71294928606597718</v>
      </c>
      <c r="J5" s="34">
        <v>2</v>
      </c>
      <c r="K5" s="54">
        <v>0</v>
      </c>
      <c r="L5" s="54">
        <v>1</v>
      </c>
      <c r="M5" s="54">
        <v>0</v>
      </c>
      <c r="N5" s="34"/>
    </row>
    <row r="6" spans="1:15" x14ac:dyDescent="0.2">
      <c r="A6" s="33">
        <v>2.5729818892629486E-2</v>
      </c>
      <c r="B6" s="34">
        <v>11</v>
      </c>
      <c r="C6" s="33">
        <v>0.44098205854579792</v>
      </c>
      <c r="D6" s="33">
        <v>0.50413223140495855</v>
      </c>
      <c r="E6" s="33">
        <v>0.55807622504537224</v>
      </c>
      <c r="F6" s="33">
        <v>0.45889639639639668</v>
      </c>
      <c r="G6" s="33">
        <v>0.43620812544547388</v>
      </c>
      <c r="H6" s="33">
        <v>0.49121689269136259</v>
      </c>
      <c r="I6" s="33">
        <v>0.39143279172821271</v>
      </c>
      <c r="J6" s="34">
        <v>1</v>
      </c>
      <c r="K6" s="54">
        <v>1</v>
      </c>
      <c r="L6" s="54">
        <v>0</v>
      </c>
      <c r="M6" s="54">
        <v>0</v>
      </c>
      <c r="N6" s="34"/>
    </row>
    <row r="7" spans="1:15" x14ac:dyDescent="0.2">
      <c r="A7" s="33">
        <v>0.38011291991463614</v>
      </c>
      <c r="B7" s="34">
        <v>76</v>
      </c>
      <c r="C7" s="33">
        <v>0.58356940509915012</v>
      </c>
      <c r="D7" s="33">
        <v>0.66322314049586761</v>
      </c>
      <c r="E7" s="33">
        <v>0.50544464609800355</v>
      </c>
      <c r="F7" s="33">
        <v>0.57882882882882869</v>
      </c>
      <c r="G7" s="33">
        <v>0.57590876692801141</v>
      </c>
      <c r="H7" s="33">
        <v>0.5402358631629588</v>
      </c>
      <c r="I7" s="33">
        <v>0.62826193993106838</v>
      </c>
      <c r="J7" s="34">
        <v>2</v>
      </c>
      <c r="K7" s="54">
        <v>0</v>
      </c>
      <c r="L7" s="54">
        <v>1</v>
      </c>
      <c r="M7" s="54">
        <v>0</v>
      </c>
      <c r="N7" s="34"/>
    </row>
    <row r="8" spans="1:15" x14ac:dyDescent="0.2">
      <c r="A8" s="33">
        <v>0.89949564903612134</v>
      </c>
      <c r="B8" s="34">
        <v>181</v>
      </c>
      <c r="C8" s="33">
        <v>7.7431539187913151E-2</v>
      </c>
      <c r="D8" s="33">
        <v>0.11157024793388412</v>
      </c>
      <c r="E8" s="33">
        <v>0.43466424682395605</v>
      </c>
      <c r="F8" s="33">
        <v>0.10754504504504496</v>
      </c>
      <c r="G8" s="33">
        <v>0.10334996436208123</v>
      </c>
      <c r="H8" s="33">
        <v>0.54504674355407035</v>
      </c>
      <c r="I8" s="33">
        <v>0.15066469719350079</v>
      </c>
      <c r="J8" s="34">
        <v>3</v>
      </c>
      <c r="K8" s="54">
        <v>0</v>
      </c>
      <c r="L8" s="54">
        <v>0</v>
      </c>
      <c r="M8" s="54">
        <v>1</v>
      </c>
      <c r="N8" s="34"/>
    </row>
    <row r="9" spans="1:15" x14ac:dyDescent="0.2">
      <c r="A9" s="33">
        <v>0.14933998101501411</v>
      </c>
      <c r="B9" s="34">
        <v>66</v>
      </c>
      <c r="C9" s="33">
        <v>0.2162417374881965</v>
      </c>
      <c r="D9" s="33">
        <v>0.22520661157024791</v>
      </c>
      <c r="E9" s="33">
        <v>0.72413793103448287</v>
      </c>
      <c r="F9" s="33">
        <v>0.13513513513513528</v>
      </c>
      <c r="G9" s="33">
        <v>0.34853884533143276</v>
      </c>
      <c r="H9" s="33">
        <v>0.20633475926094477</v>
      </c>
      <c r="I9" s="33">
        <v>4.3328409650418558E-2</v>
      </c>
      <c r="J9" s="34">
        <v>1</v>
      </c>
      <c r="K9" s="54">
        <v>1</v>
      </c>
      <c r="L9" s="54">
        <v>0</v>
      </c>
      <c r="M9" s="54">
        <v>0</v>
      </c>
      <c r="N9" s="34"/>
    </row>
    <row r="10" spans="1:15" x14ac:dyDescent="0.2">
      <c r="A10" s="33">
        <v>9.8968630225412357E-2</v>
      </c>
      <c r="B10" s="34">
        <v>58</v>
      </c>
      <c r="C10" s="33">
        <v>0.40887629839471201</v>
      </c>
      <c r="D10" s="33">
        <v>0.41735537190082639</v>
      </c>
      <c r="E10" s="33">
        <v>0.83938294010889247</v>
      </c>
      <c r="F10" s="33">
        <v>0.27308558558558582</v>
      </c>
      <c r="G10" s="33">
        <v>0.55737704918032771</v>
      </c>
      <c r="H10" s="33">
        <v>4.9005968092160859E-2</v>
      </c>
      <c r="I10" s="33">
        <v>0.28015755785327429</v>
      </c>
      <c r="J10" s="34">
        <v>1</v>
      </c>
      <c r="K10" s="54">
        <v>1</v>
      </c>
      <c r="L10" s="54">
        <v>0</v>
      </c>
      <c r="M10" s="54">
        <v>0</v>
      </c>
      <c r="N10" s="34"/>
    </row>
    <row r="11" spans="1:15" x14ac:dyDescent="0.2">
      <c r="A11" s="33">
        <v>0.89865462620628744</v>
      </c>
      <c r="B11" s="34">
        <v>55</v>
      </c>
      <c r="C11" s="33">
        <v>0.37110481586402266</v>
      </c>
      <c r="D11" s="33">
        <v>0.45247933884297514</v>
      </c>
      <c r="E11" s="33">
        <v>0.43194192377495455</v>
      </c>
      <c r="F11" s="33">
        <v>0.47409909909909898</v>
      </c>
      <c r="G11" s="33">
        <v>0.34426229508196715</v>
      </c>
      <c r="H11" s="33">
        <v>9.3084034378291255E-2</v>
      </c>
      <c r="I11" s="33">
        <v>0.47661250615460371</v>
      </c>
      <c r="J11" s="34">
        <v>1</v>
      </c>
      <c r="K11" s="54">
        <v>1</v>
      </c>
      <c r="L11" s="54">
        <v>0</v>
      </c>
      <c r="M11" s="54">
        <v>0</v>
      </c>
      <c r="N11" s="34"/>
    </row>
    <row r="12" spans="1:15" x14ac:dyDescent="0.2">
      <c r="A12" s="33">
        <v>0.50748249022676739</v>
      </c>
      <c r="B12" s="34">
        <v>183</v>
      </c>
      <c r="C12" s="33">
        <v>0.15108593012275728</v>
      </c>
      <c r="D12" s="33">
        <v>0.19628099173553704</v>
      </c>
      <c r="E12" s="33">
        <v>0.45190562613430102</v>
      </c>
      <c r="F12" s="33">
        <v>0.19200450450450463</v>
      </c>
      <c r="G12" s="33">
        <v>0.19885958660014241</v>
      </c>
      <c r="H12" s="33">
        <v>0.53204436411863376</v>
      </c>
      <c r="I12" s="33">
        <v>0.31462333825701644</v>
      </c>
      <c r="J12" s="34">
        <v>3</v>
      </c>
      <c r="K12" s="54">
        <v>0</v>
      </c>
      <c r="L12" s="54">
        <v>0</v>
      </c>
      <c r="M12" s="54">
        <v>1</v>
      </c>
      <c r="N12" s="34"/>
    </row>
    <row r="13" spans="1:15" x14ac:dyDescent="0.2">
      <c r="A13" s="33">
        <v>0.99248022692442295</v>
      </c>
      <c r="B13" s="34">
        <v>112</v>
      </c>
      <c r="C13" s="33">
        <v>0.8300283286118979</v>
      </c>
      <c r="D13" s="33">
        <v>0.8904958677685948</v>
      </c>
      <c r="E13" s="33">
        <v>0.57622504537205099</v>
      </c>
      <c r="F13" s="33">
        <v>0.79054054054054057</v>
      </c>
      <c r="G13" s="33">
        <v>0.82751247327156063</v>
      </c>
      <c r="H13" s="33">
        <v>0.37874631057483527</v>
      </c>
      <c r="I13" s="33">
        <v>0.71196454948301324</v>
      </c>
      <c r="J13" s="34">
        <v>2</v>
      </c>
      <c r="K13" s="54">
        <v>0</v>
      </c>
      <c r="L13" s="54">
        <v>1</v>
      </c>
      <c r="M13" s="54">
        <v>0</v>
      </c>
      <c r="N13" s="34"/>
    </row>
    <row r="14" spans="1:15" x14ac:dyDescent="0.2">
      <c r="A14" s="33">
        <v>0.53160984670810218</v>
      </c>
      <c r="B14" s="34">
        <v>133</v>
      </c>
      <c r="C14" s="33">
        <v>0.4523135033050048</v>
      </c>
      <c r="D14" s="33">
        <v>0.51446280991735538</v>
      </c>
      <c r="E14" s="33">
        <v>0.56715063520871156</v>
      </c>
      <c r="F14" s="33">
        <v>0.55461711711711736</v>
      </c>
      <c r="G14" s="33">
        <v>0.4547398431931573</v>
      </c>
      <c r="H14" s="33">
        <v>0.48068496534865884</v>
      </c>
      <c r="I14" s="33">
        <v>0.62826193993106838</v>
      </c>
      <c r="J14" s="34">
        <v>2</v>
      </c>
      <c r="K14" s="54">
        <v>0</v>
      </c>
      <c r="L14" s="54">
        <v>1</v>
      </c>
      <c r="M14" s="54">
        <v>0</v>
      </c>
      <c r="N14" s="34"/>
    </row>
    <row r="15" spans="1:15" x14ac:dyDescent="0.2">
      <c r="A15" s="33">
        <v>0.49397386219524464</v>
      </c>
      <c r="B15" s="34">
        <v>210</v>
      </c>
      <c r="C15" s="34">
        <v>0.16147308781869696</v>
      </c>
      <c r="D15" s="34">
        <v>0.19214876033057846</v>
      </c>
      <c r="E15" s="34">
        <v>0.54718693284936415</v>
      </c>
      <c r="F15" s="34">
        <v>0.19369369369369388</v>
      </c>
      <c r="G15" s="34">
        <v>0.24518888096935151</v>
      </c>
      <c r="H15" s="34">
        <v>0.63346292371503987</v>
      </c>
      <c r="I15" s="34">
        <v>0.26784835056622336</v>
      </c>
      <c r="J15" s="34">
        <v>3</v>
      </c>
      <c r="K15" s="54">
        <v>0</v>
      </c>
      <c r="L15" s="54">
        <v>0</v>
      </c>
      <c r="M15" s="54">
        <v>1</v>
      </c>
      <c r="N15" s="34"/>
    </row>
    <row r="16" spans="1:15" x14ac:dyDescent="0.2">
      <c r="A16" s="33">
        <v>0.5155888264371834</v>
      </c>
      <c r="B16" s="34">
        <v>150</v>
      </c>
      <c r="C16" s="33">
        <v>1.8885741265344598E-2</v>
      </c>
      <c r="D16" s="33">
        <v>0.10743801652892554</v>
      </c>
      <c r="E16" s="33">
        <v>2.3593466424681821E-2</v>
      </c>
      <c r="F16" s="33">
        <v>0.23536036036036048</v>
      </c>
      <c r="G16" s="33">
        <v>1.2829650748396459E-2</v>
      </c>
      <c r="H16" s="33">
        <v>0.61070875970302563</v>
      </c>
      <c r="I16" s="33">
        <v>0.33234859675036926</v>
      </c>
      <c r="J16" s="34">
        <v>3</v>
      </c>
      <c r="K16" s="54">
        <v>0</v>
      </c>
      <c r="L16" s="54">
        <v>0</v>
      </c>
      <c r="M16" s="54">
        <v>1</v>
      </c>
      <c r="N16" s="34"/>
    </row>
    <row r="17" spans="1:14" x14ac:dyDescent="0.2">
      <c r="A17" s="33">
        <v>0.84361814032885252</v>
      </c>
      <c r="B17" s="34">
        <v>100</v>
      </c>
      <c r="C17" s="33">
        <v>0.76770538243626052</v>
      </c>
      <c r="D17" s="33">
        <v>0.81198347107438018</v>
      </c>
      <c r="E17" s="33">
        <v>0.66152450090744086</v>
      </c>
      <c r="F17" s="33">
        <v>0.74324324324324353</v>
      </c>
      <c r="G17" s="33">
        <v>0.75124732715609399</v>
      </c>
      <c r="H17" s="33">
        <v>0.18501085698682865</v>
      </c>
      <c r="I17" s="33">
        <v>0.77695716395864134</v>
      </c>
      <c r="J17" s="34">
        <v>2</v>
      </c>
      <c r="K17" s="54">
        <v>0</v>
      </c>
      <c r="L17" s="54">
        <v>1</v>
      </c>
      <c r="M17" s="54">
        <v>0</v>
      </c>
      <c r="N17" s="34"/>
    </row>
    <row r="18" spans="1:14" x14ac:dyDescent="0.2">
      <c r="A18" s="33">
        <v>6.4225809188918626E-2</v>
      </c>
      <c r="B18" s="34">
        <v>152</v>
      </c>
      <c r="C18" s="33">
        <v>0.13408876298394712</v>
      </c>
      <c r="D18" s="33">
        <v>0.22933884297520651</v>
      </c>
      <c r="E18" s="33">
        <v>0.15245009074410101</v>
      </c>
      <c r="F18" s="33">
        <v>0.28490990990991005</v>
      </c>
      <c r="G18" s="33">
        <v>0.10406272273699206</v>
      </c>
      <c r="H18" s="33">
        <v>0.80964516506520701</v>
      </c>
      <c r="I18" s="33">
        <v>0.36976858690300324</v>
      </c>
      <c r="J18" s="34">
        <v>3</v>
      </c>
      <c r="K18" s="54">
        <v>0</v>
      </c>
      <c r="L18" s="54">
        <v>0</v>
      </c>
      <c r="M18" s="54">
        <v>1</v>
      </c>
      <c r="N18" s="34"/>
    </row>
    <row r="19" spans="1:14" x14ac:dyDescent="0.2">
      <c r="A19" s="33">
        <v>4.0748186932213049E-2</v>
      </c>
      <c r="B19" s="34">
        <v>146</v>
      </c>
      <c r="C19" s="33">
        <v>5.8545797922568553E-2</v>
      </c>
      <c r="D19" s="33">
        <v>0.14876033057851254</v>
      </c>
      <c r="E19" s="33">
        <v>7.8039927404718185E-2</v>
      </c>
      <c r="F19" s="33">
        <v>0.21396396396396392</v>
      </c>
      <c r="G19" s="33">
        <v>4.062722736992154E-2</v>
      </c>
      <c r="H19" s="33">
        <v>0.70263558231156298</v>
      </c>
      <c r="I19" s="33">
        <v>0.37223042836041376</v>
      </c>
      <c r="J19" s="34">
        <v>3</v>
      </c>
      <c r="K19" s="54">
        <v>0</v>
      </c>
      <c r="L19" s="54">
        <v>0</v>
      </c>
      <c r="M19" s="54">
        <v>1</v>
      </c>
      <c r="N19" s="34"/>
    </row>
    <row r="20" spans="1:14" x14ac:dyDescent="0.2">
      <c r="A20" s="33">
        <v>0.27092982040418268</v>
      </c>
      <c r="B20" s="34">
        <v>59</v>
      </c>
      <c r="C20" s="33">
        <v>0.4523135033050048</v>
      </c>
      <c r="D20" s="33">
        <v>0.48760330578512384</v>
      </c>
      <c r="E20" s="33">
        <v>0.70417422867513635</v>
      </c>
      <c r="F20" s="33">
        <v>0.42961711711711709</v>
      </c>
      <c r="G20" s="33">
        <v>0.56236635780470412</v>
      </c>
      <c r="H20" s="33">
        <v>0.16043635985385329</v>
      </c>
      <c r="I20" s="33">
        <v>0.34613490891186627</v>
      </c>
      <c r="J20" s="34">
        <v>1</v>
      </c>
      <c r="K20" s="54">
        <v>1</v>
      </c>
      <c r="L20" s="54">
        <v>0</v>
      </c>
      <c r="M20" s="54">
        <v>0</v>
      </c>
      <c r="N20" s="34"/>
    </row>
    <row r="21" spans="1:14" x14ac:dyDescent="0.2">
      <c r="A21" s="33">
        <v>0.78411312971166902</v>
      </c>
      <c r="B21" s="34">
        <v>170</v>
      </c>
      <c r="C21" s="33">
        <v>6.1378659112370192E-2</v>
      </c>
      <c r="D21" s="33">
        <v>0.12190082644628096</v>
      </c>
      <c r="E21" s="33">
        <v>0.25226860254083433</v>
      </c>
      <c r="F21" s="33">
        <v>0.10754504504504496</v>
      </c>
      <c r="G21" s="33">
        <v>6.0584461867426893E-2</v>
      </c>
      <c r="H21" s="33">
        <v>0.35833257486119963</v>
      </c>
      <c r="I21" s="33">
        <v>0.28015755785327429</v>
      </c>
      <c r="J21" s="34">
        <v>3</v>
      </c>
      <c r="K21" s="54">
        <v>0</v>
      </c>
      <c r="L21" s="54">
        <v>0</v>
      </c>
      <c r="M21" s="54">
        <v>1</v>
      </c>
      <c r="N21" s="34"/>
    </row>
    <row r="22" spans="1:14" x14ac:dyDescent="0.2">
      <c r="A22" s="33">
        <v>9.4428676444650361E-2</v>
      </c>
      <c r="B22" s="34">
        <v>149</v>
      </c>
      <c r="C22" s="33">
        <v>0.19924457034938617</v>
      </c>
      <c r="D22" s="33">
        <v>0.26859504132231421</v>
      </c>
      <c r="E22" s="33">
        <v>0.37205081669691414</v>
      </c>
      <c r="F22" s="33">
        <v>0.27421171171171183</v>
      </c>
      <c r="G22" s="33">
        <v>0.20028510334996438</v>
      </c>
      <c r="H22" s="33">
        <v>0.32439636453470988</v>
      </c>
      <c r="I22" s="33">
        <v>0.39241752831117666</v>
      </c>
      <c r="J22" s="34">
        <v>3</v>
      </c>
      <c r="K22" s="54">
        <v>0</v>
      </c>
      <c r="L22" s="54">
        <v>0</v>
      </c>
      <c r="M22" s="54">
        <v>1</v>
      </c>
      <c r="N22" s="34"/>
    </row>
    <row r="23" spans="1:14" x14ac:dyDescent="0.2">
      <c r="A23" s="33">
        <v>0.10795316737665328</v>
      </c>
      <c r="B23" s="34">
        <v>130</v>
      </c>
      <c r="C23" s="33">
        <v>0.65722379603399439</v>
      </c>
      <c r="D23" s="33">
        <v>0.67148760330578516</v>
      </c>
      <c r="E23" s="33">
        <v>0.82577132486388383</v>
      </c>
      <c r="F23" s="33">
        <v>0.50225225225225245</v>
      </c>
      <c r="G23" s="33">
        <v>0.75552387740555926</v>
      </c>
      <c r="H23" s="33">
        <v>0.5982264754450064</v>
      </c>
      <c r="I23" s="33">
        <v>0.56228458887247645</v>
      </c>
      <c r="J23" s="34">
        <v>2</v>
      </c>
      <c r="K23" s="54">
        <v>0</v>
      </c>
      <c r="L23" s="54">
        <v>1</v>
      </c>
      <c r="M23" s="54">
        <v>0</v>
      </c>
      <c r="N23" s="34"/>
    </row>
    <row r="24" spans="1:14" x14ac:dyDescent="0.2">
      <c r="A24" s="33">
        <v>0.2456443579208053</v>
      </c>
      <c r="B24" s="34">
        <v>69</v>
      </c>
      <c r="C24" s="33">
        <v>0.35694050991501408</v>
      </c>
      <c r="D24" s="33">
        <v>0.40909090909090917</v>
      </c>
      <c r="E24" s="33">
        <v>0.58529945553539042</v>
      </c>
      <c r="F24" s="33">
        <v>0.37725225225225223</v>
      </c>
      <c r="G24" s="33">
        <v>0.37277263007840339</v>
      </c>
      <c r="H24" s="33">
        <v>9.087362987426699E-2</v>
      </c>
      <c r="I24" s="33">
        <v>0.38453963564746418</v>
      </c>
      <c r="J24" s="34">
        <v>1</v>
      </c>
      <c r="K24" s="54">
        <v>1</v>
      </c>
      <c r="L24" s="54">
        <v>0</v>
      </c>
      <c r="M24" s="54">
        <v>0</v>
      </c>
      <c r="N24" s="34"/>
    </row>
    <row r="25" spans="1:14" x14ac:dyDescent="0.2">
      <c r="A25" s="33">
        <v>0.73512475968943258</v>
      </c>
      <c r="B25" s="34">
        <v>34</v>
      </c>
      <c r="C25" s="33">
        <v>0.31633616619452309</v>
      </c>
      <c r="D25" s="33">
        <v>0.36363636363636359</v>
      </c>
      <c r="E25" s="33">
        <v>0.58711433756805809</v>
      </c>
      <c r="F25" s="33">
        <v>0.38626126126126126</v>
      </c>
      <c r="G25" s="33">
        <v>0.37063435495367059</v>
      </c>
      <c r="H25" s="33">
        <v>0.17668933414814916</v>
      </c>
      <c r="I25" s="33">
        <v>0.24273756770063984</v>
      </c>
      <c r="J25" s="34">
        <v>1</v>
      </c>
      <c r="K25" s="54">
        <v>1</v>
      </c>
      <c r="L25" s="54">
        <v>0</v>
      </c>
      <c r="M25" s="54">
        <v>0</v>
      </c>
      <c r="N25" s="34"/>
    </row>
    <row r="26" spans="1:14" x14ac:dyDescent="0.2">
      <c r="A26" s="33">
        <v>0.28822220200981707</v>
      </c>
      <c r="B26" s="34">
        <v>145</v>
      </c>
      <c r="C26" s="33">
        <v>0.11614730878186973</v>
      </c>
      <c r="D26" s="33">
        <v>0.20454545454545459</v>
      </c>
      <c r="E26" s="33">
        <v>0.17513611615245001</v>
      </c>
      <c r="F26" s="33">
        <v>0.23367117117117123</v>
      </c>
      <c r="G26" s="33">
        <v>0.1047754811119032</v>
      </c>
      <c r="H26" s="33">
        <v>0.48185517949784817</v>
      </c>
      <c r="I26" s="33">
        <v>0.32447070408665679</v>
      </c>
      <c r="J26" s="34">
        <v>3</v>
      </c>
      <c r="K26" s="54">
        <v>0</v>
      </c>
      <c r="L26" s="54">
        <v>0</v>
      </c>
      <c r="M26" s="54">
        <v>1</v>
      </c>
      <c r="N26" s="34"/>
    </row>
    <row r="27" spans="1:14" x14ac:dyDescent="0.2">
      <c r="A27" s="33">
        <v>0.52562590277200427</v>
      </c>
      <c r="B27" s="34">
        <v>47</v>
      </c>
      <c r="C27" s="33">
        <v>0.45042492917847021</v>
      </c>
      <c r="D27" s="33">
        <v>0.48553719008264457</v>
      </c>
      <c r="E27" s="33">
        <v>0.70780399274047168</v>
      </c>
      <c r="F27" s="33">
        <v>0.45157657657657641</v>
      </c>
      <c r="G27" s="33">
        <v>0.54383464005702042</v>
      </c>
      <c r="H27" s="33">
        <v>7.8261321821893409E-2</v>
      </c>
      <c r="I27" s="33">
        <v>0.30182176267848332</v>
      </c>
      <c r="J27" s="34">
        <v>1</v>
      </c>
      <c r="K27" s="54">
        <v>1</v>
      </c>
      <c r="L27" s="54">
        <v>0</v>
      </c>
      <c r="M27" s="54">
        <v>0</v>
      </c>
      <c r="N27" s="34"/>
    </row>
    <row r="28" spans="1:14" x14ac:dyDescent="0.2">
      <c r="A28" s="33">
        <v>0.83124053975539258</v>
      </c>
      <c r="B28" s="34">
        <v>134</v>
      </c>
      <c r="C28" s="33">
        <v>0.52596789423984891</v>
      </c>
      <c r="D28" s="33">
        <v>0.60330578512396693</v>
      </c>
      <c r="E28" s="33">
        <v>0.51088929219600654</v>
      </c>
      <c r="F28" s="33">
        <v>0.5326576576576576</v>
      </c>
      <c r="G28" s="33">
        <v>0.54526015680684237</v>
      </c>
      <c r="H28" s="33">
        <v>0.45520030165520298</v>
      </c>
      <c r="I28" s="33">
        <v>0.62826193993106838</v>
      </c>
      <c r="J28" s="34">
        <v>2</v>
      </c>
      <c r="K28" s="54">
        <v>0</v>
      </c>
      <c r="L28" s="54">
        <v>1</v>
      </c>
      <c r="M28" s="54">
        <v>0</v>
      </c>
      <c r="N28" s="34"/>
    </row>
    <row r="29" spans="1:14" x14ac:dyDescent="0.2">
      <c r="A29" s="33">
        <v>0.66644000284243698</v>
      </c>
      <c r="B29" s="34">
        <v>17</v>
      </c>
      <c r="C29" s="33">
        <v>0.32105760151085933</v>
      </c>
      <c r="D29" s="33">
        <v>0.29338842975206608</v>
      </c>
      <c r="E29" s="33">
        <v>1</v>
      </c>
      <c r="F29" s="33">
        <v>0.12387387387387375</v>
      </c>
      <c r="G29" s="33">
        <v>0.53670705630791149</v>
      </c>
      <c r="H29" s="33">
        <v>0.58106333459023007</v>
      </c>
      <c r="I29" s="33">
        <v>0.12900049236829128</v>
      </c>
      <c r="J29" s="34">
        <v>1</v>
      </c>
      <c r="K29" s="54">
        <v>1</v>
      </c>
      <c r="L29" s="54">
        <v>0</v>
      </c>
      <c r="M29" s="54">
        <v>0</v>
      </c>
      <c r="N29" s="34"/>
    </row>
    <row r="30" spans="1:14" x14ac:dyDescent="0.2">
      <c r="A30" s="33">
        <v>5.0808058046424631E-2</v>
      </c>
      <c r="B30" s="34">
        <v>70</v>
      </c>
      <c r="C30" s="33">
        <v>0.20207743153918797</v>
      </c>
      <c r="D30" s="33">
        <v>0.27685950413223137</v>
      </c>
      <c r="E30" s="33">
        <v>0.34210526315789447</v>
      </c>
      <c r="F30" s="33">
        <v>0.28885135135135132</v>
      </c>
      <c r="G30" s="33">
        <v>0.17961511047754822</v>
      </c>
      <c r="H30" s="33">
        <v>0.35989286039345203</v>
      </c>
      <c r="I30" s="33">
        <v>0.26981782373215168</v>
      </c>
      <c r="J30" s="34">
        <v>1</v>
      </c>
      <c r="K30" s="54">
        <v>1</v>
      </c>
      <c r="L30" s="54">
        <v>0</v>
      </c>
      <c r="M30" s="54">
        <v>0</v>
      </c>
      <c r="N30" s="34"/>
    </row>
    <row r="31" spans="1:14" x14ac:dyDescent="0.2">
      <c r="A31" s="33">
        <v>0.63109700774899091</v>
      </c>
      <c r="B31" s="34">
        <v>162</v>
      </c>
      <c r="C31" s="33">
        <v>0.13503305004721433</v>
      </c>
      <c r="D31" s="33">
        <v>0.19008264462809915</v>
      </c>
      <c r="E31" s="33">
        <v>0.38294010889292124</v>
      </c>
      <c r="F31" s="33">
        <v>0.25394144144144126</v>
      </c>
      <c r="G31" s="33">
        <v>0.12829650748396301</v>
      </c>
      <c r="H31" s="33">
        <v>0.45585042062697478</v>
      </c>
      <c r="I31" s="33">
        <v>0.38847858197932045</v>
      </c>
      <c r="J31" s="34">
        <v>3</v>
      </c>
      <c r="K31" s="54">
        <v>0</v>
      </c>
      <c r="L31" s="54">
        <v>0</v>
      </c>
      <c r="M31" s="54">
        <v>1</v>
      </c>
      <c r="N31" s="34"/>
    </row>
    <row r="32" spans="1:14" x14ac:dyDescent="0.2">
      <c r="A32" s="33">
        <v>0.16889141829601628</v>
      </c>
      <c r="B32" s="34">
        <v>126</v>
      </c>
      <c r="C32" s="33">
        <v>0.77053824362606238</v>
      </c>
      <c r="D32" s="33">
        <v>0.77892561983471065</v>
      </c>
      <c r="E32" s="33">
        <v>0.83303085299455559</v>
      </c>
      <c r="F32" s="33">
        <v>0.68243243243243235</v>
      </c>
      <c r="G32" s="33">
        <v>0.8831076265146115</v>
      </c>
      <c r="H32" s="33">
        <v>0.4450584456955623</v>
      </c>
      <c r="I32" s="33">
        <v>0.72525849335302806</v>
      </c>
      <c r="J32" s="34">
        <v>2</v>
      </c>
      <c r="K32" s="54">
        <v>0</v>
      </c>
      <c r="L32" s="54">
        <v>1</v>
      </c>
      <c r="M32" s="54">
        <v>0</v>
      </c>
      <c r="N32" s="34"/>
    </row>
    <row r="33" spans="1:14" x14ac:dyDescent="0.2">
      <c r="A33" s="33">
        <v>0.51226802443734332</v>
      </c>
      <c r="B33" s="34">
        <v>141</v>
      </c>
      <c r="C33" s="33">
        <v>0.23418319169027388</v>
      </c>
      <c r="D33" s="33">
        <v>0.31198347107438013</v>
      </c>
      <c r="E33" s="33">
        <v>0.36206896551724094</v>
      </c>
      <c r="F33" s="33">
        <v>0.32263513513513542</v>
      </c>
      <c r="G33" s="33">
        <v>0.25944404846756963</v>
      </c>
      <c r="H33" s="33">
        <v>0.5901650001950357</v>
      </c>
      <c r="I33" s="33">
        <v>0.43131462333825682</v>
      </c>
      <c r="J33" s="34">
        <v>3</v>
      </c>
      <c r="K33" s="54">
        <v>0</v>
      </c>
      <c r="L33" s="54">
        <v>0</v>
      </c>
      <c r="M33" s="54">
        <v>1</v>
      </c>
      <c r="N33" s="34"/>
    </row>
    <row r="34" spans="1:14" x14ac:dyDescent="0.2">
      <c r="A34" s="33">
        <v>0.40700280219506157</v>
      </c>
      <c r="B34" s="34">
        <v>110</v>
      </c>
      <c r="C34" s="33">
        <v>0.75165250236071779</v>
      </c>
      <c r="D34" s="33">
        <v>0.78719008264462786</v>
      </c>
      <c r="E34" s="33">
        <v>0.71143375680580712</v>
      </c>
      <c r="F34" s="33">
        <v>0.70608108108108092</v>
      </c>
      <c r="G34" s="33">
        <v>0.74411974340698483</v>
      </c>
      <c r="H34" s="33">
        <v>0.12650014952736352</v>
      </c>
      <c r="I34" s="33">
        <v>0.6770064007877894</v>
      </c>
      <c r="J34" s="34">
        <v>2</v>
      </c>
      <c r="K34" s="54">
        <v>0</v>
      </c>
      <c r="L34" s="54">
        <v>1</v>
      </c>
      <c r="M34" s="54">
        <v>0</v>
      </c>
      <c r="N34" s="34"/>
    </row>
    <row r="35" spans="1:14" x14ac:dyDescent="0.2">
      <c r="A35" s="33">
        <v>0.59318170098462386</v>
      </c>
      <c r="B35" s="34">
        <v>33</v>
      </c>
      <c r="C35" s="33">
        <v>0.33050047214353162</v>
      </c>
      <c r="D35" s="33">
        <v>0.41322314049586778</v>
      </c>
      <c r="E35" s="33">
        <v>0.40653357531760403</v>
      </c>
      <c r="F35" s="33">
        <v>0.46058558558558543</v>
      </c>
      <c r="G35" s="33">
        <v>0.39629365645046322</v>
      </c>
      <c r="H35" s="33">
        <v>0.41021206880859201</v>
      </c>
      <c r="I35" s="33">
        <v>0.38404726735598244</v>
      </c>
      <c r="J35" s="34">
        <v>1</v>
      </c>
      <c r="K35" s="54">
        <v>1</v>
      </c>
      <c r="L35" s="54">
        <v>0</v>
      </c>
      <c r="M35" s="54">
        <v>0</v>
      </c>
      <c r="N35" s="34"/>
    </row>
    <row r="36" spans="1:14" x14ac:dyDescent="0.2">
      <c r="A36" s="33">
        <v>0.64153304796807697</v>
      </c>
      <c r="B36" s="34">
        <v>24</v>
      </c>
      <c r="C36" s="33">
        <v>0.14069877242681778</v>
      </c>
      <c r="D36" s="33">
        <v>0.16942148760330586</v>
      </c>
      <c r="E36" s="33">
        <v>0.5290381125226854</v>
      </c>
      <c r="F36" s="33">
        <v>0.11261261261261273</v>
      </c>
      <c r="G36" s="33">
        <v>0.21810406272273694</v>
      </c>
      <c r="H36" s="33">
        <v>8.4502463950903023E-2</v>
      </c>
      <c r="I36" s="33">
        <v>0.21762678483505674</v>
      </c>
      <c r="J36" s="34">
        <v>1</v>
      </c>
      <c r="K36" s="54">
        <v>1</v>
      </c>
      <c r="L36" s="54">
        <v>0</v>
      </c>
      <c r="M36" s="54">
        <v>0</v>
      </c>
      <c r="N36" s="34"/>
    </row>
    <row r="37" spans="1:14" x14ac:dyDescent="0.2">
      <c r="A37" s="33">
        <v>0.41725088368106666</v>
      </c>
      <c r="B37" s="34">
        <v>68</v>
      </c>
      <c r="C37" s="33">
        <v>0.32294617563739375</v>
      </c>
      <c r="D37" s="33">
        <v>0.38842975206611552</v>
      </c>
      <c r="E37" s="33">
        <v>0.49364791288566262</v>
      </c>
      <c r="F37" s="33">
        <v>0.3997747747747748</v>
      </c>
      <c r="G37" s="33">
        <v>0.37633642195295786</v>
      </c>
      <c r="H37" s="33">
        <v>0.18878154702310526</v>
      </c>
      <c r="I37" s="33">
        <v>0.30182176267848332</v>
      </c>
      <c r="J37" s="34">
        <v>1</v>
      </c>
      <c r="K37" s="54">
        <v>1</v>
      </c>
      <c r="L37" s="54">
        <v>0</v>
      </c>
      <c r="M37" s="54">
        <v>0</v>
      </c>
      <c r="N37" s="34"/>
    </row>
    <row r="38" spans="1:14" x14ac:dyDescent="0.2">
      <c r="A38" s="33">
        <v>0.40556620977248059</v>
      </c>
      <c r="B38" s="34">
        <v>71</v>
      </c>
      <c r="C38" s="33">
        <v>0.66477809254013209</v>
      </c>
      <c r="D38" s="33">
        <v>0.73760330578512401</v>
      </c>
      <c r="E38" s="33">
        <v>0.53720508166969094</v>
      </c>
      <c r="F38" s="33">
        <v>0.72747747747747749</v>
      </c>
      <c r="G38" s="33">
        <v>0.66357804704205259</v>
      </c>
      <c r="H38" s="33">
        <v>0.4304957807278732</v>
      </c>
      <c r="I38" s="33">
        <v>0.75873953717380582</v>
      </c>
      <c r="J38" s="34">
        <v>2</v>
      </c>
      <c r="K38" s="54">
        <v>0</v>
      </c>
      <c r="L38" s="54">
        <v>1</v>
      </c>
      <c r="M38" s="54">
        <v>0</v>
      </c>
      <c r="N38" s="34"/>
    </row>
    <row r="39" spans="1:14" x14ac:dyDescent="0.2">
      <c r="A39" s="33">
        <v>0.51509291465176732</v>
      </c>
      <c r="B39" s="34">
        <v>39</v>
      </c>
      <c r="C39" s="33">
        <v>0.39754485363550529</v>
      </c>
      <c r="D39" s="33">
        <v>0.43595041322314038</v>
      </c>
      <c r="E39" s="33">
        <v>0.67332123411978184</v>
      </c>
      <c r="F39" s="33">
        <v>0.42623873873873858</v>
      </c>
      <c r="G39" s="33">
        <v>0.46899501069137539</v>
      </c>
      <c r="H39" s="33">
        <v>0.30515284297026363</v>
      </c>
      <c r="I39" s="33">
        <v>0.38897095027080264</v>
      </c>
      <c r="J39" s="34">
        <v>1</v>
      </c>
      <c r="K39" s="54">
        <v>1</v>
      </c>
      <c r="L39" s="54">
        <v>0</v>
      </c>
      <c r="M39" s="54">
        <v>0</v>
      </c>
      <c r="N39" s="34"/>
    </row>
    <row r="40" spans="1:14" x14ac:dyDescent="0.2">
      <c r="A40" s="33">
        <v>0.7592161381799164</v>
      </c>
      <c r="B40" s="34">
        <v>93</v>
      </c>
      <c r="C40" s="33">
        <v>0.77620396600566566</v>
      </c>
      <c r="D40" s="33">
        <v>0.80165289256198324</v>
      </c>
      <c r="E40" s="33">
        <v>0.7486388384754985</v>
      </c>
      <c r="F40" s="33">
        <v>0.77308558558558582</v>
      </c>
      <c r="G40" s="33">
        <v>0.75766215253029212</v>
      </c>
      <c r="H40" s="33">
        <v>0.32140581726455947</v>
      </c>
      <c r="I40" s="33">
        <v>0.75529295913343186</v>
      </c>
      <c r="J40" s="34">
        <v>2</v>
      </c>
      <c r="K40" s="54">
        <v>0</v>
      </c>
      <c r="L40" s="54">
        <v>1</v>
      </c>
      <c r="M40" s="54">
        <v>0</v>
      </c>
      <c r="N40" s="34"/>
    </row>
    <row r="41" spans="1:14" x14ac:dyDescent="0.2">
      <c r="A41" s="33">
        <v>0.36152548231798953</v>
      </c>
      <c r="B41" s="34">
        <v>113</v>
      </c>
      <c r="C41" s="33">
        <v>0.80642115203021714</v>
      </c>
      <c r="D41" s="33">
        <v>0.80578512396694191</v>
      </c>
      <c r="E41" s="33">
        <v>0.86569872958257676</v>
      </c>
      <c r="F41" s="33">
        <v>0.72297297297297292</v>
      </c>
      <c r="G41" s="33">
        <v>0.90662865288667127</v>
      </c>
      <c r="H41" s="33">
        <v>0.17473897723283363</v>
      </c>
      <c r="I41" s="33">
        <v>0.6917774495322504</v>
      </c>
      <c r="J41" s="34">
        <v>2</v>
      </c>
      <c r="K41" s="54">
        <v>0</v>
      </c>
      <c r="L41" s="54">
        <v>1</v>
      </c>
      <c r="M41" s="54">
        <v>0</v>
      </c>
      <c r="N41" s="34"/>
    </row>
    <row r="42" spans="1:14" x14ac:dyDescent="0.2">
      <c r="A42" s="33">
        <v>0.25043623116347646</v>
      </c>
      <c r="B42" s="34">
        <v>191</v>
      </c>
      <c r="C42" s="33">
        <v>3.2105760151085919E-2</v>
      </c>
      <c r="D42" s="33">
        <v>8.0578512396694335E-2</v>
      </c>
      <c r="E42" s="33">
        <v>0.28039927404718634</v>
      </c>
      <c r="F42" s="33">
        <v>8.277027027027041E-2</v>
      </c>
      <c r="G42" s="33">
        <v>6.2009978617248863E-2</v>
      </c>
      <c r="H42" s="33">
        <v>0.60238723686434614</v>
      </c>
      <c r="I42" s="33">
        <v>0.25898572131954695</v>
      </c>
      <c r="J42" s="34">
        <v>3</v>
      </c>
      <c r="K42" s="54">
        <v>0</v>
      </c>
      <c r="L42" s="54">
        <v>0</v>
      </c>
      <c r="M42" s="54">
        <v>1</v>
      </c>
      <c r="N42" s="34"/>
    </row>
    <row r="43" spans="1:14" x14ac:dyDescent="0.2">
      <c r="A43" s="33">
        <v>0.17269167930383855</v>
      </c>
      <c r="B43" s="34">
        <v>48</v>
      </c>
      <c r="C43" s="33">
        <v>0.41548630783758267</v>
      </c>
      <c r="D43" s="33">
        <v>0.44421487603305793</v>
      </c>
      <c r="E43" s="33">
        <v>0.7277676950998182</v>
      </c>
      <c r="F43" s="33">
        <v>0.37781531531531548</v>
      </c>
      <c r="G43" s="33">
        <v>0.53243050605844588</v>
      </c>
      <c r="H43" s="33">
        <v>0.28512917863969112</v>
      </c>
      <c r="I43" s="33">
        <v>0.32299359921221066</v>
      </c>
      <c r="J43" s="34">
        <v>1</v>
      </c>
      <c r="K43" s="54">
        <v>1</v>
      </c>
      <c r="L43" s="54">
        <v>0</v>
      </c>
      <c r="M43" s="54">
        <v>0</v>
      </c>
      <c r="N43" s="34"/>
    </row>
    <row r="44" spans="1:14" x14ac:dyDescent="0.2">
      <c r="A44" s="33">
        <v>0.30823511865352315</v>
      </c>
      <c r="B44" s="34">
        <v>75</v>
      </c>
      <c r="C44" s="33">
        <v>0.5882908404154864</v>
      </c>
      <c r="D44" s="33">
        <v>0.64049586776859502</v>
      </c>
      <c r="E44" s="33">
        <v>0.63974591651542678</v>
      </c>
      <c r="F44" s="33">
        <v>0.62950450450450479</v>
      </c>
      <c r="G44" s="33">
        <v>0.61012116892373491</v>
      </c>
      <c r="H44" s="33">
        <v>0.42113406753435878</v>
      </c>
      <c r="I44" s="33">
        <v>0.65091088133924191</v>
      </c>
      <c r="J44" s="34">
        <v>2</v>
      </c>
      <c r="K44" s="54">
        <v>0</v>
      </c>
      <c r="L44" s="54">
        <v>1</v>
      </c>
      <c r="M44" s="54">
        <v>0</v>
      </c>
      <c r="N44" s="34"/>
    </row>
    <row r="45" spans="1:14" x14ac:dyDescent="0.2">
      <c r="A45" s="33">
        <v>0.38099509350465555</v>
      </c>
      <c r="B45" s="34">
        <v>29</v>
      </c>
      <c r="C45" s="33">
        <v>0.33238904627006605</v>
      </c>
      <c r="D45" s="33">
        <v>0.36570247933884292</v>
      </c>
      <c r="E45" s="33">
        <v>0.67059891107078029</v>
      </c>
      <c r="F45" s="33">
        <v>0.36148648648648674</v>
      </c>
      <c r="G45" s="33">
        <v>0.42124019957234499</v>
      </c>
      <c r="H45" s="33">
        <v>0.25860432459140026</v>
      </c>
      <c r="I45" s="33">
        <v>0.25553914327917293</v>
      </c>
      <c r="J45" s="34">
        <v>1</v>
      </c>
      <c r="K45" s="54">
        <v>1</v>
      </c>
      <c r="L45" s="54">
        <v>0</v>
      </c>
      <c r="M45" s="54">
        <v>0</v>
      </c>
      <c r="N45" s="34"/>
    </row>
    <row r="46" spans="1:14" x14ac:dyDescent="0.2">
      <c r="A46" s="33">
        <v>0.3752210992247158</v>
      </c>
      <c r="B46" s="34">
        <v>5</v>
      </c>
      <c r="C46" s="33">
        <v>0.52407932011331448</v>
      </c>
      <c r="D46" s="33">
        <v>0.53305785123966942</v>
      </c>
      <c r="E46" s="33">
        <v>0.86479128856624288</v>
      </c>
      <c r="F46" s="33">
        <v>0.42736486486486508</v>
      </c>
      <c r="G46" s="33">
        <v>0.66429080541696339</v>
      </c>
      <c r="H46" s="33">
        <v>7.6701036289641006E-2</v>
      </c>
      <c r="I46" s="33">
        <v>0.32299359921221066</v>
      </c>
      <c r="J46" s="34">
        <v>1</v>
      </c>
      <c r="K46" s="54">
        <v>1</v>
      </c>
      <c r="L46" s="54">
        <v>0</v>
      </c>
      <c r="M46" s="54">
        <v>0</v>
      </c>
      <c r="N46" s="34"/>
    </row>
    <row r="47" spans="1:14" x14ac:dyDescent="0.2">
      <c r="A47" s="33">
        <v>0.17888540803454933</v>
      </c>
      <c r="B47" s="34">
        <v>23</v>
      </c>
      <c r="C47" s="33">
        <v>0.4995278564683665</v>
      </c>
      <c r="D47" s="33">
        <v>0.51446280991735538</v>
      </c>
      <c r="E47" s="33">
        <v>0.82304900181488228</v>
      </c>
      <c r="F47" s="33">
        <v>0.40484234234234256</v>
      </c>
      <c r="G47" s="33">
        <v>0.62508909479686381</v>
      </c>
      <c r="H47" s="33">
        <v>0</v>
      </c>
      <c r="I47" s="33">
        <v>0.28163466272772042</v>
      </c>
      <c r="J47" s="34">
        <v>1</v>
      </c>
      <c r="K47" s="54">
        <v>1</v>
      </c>
      <c r="L47" s="54">
        <v>0</v>
      </c>
      <c r="M47" s="54">
        <v>0</v>
      </c>
      <c r="N47" s="34"/>
    </row>
    <row r="48" spans="1:14" x14ac:dyDescent="0.2">
      <c r="A48" s="33">
        <v>0.98041048673201225</v>
      </c>
      <c r="B48" s="34">
        <v>15</v>
      </c>
      <c r="C48" s="33">
        <v>0.2974504249291785</v>
      </c>
      <c r="D48" s="33">
        <v>0.33884297520661172</v>
      </c>
      <c r="E48" s="33">
        <v>0.60163339382940051</v>
      </c>
      <c r="F48" s="33">
        <v>0.32826576576576588</v>
      </c>
      <c r="G48" s="33">
        <v>0.34497505345687801</v>
      </c>
      <c r="H48" s="33">
        <v>0.28174855998647758</v>
      </c>
      <c r="I48" s="33">
        <v>0.15066469719350079</v>
      </c>
      <c r="J48" s="34">
        <v>1</v>
      </c>
      <c r="K48" s="54">
        <v>1</v>
      </c>
      <c r="L48" s="54">
        <v>0</v>
      </c>
      <c r="M48" s="54">
        <v>0</v>
      </c>
      <c r="N48" s="34"/>
    </row>
    <row r="49" spans="1:14" x14ac:dyDescent="0.2">
      <c r="A49" s="33">
        <v>0.6043557762566294</v>
      </c>
      <c r="B49" s="34">
        <v>121</v>
      </c>
      <c r="C49" s="33">
        <v>0.91123701605287999</v>
      </c>
      <c r="D49" s="33">
        <v>0.92975206611570249</v>
      </c>
      <c r="E49" s="33">
        <v>0.74047186932849396</v>
      </c>
      <c r="F49" s="33">
        <v>0.79729729729729759</v>
      </c>
      <c r="G49" s="33">
        <v>0.94939415538132566</v>
      </c>
      <c r="H49" s="33">
        <v>0.66778920542459275</v>
      </c>
      <c r="I49" s="33">
        <v>0.82176267848350559</v>
      </c>
      <c r="J49" s="34">
        <v>2</v>
      </c>
      <c r="K49" s="54">
        <v>0</v>
      </c>
      <c r="L49" s="54">
        <v>1</v>
      </c>
      <c r="M49" s="54">
        <v>0</v>
      </c>
      <c r="N49" s="34"/>
    </row>
    <row r="50" spans="1:14" x14ac:dyDescent="0.2">
      <c r="A50" s="33">
        <v>0.39299634321755195</v>
      </c>
      <c r="B50" s="34">
        <v>156</v>
      </c>
      <c r="C50" s="33">
        <v>5.6657223796033961E-2</v>
      </c>
      <c r="D50" s="33">
        <v>0.1322314049586778</v>
      </c>
      <c r="E50" s="33">
        <v>0.15607985480943737</v>
      </c>
      <c r="F50" s="33">
        <v>0.19763513513513514</v>
      </c>
      <c r="G50" s="33">
        <v>3.207412687099067E-2</v>
      </c>
      <c r="H50" s="33">
        <v>0.65634711152140846</v>
      </c>
      <c r="I50" s="33">
        <v>0.34465780403742013</v>
      </c>
      <c r="J50" s="34">
        <v>3</v>
      </c>
      <c r="K50" s="54">
        <v>0</v>
      </c>
      <c r="L50" s="54">
        <v>0</v>
      </c>
      <c r="M50" s="54">
        <v>1</v>
      </c>
      <c r="N50" s="34"/>
    </row>
    <row r="51" spans="1:14" x14ac:dyDescent="0.2">
      <c r="A51" s="33">
        <v>0.3922906275500897</v>
      </c>
      <c r="B51" s="34">
        <v>136</v>
      </c>
      <c r="C51" s="33">
        <v>0.4523135033050048</v>
      </c>
      <c r="D51" s="33">
        <v>0.46487603305785125</v>
      </c>
      <c r="E51" s="33">
        <v>0.82486388384755005</v>
      </c>
      <c r="F51" s="33">
        <v>0.32545045045045062</v>
      </c>
      <c r="G51" s="33">
        <v>0.59515324305060557</v>
      </c>
      <c r="H51" s="33">
        <v>0.36860445461519464</v>
      </c>
      <c r="I51" s="33">
        <v>0.4529788281634663</v>
      </c>
      <c r="J51" s="34">
        <v>2</v>
      </c>
      <c r="K51" s="54">
        <v>0</v>
      </c>
      <c r="L51" s="54">
        <v>1</v>
      </c>
      <c r="M51" s="54">
        <v>0</v>
      </c>
      <c r="N51" s="34"/>
    </row>
    <row r="52" spans="1:14" x14ac:dyDescent="0.2">
      <c r="A52" s="33">
        <v>0.35816328104686956</v>
      </c>
      <c r="B52" s="34">
        <v>42</v>
      </c>
      <c r="C52" s="33">
        <v>0.27478753541076489</v>
      </c>
      <c r="D52" s="33">
        <v>0.29752066115702469</v>
      </c>
      <c r="E52" s="33">
        <v>0.69963702359346613</v>
      </c>
      <c r="F52" s="33">
        <v>0.25450450450450451</v>
      </c>
      <c r="G52" s="33">
        <v>0.37633642195295786</v>
      </c>
      <c r="H52" s="33">
        <v>0.192942308442445</v>
      </c>
      <c r="I52" s="33">
        <v>0.32348596750369285</v>
      </c>
      <c r="J52" s="34">
        <v>1</v>
      </c>
      <c r="K52" s="54">
        <v>1</v>
      </c>
      <c r="L52" s="54">
        <v>0</v>
      </c>
      <c r="M52" s="54">
        <v>0</v>
      </c>
      <c r="N52" s="34"/>
    </row>
    <row r="53" spans="1:14" x14ac:dyDescent="0.2">
      <c r="A53" s="33">
        <v>0.41084030951444184</v>
      </c>
      <c r="B53" s="34">
        <v>45</v>
      </c>
      <c r="C53" s="33">
        <v>0.42681775259678939</v>
      </c>
      <c r="D53" s="33">
        <v>0.44008264462809898</v>
      </c>
      <c r="E53" s="33">
        <v>0.82123411978221361</v>
      </c>
      <c r="F53" s="33">
        <v>0.38288288288288275</v>
      </c>
      <c r="G53" s="33">
        <v>0.59301496792587316</v>
      </c>
      <c r="H53" s="33">
        <v>0.3072332236799335</v>
      </c>
      <c r="I53" s="33">
        <v>0.32545544066962073</v>
      </c>
      <c r="J53" s="34">
        <v>1</v>
      </c>
      <c r="K53" s="54">
        <v>1</v>
      </c>
      <c r="L53" s="54">
        <v>0</v>
      </c>
      <c r="M53" s="54">
        <v>0</v>
      </c>
      <c r="N53" s="34"/>
    </row>
    <row r="54" spans="1:14" x14ac:dyDescent="0.2">
      <c r="A54" s="33">
        <v>0.19644663169024834</v>
      </c>
      <c r="B54" s="34">
        <v>38</v>
      </c>
      <c r="C54" s="33">
        <v>0.61284230406043427</v>
      </c>
      <c r="D54" s="33">
        <v>0.61363636363636376</v>
      </c>
      <c r="E54" s="33">
        <v>0.9056261343012707</v>
      </c>
      <c r="F54" s="33">
        <v>0.52533783783783783</v>
      </c>
      <c r="G54" s="33">
        <v>0.75053456878118285</v>
      </c>
      <c r="H54" s="33">
        <v>0.28486913105098238</v>
      </c>
      <c r="I54" s="33">
        <v>0.47513540128015758</v>
      </c>
      <c r="J54" s="34">
        <v>1</v>
      </c>
      <c r="K54" s="54">
        <v>1</v>
      </c>
      <c r="L54" s="54">
        <v>0</v>
      </c>
      <c r="M54" s="54">
        <v>0</v>
      </c>
      <c r="N54" s="34"/>
    </row>
    <row r="55" spans="1:14" x14ac:dyDescent="0.2">
      <c r="A55" s="33">
        <v>6.8979543169631619E-3</v>
      </c>
      <c r="B55" s="34">
        <v>171</v>
      </c>
      <c r="C55" s="33">
        <v>4.0604343720491001E-2</v>
      </c>
      <c r="D55" s="33">
        <v>0.12190082644628096</v>
      </c>
      <c r="E55" s="33">
        <v>9.8003629764064654E-2</v>
      </c>
      <c r="F55" s="33">
        <v>0.23986486486486497</v>
      </c>
      <c r="G55" s="33">
        <v>5.060584461867438E-2</v>
      </c>
      <c r="H55" s="33">
        <v>0.77622904991613473</v>
      </c>
      <c r="I55" s="33">
        <v>0.31708517971442651</v>
      </c>
      <c r="J55" s="34">
        <v>3</v>
      </c>
      <c r="K55" s="54">
        <v>0</v>
      </c>
      <c r="L55" s="54">
        <v>0</v>
      </c>
      <c r="M55" s="54">
        <v>1</v>
      </c>
      <c r="N55" s="34"/>
    </row>
    <row r="56" spans="1:14" x14ac:dyDescent="0.2">
      <c r="A56" s="33">
        <v>0.87320939079592397</v>
      </c>
      <c r="B56" s="34">
        <v>14</v>
      </c>
      <c r="C56" s="33">
        <v>0.30122757318224735</v>
      </c>
      <c r="D56" s="33">
        <v>0.34090909090909099</v>
      </c>
      <c r="E56" s="33">
        <v>0.61524500907441015</v>
      </c>
      <c r="F56" s="33">
        <v>0.32657657657657663</v>
      </c>
      <c r="G56" s="33">
        <v>0.37491090520313619</v>
      </c>
      <c r="H56" s="33">
        <v>0.30827341403476843</v>
      </c>
      <c r="I56" s="33">
        <v>0.17380600689315598</v>
      </c>
      <c r="J56" s="34">
        <v>1</v>
      </c>
      <c r="K56" s="54">
        <v>1</v>
      </c>
      <c r="L56" s="54">
        <v>0</v>
      </c>
      <c r="M56" s="54">
        <v>0</v>
      </c>
      <c r="N56" s="34"/>
    </row>
    <row r="57" spans="1:14" x14ac:dyDescent="0.2">
      <c r="A57" s="33">
        <v>0.55871320318551343</v>
      </c>
      <c r="B57" s="34">
        <v>169</v>
      </c>
      <c r="C57" s="33">
        <v>7.1765816808309707E-2</v>
      </c>
      <c r="D57" s="33">
        <v>0.14669421487603287</v>
      </c>
      <c r="E57" s="33">
        <v>0.19056261343012626</v>
      </c>
      <c r="F57" s="33">
        <v>0.15596846846846857</v>
      </c>
      <c r="G57" s="33">
        <v>2.7084818246614573E-2</v>
      </c>
      <c r="H57" s="33">
        <v>0.464431991054363</v>
      </c>
      <c r="I57" s="33">
        <v>0.30182176267848332</v>
      </c>
      <c r="J57" s="34">
        <v>3</v>
      </c>
      <c r="K57" s="54">
        <v>0</v>
      </c>
      <c r="L57" s="54">
        <v>0</v>
      </c>
      <c r="M57" s="54">
        <v>1</v>
      </c>
      <c r="N57" s="34"/>
    </row>
    <row r="58" spans="1:14" x14ac:dyDescent="0.2">
      <c r="A58" s="33">
        <v>0.77623928602946723</v>
      </c>
      <c r="B58" s="34">
        <v>81</v>
      </c>
      <c r="C58" s="33">
        <v>0.56090651558073668</v>
      </c>
      <c r="D58" s="33">
        <v>0.60537190082644621</v>
      </c>
      <c r="E58" s="33">
        <v>0.67332123411978184</v>
      </c>
      <c r="F58" s="33">
        <v>0.5495495495495496</v>
      </c>
      <c r="G58" s="33">
        <v>0.59657875980042763</v>
      </c>
      <c r="H58" s="33">
        <v>0.61981042530783137</v>
      </c>
      <c r="I58" s="33">
        <v>0.67011324470704081</v>
      </c>
      <c r="J58" s="34">
        <v>2</v>
      </c>
      <c r="K58" s="54">
        <v>0</v>
      </c>
      <c r="L58" s="54">
        <v>1</v>
      </c>
      <c r="M58" s="54">
        <v>0</v>
      </c>
      <c r="N58" s="34"/>
    </row>
    <row r="59" spans="1:14" x14ac:dyDescent="0.2">
      <c r="A59" s="33">
        <v>0.52550763338992168</v>
      </c>
      <c r="B59" s="34">
        <v>125</v>
      </c>
      <c r="C59" s="33">
        <v>0.50991501416430596</v>
      </c>
      <c r="D59" s="33">
        <v>0.5123966942148761</v>
      </c>
      <c r="E59" s="33">
        <v>0.89201451905626106</v>
      </c>
      <c r="F59" s="33">
        <v>0.26126126126126153</v>
      </c>
      <c r="G59" s="33">
        <v>0.67854597291518148</v>
      </c>
      <c r="H59" s="33">
        <v>0.33427817290564177</v>
      </c>
      <c r="I59" s="33">
        <v>0.30773018217626791</v>
      </c>
      <c r="J59" s="34">
        <v>2</v>
      </c>
      <c r="K59" s="54">
        <v>0</v>
      </c>
      <c r="L59" s="54">
        <v>1</v>
      </c>
      <c r="M59" s="54">
        <v>0</v>
      </c>
      <c r="N59" s="34"/>
    </row>
    <row r="60" spans="1:14" x14ac:dyDescent="0.2">
      <c r="A60" s="33">
        <v>0.20189777175226808</v>
      </c>
      <c r="B60" s="34">
        <v>109</v>
      </c>
      <c r="C60" s="33">
        <v>0.88290840415486327</v>
      </c>
      <c r="D60" s="33">
        <v>0.93181818181818221</v>
      </c>
      <c r="E60" s="33">
        <v>0.60889292196007228</v>
      </c>
      <c r="F60" s="33">
        <v>1</v>
      </c>
      <c r="G60" s="33">
        <v>0.80755523877405533</v>
      </c>
      <c r="H60" s="33">
        <v>0.32335617417987494</v>
      </c>
      <c r="I60" s="33">
        <v>1</v>
      </c>
      <c r="J60" s="34">
        <v>2</v>
      </c>
      <c r="K60" s="54">
        <v>0</v>
      </c>
      <c r="L60" s="54">
        <v>1</v>
      </c>
      <c r="M60" s="54">
        <v>0</v>
      </c>
      <c r="N60" s="34"/>
    </row>
    <row r="61" spans="1:14" x14ac:dyDescent="0.2">
      <c r="A61" s="33">
        <v>0.92003607382433938</v>
      </c>
      <c r="B61" s="34">
        <v>172</v>
      </c>
      <c r="C61" s="33">
        <v>9.0651558073654478E-2</v>
      </c>
      <c r="D61" s="33">
        <v>0.14256198347107429</v>
      </c>
      <c r="E61" s="33">
        <v>0.33938294010889292</v>
      </c>
      <c r="F61" s="33">
        <v>0.1509009009009008</v>
      </c>
      <c r="G61" s="33">
        <v>0.15324305060584478</v>
      </c>
      <c r="H61" s="33">
        <v>0.77362857402904739</v>
      </c>
      <c r="I61" s="33">
        <v>0.21516494337764666</v>
      </c>
      <c r="J61" s="34">
        <v>3</v>
      </c>
      <c r="K61" s="54">
        <v>0</v>
      </c>
      <c r="L61" s="54">
        <v>0</v>
      </c>
      <c r="M61" s="54">
        <v>1</v>
      </c>
      <c r="N61" s="34"/>
    </row>
    <row r="62" spans="1:14" x14ac:dyDescent="0.2">
      <c r="A62" s="33">
        <v>0.23078605772574723</v>
      </c>
      <c r="B62" s="34">
        <v>61</v>
      </c>
      <c r="C62" s="33">
        <v>7.8375826251180364E-2</v>
      </c>
      <c r="D62" s="33">
        <v>9.2975206611570105E-2</v>
      </c>
      <c r="E62" s="33">
        <v>0.54627949183303026</v>
      </c>
      <c r="F62" s="33">
        <v>6.1373873873873871E-2</v>
      </c>
      <c r="G62" s="33">
        <v>0.15680684248039922</v>
      </c>
      <c r="H62" s="33">
        <v>0.2515830396962645</v>
      </c>
      <c r="I62" s="33">
        <v>4.3328409650418558E-2</v>
      </c>
      <c r="J62" s="34">
        <v>1</v>
      </c>
      <c r="K62" s="54">
        <v>1</v>
      </c>
      <c r="L62" s="54">
        <v>0</v>
      </c>
      <c r="M62" s="54">
        <v>0</v>
      </c>
      <c r="N62" s="34"/>
    </row>
    <row r="63" spans="1:14" x14ac:dyDescent="0.2">
      <c r="A63" s="33">
        <v>0.79301582178611074</v>
      </c>
      <c r="B63" s="34">
        <v>135</v>
      </c>
      <c r="C63" s="33">
        <v>0.46931067044381497</v>
      </c>
      <c r="D63" s="33">
        <v>0.5123966942148761</v>
      </c>
      <c r="E63" s="33">
        <v>0.67332123411978184</v>
      </c>
      <c r="F63" s="33">
        <v>0.49380630630630623</v>
      </c>
      <c r="G63" s="33">
        <v>0.55452601568068405</v>
      </c>
      <c r="H63" s="33">
        <v>0.54699710046938599</v>
      </c>
      <c r="I63" s="33">
        <v>0.65386509108813418</v>
      </c>
      <c r="J63" s="34">
        <v>2</v>
      </c>
      <c r="K63" s="54">
        <v>0</v>
      </c>
      <c r="L63" s="54">
        <v>1</v>
      </c>
      <c r="M63" s="54">
        <v>0</v>
      </c>
      <c r="N63" s="34"/>
    </row>
    <row r="64" spans="1:14" x14ac:dyDescent="0.2">
      <c r="A64" s="33">
        <v>2.7090605378120913E-2</v>
      </c>
      <c r="B64" s="34">
        <v>3</v>
      </c>
      <c r="C64" s="33">
        <v>0.34938621340887621</v>
      </c>
      <c r="D64" s="33">
        <v>0.34710743801652888</v>
      </c>
      <c r="E64" s="33">
        <v>0.87931034482758641</v>
      </c>
      <c r="F64" s="33">
        <v>0.22072072072072094</v>
      </c>
      <c r="G64" s="33">
        <v>0.50392017106201004</v>
      </c>
      <c r="H64" s="33">
        <v>0.25145301590191005</v>
      </c>
      <c r="I64" s="33">
        <v>0.15066469719350079</v>
      </c>
      <c r="J64" s="34">
        <v>1</v>
      </c>
      <c r="K64" s="54">
        <v>1</v>
      </c>
      <c r="L64" s="54">
        <v>0</v>
      </c>
      <c r="M64" s="54">
        <v>0</v>
      </c>
      <c r="N64" s="34"/>
    </row>
    <row r="65" spans="1:15" x14ac:dyDescent="0.2">
      <c r="A65" s="33">
        <v>0.16569279172608287</v>
      </c>
      <c r="B65" s="34">
        <v>155</v>
      </c>
      <c r="C65" s="33">
        <v>7.271010387157692E-2</v>
      </c>
      <c r="D65" s="33">
        <v>0.1322314049586778</v>
      </c>
      <c r="E65" s="33">
        <v>0.27313974591651463</v>
      </c>
      <c r="F65" s="33">
        <v>0.15540540540540532</v>
      </c>
      <c r="G65" s="33">
        <v>8.9094796863863124E-2</v>
      </c>
      <c r="H65" s="33">
        <v>0.42685511448595098</v>
      </c>
      <c r="I65" s="33">
        <v>0.36632200886262917</v>
      </c>
      <c r="J65" s="34">
        <v>3</v>
      </c>
      <c r="K65" s="54">
        <v>0</v>
      </c>
      <c r="L65" s="54">
        <v>0</v>
      </c>
      <c r="M65" s="54">
        <v>1</v>
      </c>
      <c r="N65" s="34"/>
    </row>
    <row r="66" spans="1:15" x14ac:dyDescent="0.2">
      <c r="A66" s="33">
        <v>0.89850256729071787</v>
      </c>
      <c r="B66" s="34">
        <v>19</v>
      </c>
      <c r="C66" s="33">
        <v>0.38810198300283283</v>
      </c>
      <c r="D66" s="33">
        <v>0.37190082644628114</v>
      </c>
      <c r="E66" s="33">
        <v>0.97277676950998182</v>
      </c>
      <c r="F66" s="33">
        <v>0.17229729729729734</v>
      </c>
      <c r="G66" s="33">
        <v>0.59586600142551671</v>
      </c>
      <c r="H66" s="33">
        <v>0.13027083956364016</v>
      </c>
      <c r="I66" s="33">
        <v>6.400787789266367E-2</v>
      </c>
      <c r="J66" s="34">
        <v>1</v>
      </c>
      <c r="K66" s="54">
        <v>1</v>
      </c>
      <c r="L66" s="54">
        <v>0</v>
      </c>
      <c r="M66" s="54">
        <v>0</v>
      </c>
      <c r="N66" s="34"/>
    </row>
    <row r="67" spans="1:15" x14ac:dyDescent="0.2">
      <c r="A67" s="33">
        <v>6.4258868492565901E-2</v>
      </c>
      <c r="B67" s="34">
        <v>159</v>
      </c>
      <c r="C67" s="33">
        <v>0.10953729933899907</v>
      </c>
      <c r="D67" s="33">
        <v>0.22933884297520651</v>
      </c>
      <c r="E67" s="33">
        <v>9.0744101633383862E-4</v>
      </c>
      <c r="F67" s="33">
        <v>0.30686936936936937</v>
      </c>
      <c r="G67" s="33">
        <v>3.4212401995723465E-2</v>
      </c>
      <c r="H67" s="33">
        <v>0.46976296662289208</v>
      </c>
      <c r="I67" s="33">
        <v>0.38946331856228439</v>
      </c>
      <c r="J67" s="34">
        <v>3</v>
      </c>
      <c r="K67" s="54">
        <v>0</v>
      </c>
      <c r="L67" s="54">
        <v>0</v>
      </c>
      <c r="M67" s="54">
        <v>1</v>
      </c>
      <c r="N67" s="34"/>
    </row>
    <row r="68" spans="1:15" x14ac:dyDescent="0.2">
      <c r="A68" s="33">
        <v>0.81240196594378067</v>
      </c>
      <c r="B68" s="34">
        <v>51</v>
      </c>
      <c r="C68" s="33">
        <v>0.36260623229461758</v>
      </c>
      <c r="D68" s="33">
        <v>0.4111570247933885</v>
      </c>
      <c r="E68" s="33">
        <v>0.60798548094373839</v>
      </c>
      <c r="F68" s="33">
        <v>0.38626126126126126</v>
      </c>
      <c r="G68" s="33">
        <v>0.45759087669280091</v>
      </c>
      <c r="H68" s="33">
        <v>0.41736337749808222</v>
      </c>
      <c r="I68" s="33">
        <v>0.30773018217626791</v>
      </c>
      <c r="J68" s="34">
        <v>1</v>
      </c>
      <c r="K68" s="54">
        <v>1</v>
      </c>
      <c r="L68" s="54">
        <v>0</v>
      </c>
      <c r="M68" s="54">
        <v>0</v>
      </c>
      <c r="N68" s="34"/>
    </row>
    <row r="69" spans="1:15" x14ac:dyDescent="0.2">
      <c r="A69" s="33">
        <v>0.95221709854140157</v>
      </c>
      <c r="B69" s="34">
        <v>9</v>
      </c>
      <c r="C69" s="33">
        <v>0.5703493862134088</v>
      </c>
      <c r="D69" s="33">
        <v>0.63016528925619852</v>
      </c>
      <c r="E69" s="33">
        <v>0.60435571687840306</v>
      </c>
      <c r="F69" s="33">
        <v>0.64977477477477485</v>
      </c>
      <c r="G69" s="33">
        <v>0.59515324305060557</v>
      </c>
      <c r="H69" s="33">
        <v>0.16576733542238234</v>
      </c>
      <c r="I69" s="33">
        <v>0.66863613983259473</v>
      </c>
      <c r="J69" s="34">
        <v>1</v>
      </c>
      <c r="K69" s="54">
        <v>1</v>
      </c>
      <c r="L69" s="54">
        <v>0</v>
      </c>
      <c r="M69" s="54">
        <v>0</v>
      </c>
      <c r="N69" s="34"/>
      <c r="O69" s="10"/>
    </row>
    <row r="70" spans="1:15" x14ac:dyDescent="0.2">
      <c r="A70" s="33">
        <v>0.96104493738655905</v>
      </c>
      <c r="B70" s="34">
        <v>97</v>
      </c>
      <c r="C70" s="33">
        <v>0.8234183191690273</v>
      </c>
      <c r="D70" s="33">
        <v>0.86363636363636365</v>
      </c>
      <c r="E70" s="33">
        <v>0.66606170598911008</v>
      </c>
      <c r="F70" s="33">
        <v>0.81193693693693714</v>
      </c>
      <c r="G70" s="33">
        <v>0.84105488239486792</v>
      </c>
      <c r="H70" s="33">
        <v>0.35261152790960748</v>
      </c>
      <c r="I70" s="33">
        <v>0.84638109305760734</v>
      </c>
      <c r="J70" s="34">
        <v>2</v>
      </c>
      <c r="K70" s="54">
        <v>0</v>
      </c>
      <c r="L70" s="54">
        <v>1</v>
      </c>
      <c r="M70" s="54">
        <v>0</v>
      </c>
      <c r="N70" s="34"/>
    </row>
    <row r="71" spans="1:15" x14ac:dyDescent="0.2">
      <c r="A71" s="33">
        <v>0.98228836981363221</v>
      </c>
      <c r="B71" s="34">
        <v>56</v>
      </c>
      <c r="C71" s="33">
        <v>0.41926345609065152</v>
      </c>
      <c r="D71" s="33">
        <v>0.48760330578512384</v>
      </c>
      <c r="E71" s="33">
        <v>0.5235934664246823</v>
      </c>
      <c r="F71" s="33">
        <v>0.45213963963963966</v>
      </c>
      <c r="G71" s="33">
        <v>0.41482537419814691</v>
      </c>
      <c r="H71" s="33">
        <v>0.15185478942646505</v>
      </c>
      <c r="I71" s="33">
        <v>0.4529788281634663</v>
      </c>
      <c r="J71" s="34">
        <v>1</v>
      </c>
      <c r="K71" s="54">
        <v>1</v>
      </c>
      <c r="L71" s="54">
        <v>0</v>
      </c>
      <c r="M71" s="54">
        <v>0</v>
      </c>
      <c r="N71" s="34"/>
    </row>
    <row r="72" spans="1:15" x14ac:dyDescent="0.2">
      <c r="A72" s="33">
        <v>0.9740699177248946</v>
      </c>
      <c r="B72" s="34">
        <v>99</v>
      </c>
      <c r="C72" s="33">
        <v>0.71576959395656303</v>
      </c>
      <c r="D72" s="33">
        <v>0.79545454545454575</v>
      </c>
      <c r="E72" s="33">
        <v>0.50453720508166966</v>
      </c>
      <c r="F72" s="33">
        <v>0.77252252252252251</v>
      </c>
      <c r="G72" s="33">
        <v>0.62865288667141828</v>
      </c>
      <c r="H72" s="33">
        <v>0.27147668023248261</v>
      </c>
      <c r="I72" s="33">
        <v>0.86361398325947802</v>
      </c>
      <c r="J72" s="34">
        <v>2</v>
      </c>
      <c r="K72" s="54">
        <v>0</v>
      </c>
      <c r="L72" s="54">
        <v>1</v>
      </c>
      <c r="M72" s="54">
        <v>0</v>
      </c>
      <c r="N72" s="34"/>
    </row>
    <row r="73" spans="1:15" x14ac:dyDescent="0.2">
      <c r="A73" s="33">
        <v>0.66042290027063744</v>
      </c>
      <c r="B73" s="34">
        <v>178</v>
      </c>
      <c r="C73" s="33">
        <v>1.4164305949008532E-2</v>
      </c>
      <c r="D73" s="33">
        <v>6.61157024793389E-2</v>
      </c>
      <c r="E73" s="33">
        <v>0.22504537205081615</v>
      </c>
      <c r="F73" s="33">
        <v>0.13851351351351326</v>
      </c>
      <c r="G73" s="33">
        <v>8.5531004989308664E-3</v>
      </c>
      <c r="H73" s="33">
        <v>0.51189067599370686</v>
      </c>
      <c r="I73" s="33">
        <v>0.21861152141802068</v>
      </c>
      <c r="J73" s="34">
        <v>3</v>
      </c>
      <c r="K73" s="54">
        <v>0</v>
      </c>
      <c r="L73" s="54">
        <v>0</v>
      </c>
      <c r="M73" s="54">
        <v>1</v>
      </c>
      <c r="N73" s="34"/>
    </row>
    <row r="74" spans="1:15" x14ac:dyDescent="0.2">
      <c r="A74" s="33">
        <v>0.31669076712052346</v>
      </c>
      <c r="B74" s="34">
        <v>49</v>
      </c>
      <c r="C74" s="33">
        <v>0.39660056657223791</v>
      </c>
      <c r="D74" s="33">
        <v>0.43595041322314038</v>
      </c>
      <c r="E74" s="33">
        <v>0.66969147005444651</v>
      </c>
      <c r="F74" s="33">
        <v>0.36373873873873874</v>
      </c>
      <c r="G74" s="33">
        <v>0.47113328581610819</v>
      </c>
      <c r="H74" s="33">
        <v>0.25210313487368197</v>
      </c>
      <c r="I74" s="33">
        <v>0.29148202855736077</v>
      </c>
      <c r="J74" s="34">
        <v>1</v>
      </c>
      <c r="K74" s="54">
        <v>1</v>
      </c>
      <c r="L74" s="54">
        <v>0</v>
      </c>
      <c r="M74" s="54">
        <v>0</v>
      </c>
      <c r="N74" s="34"/>
    </row>
    <row r="75" spans="1:15" x14ac:dyDescent="0.2">
      <c r="A75" s="33">
        <v>0.61019951435424136</v>
      </c>
      <c r="B75" s="34">
        <v>54</v>
      </c>
      <c r="C75" s="33">
        <v>0.35316336166194523</v>
      </c>
      <c r="D75" s="33">
        <v>0.38636363636363619</v>
      </c>
      <c r="E75" s="33">
        <v>0.6805807622504535</v>
      </c>
      <c r="F75" s="33">
        <v>0.34065315315315292</v>
      </c>
      <c r="G75" s="33">
        <v>0.4055595153243049</v>
      </c>
      <c r="H75" s="33">
        <v>0.33323798255080683</v>
      </c>
      <c r="I75" s="33">
        <v>0.34711964549483021</v>
      </c>
      <c r="J75" s="34">
        <v>1</v>
      </c>
      <c r="K75" s="54">
        <v>1</v>
      </c>
      <c r="L75" s="54">
        <v>0</v>
      </c>
      <c r="M75" s="54">
        <v>0</v>
      </c>
      <c r="N75" s="34"/>
    </row>
    <row r="76" spans="1:15" x14ac:dyDescent="0.2">
      <c r="A76" s="33">
        <v>0.85131278649669428</v>
      </c>
      <c r="B76" s="34">
        <v>43</v>
      </c>
      <c r="C76" s="33">
        <v>0.24268177525967896</v>
      </c>
      <c r="D76" s="33">
        <v>0.23553719008264476</v>
      </c>
      <c r="E76" s="33">
        <v>0.84210526315789491</v>
      </c>
      <c r="F76" s="33">
        <v>0.13457207207207203</v>
      </c>
      <c r="G76" s="33">
        <v>0.40698503207412684</v>
      </c>
      <c r="H76" s="33">
        <v>0.22050735284557077</v>
      </c>
      <c r="I76" s="33">
        <v>0.12998522895125567</v>
      </c>
      <c r="J76" s="34">
        <v>1</v>
      </c>
      <c r="K76" s="54">
        <v>1</v>
      </c>
      <c r="L76" s="54">
        <v>0</v>
      </c>
      <c r="M76" s="54">
        <v>0</v>
      </c>
      <c r="N76" s="34"/>
    </row>
    <row r="77" spans="1:15" x14ac:dyDescent="0.2">
      <c r="A77" s="33">
        <v>0.23045012929783548</v>
      </c>
      <c r="B77" s="34">
        <v>153</v>
      </c>
      <c r="C77" s="33">
        <v>0.15769593956562794</v>
      </c>
      <c r="D77" s="33">
        <v>0.24586776859504123</v>
      </c>
      <c r="E77" s="33">
        <v>0.22867513611615253</v>
      </c>
      <c r="F77" s="33">
        <v>0.28659909909909931</v>
      </c>
      <c r="G77" s="33">
        <v>0.14468995010691391</v>
      </c>
      <c r="H77" s="33">
        <v>0.51891196088884273</v>
      </c>
      <c r="I77" s="33">
        <v>0.41408173313638619</v>
      </c>
      <c r="J77" s="34">
        <v>3</v>
      </c>
      <c r="K77" s="54">
        <v>0</v>
      </c>
      <c r="L77" s="54">
        <v>0</v>
      </c>
      <c r="M77" s="54">
        <v>1</v>
      </c>
      <c r="N77" s="34"/>
    </row>
    <row r="78" spans="1:15" x14ac:dyDescent="0.2">
      <c r="A78" s="33">
        <v>0.42245455946841126</v>
      </c>
      <c r="B78" s="34">
        <v>164</v>
      </c>
      <c r="C78" s="33">
        <v>0.18508026440037781</v>
      </c>
      <c r="D78" s="33">
        <v>0.23966942148760334</v>
      </c>
      <c r="E78" s="33">
        <v>0.43284936479128838</v>
      </c>
      <c r="F78" s="33">
        <v>0.24436936936936948</v>
      </c>
      <c r="G78" s="33">
        <v>0.24091233071988594</v>
      </c>
      <c r="H78" s="33">
        <v>0.47509394219142104</v>
      </c>
      <c r="I78" s="33">
        <v>0.32348596750369285</v>
      </c>
      <c r="J78" s="34">
        <v>3</v>
      </c>
      <c r="K78" s="54">
        <v>0</v>
      </c>
      <c r="L78" s="54">
        <v>0</v>
      </c>
      <c r="M78" s="54">
        <v>1</v>
      </c>
      <c r="N78" s="34"/>
    </row>
    <row r="79" spans="1:15" x14ac:dyDescent="0.2">
      <c r="A79" s="33">
        <v>0.68589918969432517</v>
      </c>
      <c r="B79" s="34">
        <v>83</v>
      </c>
      <c r="C79" s="33">
        <v>0.90745986779981114</v>
      </c>
      <c r="D79" s="33">
        <v>0.92561983471074394</v>
      </c>
      <c r="E79" s="33">
        <v>0.73774954627949141</v>
      </c>
      <c r="F79" s="33">
        <v>0.78040540540540559</v>
      </c>
      <c r="G79" s="33">
        <v>0.8795438346400567</v>
      </c>
      <c r="H79" s="33">
        <v>0.57313188313461361</v>
      </c>
      <c r="I79" s="33">
        <v>0.82127031019202379</v>
      </c>
      <c r="J79" s="34">
        <v>2</v>
      </c>
      <c r="K79" s="54">
        <v>0</v>
      </c>
      <c r="L79" s="54">
        <v>1</v>
      </c>
      <c r="M79" s="54">
        <v>0</v>
      </c>
      <c r="N79" s="34"/>
    </row>
    <row r="80" spans="1:15" x14ac:dyDescent="0.2">
      <c r="A80" s="33">
        <v>0.97317904010306033</v>
      </c>
      <c r="B80" s="34">
        <v>205</v>
      </c>
      <c r="C80" s="34">
        <v>0.16808309726156745</v>
      </c>
      <c r="D80" s="34">
        <v>0.21900826446281002</v>
      </c>
      <c r="E80" s="34">
        <v>0.44101633393829393</v>
      </c>
      <c r="F80" s="34">
        <v>0.17173423423423409</v>
      </c>
      <c r="G80" s="34">
        <v>0.23521026372059869</v>
      </c>
      <c r="H80" s="34">
        <v>0.41008204501423767</v>
      </c>
      <c r="I80" s="34">
        <v>0.23732151649433791</v>
      </c>
      <c r="J80" s="34">
        <v>3</v>
      </c>
      <c r="K80" s="54">
        <v>0</v>
      </c>
      <c r="L80" s="54">
        <v>0</v>
      </c>
      <c r="M80" s="54">
        <v>1</v>
      </c>
      <c r="N80" s="34"/>
    </row>
    <row r="81" spans="1:15" x14ac:dyDescent="0.2">
      <c r="A81" s="33">
        <v>0.51303695240527636</v>
      </c>
      <c r="B81" s="34">
        <v>108</v>
      </c>
      <c r="C81" s="33">
        <v>0.66477809254013209</v>
      </c>
      <c r="D81" s="33">
        <v>0.7128099173553718</v>
      </c>
      <c r="E81" s="33">
        <v>0.65245009074410154</v>
      </c>
      <c r="F81" s="33">
        <v>0.63851351351351382</v>
      </c>
      <c r="G81" s="33">
        <v>0.67213114754098346</v>
      </c>
      <c r="H81" s="33">
        <v>0.38771795238528656</v>
      </c>
      <c r="I81" s="33">
        <v>0.69423929098966042</v>
      </c>
      <c r="J81" s="34">
        <v>2</v>
      </c>
      <c r="K81" s="54">
        <v>0</v>
      </c>
      <c r="L81" s="54">
        <v>1</v>
      </c>
      <c r="M81" s="54">
        <v>0</v>
      </c>
      <c r="N81" s="34"/>
    </row>
    <row r="82" spans="1:15" x14ac:dyDescent="0.2">
      <c r="A82" s="33">
        <v>0.75038716195306698</v>
      </c>
      <c r="B82" s="34">
        <v>36</v>
      </c>
      <c r="C82" s="33">
        <v>0.52219074598678006</v>
      </c>
      <c r="D82" s="33">
        <v>0.5351239669421487</v>
      </c>
      <c r="E82" s="33">
        <v>0.83393829401088937</v>
      </c>
      <c r="F82" s="33">
        <v>0.45608108108108092</v>
      </c>
      <c r="G82" s="33">
        <v>0.60940841054882378</v>
      </c>
      <c r="H82" s="33">
        <v>0.19567280812388671</v>
      </c>
      <c r="I82" s="33">
        <v>0.45494830132939418</v>
      </c>
      <c r="J82" s="34">
        <v>1</v>
      </c>
      <c r="K82" s="54">
        <v>1</v>
      </c>
      <c r="L82" s="54">
        <v>0</v>
      </c>
      <c r="M82" s="54">
        <v>0</v>
      </c>
      <c r="N82" s="34"/>
    </row>
    <row r="83" spans="1:15" x14ac:dyDescent="0.2">
      <c r="A83" s="33">
        <v>0.25397661656837955</v>
      </c>
      <c r="B83" s="34">
        <v>188</v>
      </c>
      <c r="C83" s="33">
        <v>3.0217186024551489E-2</v>
      </c>
      <c r="D83" s="33">
        <v>8.0578512396694335E-2</v>
      </c>
      <c r="E83" s="33">
        <v>0.26406533575317626</v>
      </c>
      <c r="F83" s="33">
        <v>0.10641891891891896</v>
      </c>
      <c r="G83" s="33">
        <v>3.207412687099067E-2</v>
      </c>
      <c r="H83" s="33">
        <v>0.44388823154637308</v>
      </c>
      <c r="I83" s="33">
        <v>0.21516494337764666</v>
      </c>
      <c r="J83" s="34">
        <v>3</v>
      </c>
      <c r="K83" s="54">
        <v>0</v>
      </c>
      <c r="L83" s="54">
        <v>0</v>
      </c>
      <c r="M83" s="54">
        <v>1</v>
      </c>
      <c r="N83" s="34"/>
    </row>
    <row r="84" spans="1:15" x14ac:dyDescent="0.2">
      <c r="A84" s="33">
        <v>0.79912901868533293</v>
      </c>
      <c r="B84" s="34">
        <v>62</v>
      </c>
      <c r="C84" s="33">
        <v>6.0434372049102979E-2</v>
      </c>
      <c r="D84" s="33">
        <v>4.5454545454545588E-2</v>
      </c>
      <c r="E84" s="33">
        <v>0.68874773139745904</v>
      </c>
      <c r="F84" s="33">
        <v>1.6891891891892535E-3</v>
      </c>
      <c r="G84" s="33">
        <v>0.17747683535281542</v>
      </c>
      <c r="H84" s="33">
        <v>0.19554278432953234</v>
      </c>
      <c r="I84" s="33">
        <v>9.0595765632693351E-2</v>
      </c>
      <c r="J84" s="34">
        <v>1</v>
      </c>
      <c r="K84" s="54">
        <v>1</v>
      </c>
      <c r="L84" s="54">
        <v>0</v>
      </c>
      <c r="M84" s="54">
        <v>0</v>
      </c>
      <c r="N84" s="34"/>
      <c r="O84" s="10">
        <v>0.75572671269379821</v>
      </c>
    </row>
    <row r="85" spans="1:15" x14ac:dyDescent="0.2">
      <c r="A85" s="33">
        <v>0.79380994855265352</v>
      </c>
      <c r="B85" s="34">
        <v>175</v>
      </c>
      <c r="C85" s="33">
        <v>2.266288951841362E-2</v>
      </c>
      <c r="D85" s="33">
        <v>0.11363636363636379</v>
      </c>
      <c r="E85" s="33">
        <v>1.6333938294010104E-2</v>
      </c>
      <c r="F85" s="33">
        <v>0.21340090090090066</v>
      </c>
      <c r="G85" s="33">
        <v>7.8403421240200409E-3</v>
      </c>
      <c r="H85" s="33">
        <v>0.57430209728380299</v>
      </c>
      <c r="I85" s="33">
        <v>0.32791728212703081</v>
      </c>
      <c r="J85" s="34">
        <v>3</v>
      </c>
      <c r="K85" s="54">
        <v>0</v>
      </c>
      <c r="L85" s="54">
        <v>0</v>
      </c>
      <c r="M85" s="54">
        <v>1</v>
      </c>
      <c r="N85" s="34"/>
    </row>
    <row r="86" spans="1:15" x14ac:dyDescent="0.2">
      <c r="A86" s="33">
        <v>0.39610202443221898</v>
      </c>
      <c r="B86" s="34">
        <v>20</v>
      </c>
      <c r="C86" s="33">
        <v>0.20113314447592076</v>
      </c>
      <c r="D86" s="33">
        <v>0.23966942148760334</v>
      </c>
      <c r="E86" s="33">
        <v>0.54900181488203281</v>
      </c>
      <c r="F86" s="33">
        <v>0.18412162162162163</v>
      </c>
      <c r="G86" s="33">
        <v>0.29864575908766922</v>
      </c>
      <c r="H86" s="33">
        <v>0.43387639938108685</v>
      </c>
      <c r="I86" s="33">
        <v>0.1944854751354011</v>
      </c>
      <c r="J86" s="34">
        <v>1</v>
      </c>
      <c r="K86" s="54">
        <v>1</v>
      </c>
      <c r="L86" s="54">
        <v>0</v>
      </c>
      <c r="M86" s="54">
        <v>0</v>
      </c>
      <c r="N86" s="34"/>
    </row>
    <row r="87" spans="1:15" x14ac:dyDescent="0.2">
      <c r="A87" s="33">
        <v>0.23343397771154351</v>
      </c>
      <c r="B87" s="34">
        <v>44</v>
      </c>
      <c r="C87" s="33">
        <v>0.46364494806421153</v>
      </c>
      <c r="D87" s="33">
        <v>0.50619834710743783</v>
      </c>
      <c r="E87" s="33">
        <v>0.67059891107078029</v>
      </c>
      <c r="F87" s="33">
        <v>0.55067567567567555</v>
      </c>
      <c r="G87" s="33">
        <v>0.54597291518175317</v>
      </c>
      <c r="H87" s="33">
        <v>0.51306089014289624</v>
      </c>
      <c r="I87" s="33">
        <v>0.49679960610536661</v>
      </c>
      <c r="J87" s="34">
        <v>1</v>
      </c>
      <c r="K87" s="54">
        <v>1</v>
      </c>
      <c r="L87" s="54">
        <v>0</v>
      </c>
      <c r="M87" s="54">
        <v>0</v>
      </c>
      <c r="N87" s="34"/>
    </row>
    <row r="88" spans="1:15" x14ac:dyDescent="0.2">
      <c r="A88" s="33">
        <v>0.44752886793370394</v>
      </c>
      <c r="B88" s="34">
        <v>31</v>
      </c>
      <c r="C88" s="33">
        <v>0.24268177525967896</v>
      </c>
      <c r="D88" s="33">
        <v>0.29132231404958681</v>
      </c>
      <c r="E88" s="33">
        <v>0.52722323049001762</v>
      </c>
      <c r="F88" s="33">
        <v>0.31249999999999989</v>
      </c>
      <c r="G88" s="33">
        <v>0.24590163934426235</v>
      </c>
      <c r="H88" s="33">
        <v>1.1702141491893013E-2</v>
      </c>
      <c r="I88" s="33">
        <v>0.26440177252584934</v>
      </c>
      <c r="J88" s="34">
        <v>1</v>
      </c>
      <c r="K88" s="54">
        <v>1</v>
      </c>
      <c r="L88" s="54">
        <v>0</v>
      </c>
      <c r="M88" s="54">
        <v>0</v>
      </c>
      <c r="N88" s="34"/>
    </row>
    <row r="89" spans="1:15" x14ac:dyDescent="0.2">
      <c r="A89" s="33">
        <v>0.34647549991607729</v>
      </c>
      <c r="B89" s="34">
        <v>186</v>
      </c>
      <c r="C89" s="33">
        <v>9.1595845136921691E-2</v>
      </c>
      <c r="D89" s="33">
        <v>0.18595041322314057</v>
      </c>
      <c r="E89" s="33">
        <v>0.10617059891107021</v>
      </c>
      <c r="F89" s="33">
        <v>0.26126126126126153</v>
      </c>
      <c r="G89" s="33">
        <v>3.7776193870277919E-2</v>
      </c>
      <c r="H89" s="33">
        <v>0.42867544760691217</v>
      </c>
      <c r="I89" s="33">
        <v>0.32644017725258512</v>
      </c>
      <c r="J89" s="34">
        <v>3</v>
      </c>
      <c r="K89" s="54">
        <v>0</v>
      </c>
      <c r="L89" s="54">
        <v>0</v>
      </c>
      <c r="M89" s="54">
        <v>1</v>
      </c>
      <c r="N89" s="34"/>
    </row>
    <row r="90" spans="1:15" x14ac:dyDescent="0.2">
      <c r="A90" s="33">
        <v>0.20897505955694295</v>
      </c>
      <c r="B90" s="34">
        <v>144</v>
      </c>
      <c r="C90" s="33">
        <v>0.15391879131255909</v>
      </c>
      <c r="D90" s="33">
        <v>0.18801652892561987</v>
      </c>
      <c r="E90" s="33">
        <v>0.51814882032667831</v>
      </c>
      <c r="F90" s="33">
        <v>0.18299549549549562</v>
      </c>
      <c r="G90" s="33">
        <v>0.2401995723449751</v>
      </c>
      <c r="H90" s="33">
        <v>0.61161892626350634</v>
      </c>
      <c r="I90" s="33">
        <v>0.34564254062038408</v>
      </c>
      <c r="J90" s="34">
        <v>3</v>
      </c>
      <c r="K90" s="54">
        <v>0</v>
      </c>
      <c r="L90" s="54">
        <v>0</v>
      </c>
      <c r="M90" s="54">
        <v>1</v>
      </c>
      <c r="N90" s="34"/>
    </row>
    <row r="91" spans="1:15" x14ac:dyDescent="0.2">
      <c r="A91" s="33">
        <v>8.1086933529418648E-2</v>
      </c>
      <c r="B91" s="34">
        <v>82</v>
      </c>
      <c r="C91" s="33">
        <v>0.76770538243626052</v>
      </c>
      <c r="D91" s="33">
        <v>0.78099173553719037</v>
      </c>
      <c r="E91" s="33">
        <v>0.81306715063520907</v>
      </c>
      <c r="F91" s="33">
        <v>0.62331081081081097</v>
      </c>
      <c r="G91" s="33">
        <v>0.87455452601568062</v>
      </c>
      <c r="H91" s="33">
        <v>0.59276547608212304</v>
      </c>
      <c r="I91" s="33">
        <v>0.66962087641555867</v>
      </c>
      <c r="J91" s="34">
        <v>2</v>
      </c>
      <c r="K91" s="54">
        <v>0</v>
      </c>
      <c r="L91" s="54">
        <v>1</v>
      </c>
      <c r="M91" s="54">
        <v>0</v>
      </c>
      <c r="N91" s="34"/>
    </row>
    <row r="92" spans="1:15" x14ac:dyDescent="0.2">
      <c r="A92" s="33">
        <v>0.98147407165034117</v>
      </c>
      <c r="B92" s="34">
        <v>12</v>
      </c>
      <c r="C92" s="33">
        <v>0.32483474976392818</v>
      </c>
      <c r="D92" s="33">
        <v>0.36157024793388431</v>
      </c>
      <c r="E92" s="33">
        <v>0.64882032667876621</v>
      </c>
      <c r="F92" s="33">
        <v>0.30349099099099086</v>
      </c>
      <c r="G92" s="33">
        <v>0.40698503207412684</v>
      </c>
      <c r="H92" s="33">
        <v>0.12376964984592183</v>
      </c>
      <c r="I92" s="33">
        <v>0.23732151649433791</v>
      </c>
      <c r="J92" s="34">
        <v>1</v>
      </c>
      <c r="K92" s="54">
        <v>1</v>
      </c>
      <c r="L92" s="54">
        <v>0</v>
      </c>
      <c r="M92" s="54">
        <v>0</v>
      </c>
      <c r="N92" s="34"/>
    </row>
    <row r="93" spans="1:15" x14ac:dyDescent="0.2">
      <c r="A93" s="33">
        <v>0.87525734941868527</v>
      </c>
      <c r="B93" s="34">
        <v>160</v>
      </c>
      <c r="C93" s="33">
        <v>8.4985835694051021E-2</v>
      </c>
      <c r="D93" s="33">
        <v>0.16735537190082656</v>
      </c>
      <c r="E93" s="33">
        <v>0.16515426497277677</v>
      </c>
      <c r="F93" s="33">
        <v>0.22804054054054071</v>
      </c>
      <c r="G93" s="33">
        <v>4.6329294369208782E-2</v>
      </c>
      <c r="H93" s="33">
        <v>0.60108699892080253</v>
      </c>
      <c r="I93" s="33">
        <v>0.38946331856228439</v>
      </c>
      <c r="J93" s="34">
        <v>3</v>
      </c>
      <c r="K93" s="54">
        <v>0</v>
      </c>
      <c r="L93" s="54">
        <v>0</v>
      </c>
      <c r="M93" s="54">
        <v>1</v>
      </c>
      <c r="N93" s="34"/>
    </row>
    <row r="94" spans="1:15" x14ac:dyDescent="0.2">
      <c r="A94" s="33">
        <v>0.12038132193308304</v>
      </c>
      <c r="B94" s="34">
        <v>1</v>
      </c>
      <c r="C94" s="33">
        <v>0.44098205854579792</v>
      </c>
      <c r="D94" s="33">
        <v>0.50206611570247928</v>
      </c>
      <c r="E94" s="33">
        <v>0.570780399274047</v>
      </c>
      <c r="F94" s="33">
        <v>0.48648648648648646</v>
      </c>
      <c r="G94" s="33">
        <v>0.48610121168923714</v>
      </c>
      <c r="H94" s="33">
        <v>0.18930164220052273</v>
      </c>
      <c r="I94" s="33">
        <v>0.34515017232890188</v>
      </c>
      <c r="J94" s="34">
        <v>1</v>
      </c>
      <c r="K94" s="54">
        <v>1</v>
      </c>
      <c r="L94" s="54">
        <v>0</v>
      </c>
      <c r="M94" s="54">
        <v>0</v>
      </c>
      <c r="N94" s="34"/>
    </row>
    <row r="95" spans="1:15" x14ac:dyDescent="0.2">
      <c r="A95" s="33">
        <v>0.47189169950733845</v>
      </c>
      <c r="B95" s="34">
        <v>63</v>
      </c>
      <c r="C95" s="33">
        <v>0.16713881019830024</v>
      </c>
      <c r="D95" s="33">
        <v>0.16115702479338831</v>
      </c>
      <c r="E95" s="33">
        <v>0.76406533575317581</v>
      </c>
      <c r="F95" s="33">
        <v>9.9662162162161949E-2</v>
      </c>
      <c r="G95" s="33">
        <v>0.29365645046329281</v>
      </c>
      <c r="H95" s="33">
        <v>0.31919541276053526</v>
      </c>
      <c r="I95" s="33">
        <v>4.234367306745461E-2</v>
      </c>
      <c r="J95" s="34">
        <v>1</v>
      </c>
      <c r="K95" s="54">
        <v>1</v>
      </c>
      <c r="L95" s="54">
        <v>0</v>
      </c>
      <c r="M95" s="54">
        <v>0</v>
      </c>
      <c r="N95" s="34"/>
    </row>
    <row r="96" spans="1:15" x14ac:dyDescent="0.2">
      <c r="A96" s="33">
        <v>0.51377243846308918</v>
      </c>
      <c r="B96" s="34">
        <v>204</v>
      </c>
      <c r="C96" s="34">
        <v>0.19924457034938617</v>
      </c>
      <c r="D96" s="34">
        <v>0.20661157024793389</v>
      </c>
      <c r="E96" s="34">
        <v>0.71960072595281266</v>
      </c>
      <c r="F96" s="34">
        <v>0.15990990990990983</v>
      </c>
      <c r="G96" s="34">
        <v>0.3285816108339274</v>
      </c>
      <c r="H96" s="34">
        <v>1</v>
      </c>
      <c r="I96" s="34">
        <v>0.23682914820285572</v>
      </c>
      <c r="J96" s="34">
        <v>3</v>
      </c>
      <c r="K96" s="54">
        <v>0</v>
      </c>
      <c r="L96" s="54">
        <v>0</v>
      </c>
      <c r="M96" s="54">
        <v>1</v>
      </c>
      <c r="N96" s="34"/>
    </row>
    <row r="97" spans="1:14" x14ac:dyDescent="0.2">
      <c r="A97" s="33">
        <v>0.2661855791366019</v>
      </c>
      <c r="B97" s="34">
        <v>32</v>
      </c>
      <c r="C97" s="33">
        <v>0.46270066100094431</v>
      </c>
      <c r="D97" s="33">
        <v>0.5227272727272726</v>
      </c>
      <c r="E97" s="33">
        <v>0.58348457350272176</v>
      </c>
      <c r="F97" s="33">
        <v>0.48310810810810795</v>
      </c>
      <c r="G97" s="33">
        <v>0.52815395580898061</v>
      </c>
      <c r="H97" s="33">
        <v>0.34415998127657366</v>
      </c>
      <c r="I97" s="33">
        <v>0.34908911866075809</v>
      </c>
      <c r="J97" s="34">
        <v>1</v>
      </c>
      <c r="K97" s="54">
        <v>1</v>
      </c>
      <c r="L97" s="54">
        <v>0</v>
      </c>
      <c r="M97" s="54">
        <v>0</v>
      </c>
      <c r="N97" s="34"/>
    </row>
    <row r="98" spans="1:14" x14ac:dyDescent="0.2">
      <c r="A98" s="33">
        <v>0.74694203850061736</v>
      </c>
      <c r="B98" s="34">
        <v>46</v>
      </c>
      <c r="C98" s="33">
        <v>0.30311614730878195</v>
      </c>
      <c r="D98" s="33">
        <v>0.33677685950413205</v>
      </c>
      <c r="E98" s="33">
        <v>0.64700544464609744</v>
      </c>
      <c r="F98" s="33">
        <v>0.26858108108108131</v>
      </c>
      <c r="G98" s="33">
        <v>0.37419814682822505</v>
      </c>
      <c r="H98" s="33">
        <v>0.10335591413228623</v>
      </c>
      <c r="I98" s="33">
        <v>0.21762678483505674</v>
      </c>
      <c r="J98" s="34">
        <v>1</v>
      </c>
      <c r="K98" s="54">
        <v>1</v>
      </c>
      <c r="L98" s="54">
        <v>0</v>
      </c>
      <c r="M98" s="54">
        <v>0</v>
      </c>
      <c r="N98" s="34"/>
    </row>
    <row r="99" spans="1:14" x14ac:dyDescent="0.2">
      <c r="A99" s="33">
        <v>0.18425267317756755</v>
      </c>
      <c r="B99" s="34">
        <v>137</v>
      </c>
      <c r="C99" s="33">
        <v>0.6392823418319169</v>
      </c>
      <c r="D99" s="33">
        <v>0.69214876033057848</v>
      </c>
      <c r="E99" s="33">
        <v>0.6388384754990919</v>
      </c>
      <c r="F99" s="33">
        <v>0.70157657657657635</v>
      </c>
      <c r="G99" s="33">
        <v>0.67284390591589427</v>
      </c>
      <c r="H99" s="33">
        <v>0.35898269383297143</v>
      </c>
      <c r="I99" s="33">
        <v>0.71491875923190551</v>
      </c>
      <c r="J99" s="34">
        <v>2</v>
      </c>
      <c r="K99" s="54">
        <v>0</v>
      </c>
      <c r="L99" s="54">
        <v>1</v>
      </c>
      <c r="M99" s="54">
        <v>0</v>
      </c>
      <c r="N99" s="34"/>
    </row>
    <row r="100" spans="1:14" x14ac:dyDescent="0.2">
      <c r="A100" s="33">
        <v>0.30893910962325755</v>
      </c>
      <c r="B100" s="34">
        <v>4</v>
      </c>
      <c r="C100" s="33">
        <v>0.3068932955618508</v>
      </c>
      <c r="D100" s="33">
        <v>0.31611570247933873</v>
      </c>
      <c r="E100" s="33">
        <v>0.79310344827586166</v>
      </c>
      <c r="F100" s="33">
        <v>0.23930180180180172</v>
      </c>
      <c r="G100" s="33">
        <v>0.53385602280826794</v>
      </c>
      <c r="H100" s="33">
        <v>0.19424254638598865</v>
      </c>
      <c r="I100" s="33">
        <v>0.14081733136385999</v>
      </c>
      <c r="J100" s="34">
        <v>1</v>
      </c>
      <c r="K100" s="54">
        <v>1</v>
      </c>
      <c r="L100" s="54">
        <v>0</v>
      </c>
      <c r="M100" s="54">
        <v>0</v>
      </c>
      <c r="N100" s="34"/>
    </row>
    <row r="101" spans="1:14" x14ac:dyDescent="0.2">
      <c r="A101" s="33">
        <v>0.2746834087526584</v>
      </c>
      <c r="B101" s="34">
        <v>139</v>
      </c>
      <c r="C101" s="33">
        <v>0.47308781869688382</v>
      </c>
      <c r="D101" s="33">
        <v>0.55785123966942141</v>
      </c>
      <c r="E101" s="33">
        <v>0.45281306715063485</v>
      </c>
      <c r="F101" s="33">
        <v>0.52533783783783783</v>
      </c>
      <c r="G101" s="33">
        <v>0.46756949394155378</v>
      </c>
      <c r="H101" s="33">
        <v>0.25483363455512364</v>
      </c>
      <c r="I101" s="33">
        <v>0.60709010339734115</v>
      </c>
      <c r="J101" s="34">
        <v>2</v>
      </c>
      <c r="K101" s="54">
        <v>0</v>
      </c>
      <c r="L101" s="54">
        <v>1</v>
      </c>
      <c r="M101" s="54">
        <v>0</v>
      </c>
      <c r="N101" s="34"/>
    </row>
    <row r="102" spans="1:14" x14ac:dyDescent="0.2">
      <c r="A102" s="33">
        <v>0.79379936672543161</v>
      </c>
      <c r="B102" s="34">
        <v>193</v>
      </c>
      <c r="C102" s="33">
        <v>0.12086874409820579</v>
      </c>
      <c r="D102" s="33">
        <v>0.12603305785123955</v>
      </c>
      <c r="E102" s="33">
        <v>0.64791288566243133</v>
      </c>
      <c r="F102" s="33">
        <v>0.13119369369369352</v>
      </c>
      <c r="G102" s="33">
        <v>0.23022095509622226</v>
      </c>
      <c r="H102" s="33">
        <v>0.36821438323213151</v>
      </c>
      <c r="I102" s="33">
        <v>0.30182176267848332</v>
      </c>
      <c r="J102" s="34">
        <v>3</v>
      </c>
      <c r="K102" s="54">
        <v>0</v>
      </c>
      <c r="L102" s="54">
        <v>0</v>
      </c>
      <c r="M102" s="54">
        <v>1</v>
      </c>
      <c r="N102" s="34"/>
    </row>
    <row r="103" spans="1:14" x14ac:dyDescent="0.2">
      <c r="A103" s="33">
        <v>0.93493477888925192</v>
      </c>
      <c r="B103" s="34">
        <v>123</v>
      </c>
      <c r="C103" s="33">
        <v>0.52691218130311634</v>
      </c>
      <c r="D103" s="33">
        <v>0.61363636363636376</v>
      </c>
      <c r="E103" s="33">
        <v>0.46007259528130656</v>
      </c>
      <c r="F103" s="33">
        <v>0.48592342342342321</v>
      </c>
      <c r="G103" s="33">
        <v>0.53955808980755515</v>
      </c>
      <c r="H103" s="33">
        <v>0.45780077754229026</v>
      </c>
      <c r="I103" s="33">
        <v>0.58296405711472199</v>
      </c>
      <c r="J103" s="34">
        <v>2</v>
      </c>
      <c r="K103" s="54">
        <v>0</v>
      </c>
      <c r="L103" s="54">
        <v>1</v>
      </c>
      <c r="M103" s="54">
        <v>0</v>
      </c>
      <c r="N103" s="34"/>
    </row>
    <row r="104" spans="1:14" x14ac:dyDescent="0.2">
      <c r="A104" s="33">
        <v>0.46490369913720542</v>
      </c>
      <c r="B104" s="34">
        <v>174</v>
      </c>
      <c r="C104" s="33">
        <v>7.6487252124645938E-2</v>
      </c>
      <c r="D104" s="33">
        <v>0.13842975206611569</v>
      </c>
      <c r="E104" s="33">
        <v>0.26678765880217775</v>
      </c>
      <c r="F104" s="33">
        <v>0.13344594594594603</v>
      </c>
      <c r="G104" s="33">
        <v>9.4796863863150366E-2</v>
      </c>
      <c r="H104" s="33">
        <v>0.62709175779167592</v>
      </c>
      <c r="I104" s="33">
        <v>0.28064992614475648</v>
      </c>
      <c r="J104" s="34">
        <v>3</v>
      </c>
      <c r="K104" s="54">
        <v>0</v>
      </c>
      <c r="L104" s="54">
        <v>0</v>
      </c>
      <c r="M104" s="54">
        <v>1</v>
      </c>
      <c r="N104" s="34"/>
    </row>
    <row r="105" spans="1:14" x14ac:dyDescent="0.2">
      <c r="A105" s="33">
        <v>0.81575047234003029</v>
      </c>
      <c r="B105" s="34">
        <v>208</v>
      </c>
      <c r="C105" s="34">
        <v>0.24645892351274781</v>
      </c>
      <c r="D105" s="34">
        <v>0.25826446280991738</v>
      </c>
      <c r="E105" s="34">
        <v>0.7277676950998182</v>
      </c>
      <c r="F105" s="34">
        <v>0.18975225225225212</v>
      </c>
      <c r="G105" s="34">
        <v>0.429080541696365</v>
      </c>
      <c r="H105" s="34">
        <v>0.98166664499603429</v>
      </c>
      <c r="I105" s="34">
        <v>0.26440177252584934</v>
      </c>
      <c r="J105" s="34">
        <v>3</v>
      </c>
      <c r="K105" s="54">
        <v>0</v>
      </c>
      <c r="L105" s="54">
        <v>0</v>
      </c>
      <c r="M105" s="54">
        <v>1</v>
      </c>
      <c r="N105" s="34"/>
    </row>
    <row r="106" spans="1:14" x14ac:dyDescent="0.2">
      <c r="A106" s="33">
        <v>0.43955052775882208</v>
      </c>
      <c r="B106" s="34">
        <v>65</v>
      </c>
      <c r="C106" s="33">
        <v>0.20679886685552404</v>
      </c>
      <c r="D106" s="33">
        <v>0.23966942148760334</v>
      </c>
      <c r="E106" s="33">
        <v>0.57622504537205099</v>
      </c>
      <c r="F106" s="33">
        <v>0.20439189189189166</v>
      </c>
      <c r="G106" s="33">
        <v>0.28225231646471832</v>
      </c>
      <c r="H106" s="33">
        <v>5.3426777100209336E-2</v>
      </c>
      <c r="I106" s="33">
        <v>0.12949286065977347</v>
      </c>
      <c r="J106" s="34">
        <v>1</v>
      </c>
      <c r="K106" s="54">
        <v>1</v>
      </c>
      <c r="L106" s="54">
        <v>0</v>
      </c>
      <c r="M106" s="54">
        <v>0</v>
      </c>
      <c r="N106" s="34"/>
    </row>
    <row r="107" spans="1:14" x14ac:dyDescent="0.2">
      <c r="A107" s="33">
        <v>0.58860576018266308</v>
      </c>
      <c r="B107" s="34">
        <v>86</v>
      </c>
      <c r="C107" s="33">
        <v>0.72521246458923516</v>
      </c>
      <c r="D107" s="33">
        <v>0.7603305785123966</v>
      </c>
      <c r="E107" s="33">
        <v>0.71597096188747722</v>
      </c>
      <c r="F107" s="33">
        <v>0.7173423423423424</v>
      </c>
      <c r="G107" s="33">
        <v>0.72772630078403389</v>
      </c>
      <c r="H107" s="33">
        <v>0.21816692454719219</v>
      </c>
      <c r="I107" s="33">
        <v>0.82619399310684405</v>
      </c>
      <c r="J107" s="34">
        <v>2</v>
      </c>
      <c r="K107" s="54">
        <v>0</v>
      </c>
      <c r="L107" s="54">
        <v>1</v>
      </c>
      <c r="M107" s="54">
        <v>0</v>
      </c>
      <c r="N107" s="34"/>
    </row>
    <row r="108" spans="1:14" x14ac:dyDescent="0.2">
      <c r="A108" s="33">
        <v>0.8550344626157651</v>
      </c>
      <c r="B108" s="34">
        <v>140</v>
      </c>
      <c r="C108" s="33">
        <v>0.53257790368271962</v>
      </c>
      <c r="D108" s="33">
        <v>0.57231404958677679</v>
      </c>
      <c r="E108" s="33">
        <v>0.69782214156079847</v>
      </c>
      <c r="F108" s="33">
        <v>0.54786036036036034</v>
      </c>
      <c r="G108" s="33">
        <v>0.60014255167498198</v>
      </c>
      <c r="H108" s="33">
        <v>0.39057847586108263</v>
      </c>
      <c r="I108" s="33">
        <v>0.69079271294928601</v>
      </c>
      <c r="J108" s="34">
        <v>2</v>
      </c>
      <c r="K108" s="54">
        <v>0</v>
      </c>
      <c r="L108" s="54">
        <v>1</v>
      </c>
      <c r="M108" s="54">
        <v>0</v>
      </c>
      <c r="N108" s="34"/>
    </row>
    <row r="109" spans="1:14" x14ac:dyDescent="0.2">
      <c r="A109" s="33">
        <v>0.27143520134203181</v>
      </c>
      <c r="B109" s="34">
        <v>138</v>
      </c>
      <c r="C109" s="33">
        <v>0.47025495750708218</v>
      </c>
      <c r="D109" s="33">
        <v>0.56611570247933896</v>
      </c>
      <c r="E109" s="33">
        <v>0.40471869328493637</v>
      </c>
      <c r="F109" s="33">
        <v>0.57488738738738743</v>
      </c>
      <c r="G109" s="33">
        <v>0.42836778332145387</v>
      </c>
      <c r="H109" s="33">
        <v>0.24378161203500245</v>
      </c>
      <c r="I109" s="33">
        <v>0.66962087641555867</v>
      </c>
      <c r="J109" s="34">
        <v>2</v>
      </c>
      <c r="K109" s="54">
        <v>0</v>
      </c>
      <c r="L109" s="54">
        <v>1</v>
      </c>
      <c r="M109" s="54">
        <v>0</v>
      </c>
      <c r="N109" s="34"/>
    </row>
    <row r="110" spans="1:14" x14ac:dyDescent="0.2">
      <c r="A110" s="33">
        <v>0.30649455478554866</v>
      </c>
      <c r="B110" s="34">
        <v>77</v>
      </c>
      <c r="C110" s="33">
        <v>0.63550519357884805</v>
      </c>
      <c r="D110" s="33">
        <v>0.72314049586776863</v>
      </c>
      <c r="E110" s="33">
        <v>0.47005444646097982</v>
      </c>
      <c r="F110" s="33">
        <v>0.65596846846846857</v>
      </c>
      <c r="G110" s="33">
        <v>0.55096222380612958</v>
      </c>
      <c r="H110" s="33">
        <v>0.39772978455057278</v>
      </c>
      <c r="I110" s="33">
        <v>0.69079271294928601</v>
      </c>
      <c r="J110" s="34">
        <v>2</v>
      </c>
      <c r="K110" s="54">
        <v>0</v>
      </c>
      <c r="L110" s="54">
        <v>1</v>
      </c>
      <c r="M110" s="54">
        <v>0</v>
      </c>
      <c r="N110" s="34"/>
    </row>
    <row r="111" spans="1:14" x14ac:dyDescent="0.2">
      <c r="A111" s="33">
        <v>0.3457657112141107</v>
      </c>
      <c r="B111" s="34">
        <v>87</v>
      </c>
      <c r="C111" s="33">
        <v>0.78281397544853626</v>
      </c>
      <c r="D111" s="33">
        <v>0.79545454545454575</v>
      </c>
      <c r="E111" s="33">
        <v>0.80580762250453741</v>
      </c>
      <c r="F111" s="33">
        <v>0.6672297297297296</v>
      </c>
      <c r="G111" s="33">
        <v>0.80826799714896613</v>
      </c>
      <c r="H111" s="33">
        <v>0.11492803182982488</v>
      </c>
      <c r="I111" s="33">
        <v>0.78286558345642543</v>
      </c>
      <c r="J111" s="34">
        <v>2</v>
      </c>
      <c r="K111" s="54">
        <v>0</v>
      </c>
      <c r="L111" s="54">
        <v>1</v>
      </c>
      <c r="M111" s="54">
        <v>0</v>
      </c>
      <c r="N111" s="34"/>
    </row>
    <row r="112" spans="1:14" x14ac:dyDescent="0.2">
      <c r="A112" s="33">
        <v>0.74124787120605884</v>
      </c>
      <c r="B112" s="34">
        <v>203</v>
      </c>
      <c r="C112" s="34">
        <v>5.5712936732766748E-2</v>
      </c>
      <c r="D112" s="34">
        <v>6.404958677685961E-2</v>
      </c>
      <c r="E112" s="34">
        <v>0.54355716878402882</v>
      </c>
      <c r="F112" s="34">
        <v>6.1936936936937123E-2</v>
      </c>
      <c r="G112" s="34">
        <v>0.12829650748396301</v>
      </c>
      <c r="H112" s="34">
        <v>0.42724518586901411</v>
      </c>
      <c r="I112" s="34">
        <v>0.15214180206794692</v>
      </c>
      <c r="J112" s="34">
        <v>3</v>
      </c>
      <c r="K112" s="54">
        <v>0</v>
      </c>
      <c r="L112" s="54">
        <v>0</v>
      </c>
      <c r="M112" s="54">
        <v>1</v>
      </c>
      <c r="N112" s="34"/>
    </row>
    <row r="113" spans="1:14" x14ac:dyDescent="0.2">
      <c r="A113" s="33">
        <v>0.51959478622143551</v>
      </c>
      <c r="B113" s="34">
        <v>165</v>
      </c>
      <c r="C113" s="33">
        <v>5.1935788479697896E-2</v>
      </c>
      <c r="D113" s="33">
        <v>7.851239669421467E-2</v>
      </c>
      <c r="E113" s="33">
        <v>0.43284936479128838</v>
      </c>
      <c r="F113" s="33">
        <v>6.3063063063063127E-2</v>
      </c>
      <c r="G113" s="33">
        <v>0.11689237348538851</v>
      </c>
      <c r="H113" s="33">
        <v>0.73111079327516937</v>
      </c>
      <c r="I113" s="33">
        <v>0.26095519448547527</v>
      </c>
      <c r="J113" s="34">
        <v>3</v>
      </c>
      <c r="K113" s="54">
        <v>0</v>
      </c>
      <c r="L113" s="54">
        <v>0</v>
      </c>
      <c r="M113" s="54">
        <v>1</v>
      </c>
      <c r="N113" s="34"/>
    </row>
    <row r="114" spans="1:14" x14ac:dyDescent="0.2">
      <c r="A114" s="33">
        <v>0.17416043474822196</v>
      </c>
      <c r="B114" s="34">
        <v>143</v>
      </c>
      <c r="C114" s="33">
        <v>0.25967894239848915</v>
      </c>
      <c r="D114" s="33">
        <v>0.31818181818181801</v>
      </c>
      <c r="E114" s="33">
        <v>0.48911070780399241</v>
      </c>
      <c r="F114" s="33">
        <v>0.27590090090090102</v>
      </c>
      <c r="G114" s="33">
        <v>0.31646471846044177</v>
      </c>
      <c r="H114" s="33">
        <v>0.68001144209390318</v>
      </c>
      <c r="I114" s="33">
        <v>0.3879862136878387</v>
      </c>
      <c r="J114" s="34">
        <v>3</v>
      </c>
      <c r="K114" s="54">
        <v>0</v>
      </c>
      <c r="L114" s="54">
        <v>0</v>
      </c>
      <c r="M114" s="54">
        <v>1</v>
      </c>
      <c r="N114" s="34"/>
    </row>
    <row r="115" spans="1:14" x14ac:dyDescent="0.2">
      <c r="A115" s="33">
        <v>7.0902867598755637E-2</v>
      </c>
      <c r="B115" s="34">
        <v>173</v>
      </c>
      <c r="C115" s="33">
        <v>6.4211520302171837E-2</v>
      </c>
      <c r="D115" s="33">
        <v>0.11570247933884308</v>
      </c>
      <c r="E115" s="33">
        <v>0.30671506352087069</v>
      </c>
      <c r="F115" s="33">
        <v>0.10641891891891896</v>
      </c>
      <c r="G115" s="33">
        <v>9.4796863863150366E-2</v>
      </c>
      <c r="H115" s="33">
        <v>0.46079132481244078</v>
      </c>
      <c r="I115" s="33">
        <v>0.23682914820285572</v>
      </c>
      <c r="J115" s="34">
        <v>3</v>
      </c>
      <c r="K115" s="54">
        <v>0</v>
      </c>
      <c r="L115" s="54">
        <v>0</v>
      </c>
      <c r="M115" s="54">
        <v>1</v>
      </c>
      <c r="N115" s="34"/>
    </row>
    <row r="116" spans="1:14" x14ac:dyDescent="0.2">
      <c r="A116" s="33">
        <v>0.35032410954779514</v>
      </c>
      <c r="B116" s="34">
        <v>52</v>
      </c>
      <c r="C116" s="33">
        <v>0.49008498583569399</v>
      </c>
      <c r="D116" s="33">
        <v>0.51652892561983477</v>
      </c>
      <c r="E116" s="33">
        <v>0.76406533575317581</v>
      </c>
      <c r="F116" s="33">
        <v>0.43637387387387411</v>
      </c>
      <c r="G116" s="33">
        <v>0.57305773342836774</v>
      </c>
      <c r="H116" s="33">
        <v>0.62774187676344773</v>
      </c>
      <c r="I116" s="33">
        <v>0.30379123584441164</v>
      </c>
      <c r="J116" s="34">
        <v>1</v>
      </c>
      <c r="K116" s="54">
        <v>1</v>
      </c>
      <c r="L116" s="54">
        <v>0</v>
      </c>
      <c r="M116" s="54">
        <v>0</v>
      </c>
      <c r="N116" s="34"/>
    </row>
    <row r="117" spans="1:14" x14ac:dyDescent="0.2">
      <c r="A117" s="33">
        <v>0.90509574072398413</v>
      </c>
      <c r="B117" s="34">
        <v>73</v>
      </c>
      <c r="C117" s="33">
        <v>0.62983947119924477</v>
      </c>
      <c r="D117" s="33">
        <v>0.68595041322314054</v>
      </c>
      <c r="E117" s="33">
        <v>0.61887477313974548</v>
      </c>
      <c r="F117" s="33">
        <v>0.60754504504504492</v>
      </c>
      <c r="G117" s="33">
        <v>0.68709907341411236</v>
      </c>
      <c r="H117" s="33">
        <v>0.49069679751394507</v>
      </c>
      <c r="I117" s="33">
        <v>0.6262924667651405</v>
      </c>
      <c r="J117" s="34">
        <v>2</v>
      </c>
      <c r="K117" s="54">
        <v>0</v>
      </c>
      <c r="L117" s="54">
        <v>1</v>
      </c>
      <c r="M117" s="54">
        <v>0</v>
      </c>
      <c r="N117" s="34"/>
    </row>
    <row r="118" spans="1:14" x14ac:dyDescent="0.2">
      <c r="A118" s="33">
        <v>0.61859536604289622</v>
      </c>
      <c r="B118" s="34">
        <v>89</v>
      </c>
      <c r="C118" s="33">
        <v>1</v>
      </c>
      <c r="D118" s="33">
        <v>0.99173553719008278</v>
      </c>
      <c r="E118" s="33">
        <v>0.82395644283121616</v>
      </c>
      <c r="F118" s="33">
        <v>0.94256756756756788</v>
      </c>
      <c r="G118" s="33">
        <v>1</v>
      </c>
      <c r="H118" s="33">
        <v>0.65205632630771437</v>
      </c>
      <c r="I118" s="33">
        <v>0.84293451501723293</v>
      </c>
      <c r="J118" s="34">
        <v>2</v>
      </c>
      <c r="K118" s="54">
        <v>0</v>
      </c>
      <c r="L118" s="54">
        <v>1</v>
      </c>
      <c r="M118" s="54">
        <v>0</v>
      </c>
      <c r="N118" s="34"/>
    </row>
    <row r="119" spans="1:14" x14ac:dyDescent="0.2">
      <c r="A119" s="33">
        <v>7.4622815587567337E-2</v>
      </c>
      <c r="B119" s="34">
        <v>53</v>
      </c>
      <c r="C119" s="33">
        <v>0.36827195467422102</v>
      </c>
      <c r="D119" s="33">
        <v>0.45454545454545442</v>
      </c>
      <c r="E119" s="33">
        <v>0.41470054446460958</v>
      </c>
      <c r="F119" s="33">
        <v>0.45945945945945943</v>
      </c>
      <c r="G119" s="33">
        <v>0.34426229508196715</v>
      </c>
      <c r="H119" s="33">
        <v>0.43569673250204788</v>
      </c>
      <c r="I119" s="33">
        <v>0.43180699162973901</v>
      </c>
      <c r="J119" s="34">
        <v>1</v>
      </c>
      <c r="K119" s="54">
        <v>1</v>
      </c>
      <c r="L119" s="54">
        <v>0</v>
      </c>
      <c r="M119" s="54">
        <v>0</v>
      </c>
      <c r="N119" s="34"/>
    </row>
    <row r="120" spans="1:14" x14ac:dyDescent="0.2">
      <c r="A120" s="33">
        <v>0.38461549801339401</v>
      </c>
      <c r="B120" s="34">
        <v>90</v>
      </c>
      <c r="C120" s="33">
        <v>0.97167138810198295</v>
      </c>
      <c r="D120" s="33">
        <v>0.95867768595041336</v>
      </c>
      <c r="E120" s="33">
        <v>0.86206896551724144</v>
      </c>
      <c r="F120" s="33">
        <v>0.87331081081081097</v>
      </c>
      <c r="G120" s="33">
        <v>0.99928724162508886</v>
      </c>
      <c r="H120" s="33">
        <v>0.55271814742097802</v>
      </c>
      <c r="I120" s="33">
        <v>0.88724766125061538</v>
      </c>
      <c r="J120" s="34">
        <v>2</v>
      </c>
      <c r="K120" s="54">
        <v>0</v>
      </c>
      <c r="L120" s="54">
        <v>1</v>
      </c>
      <c r="M120" s="54">
        <v>0</v>
      </c>
      <c r="N120" s="34"/>
    </row>
    <row r="121" spans="1:14" x14ac:dyDescent="0.2">
      <c r="A121" s="33">
        <v>0.55511893147826952</v>
      </c>
      <c r="B121" s="34">
        <v>79</v>
      </c>
      <c r="C121" s="33">
        <v>0.78847969782813987</v>
      </c>
      <c r="D121" s="33">
        <v>0.84297520661156988</v>
      </c>
      <c r="E121" s="33">
        <v>0.6070780399274045</v>
      </c>
      <c r="F121" s="33">
        <v>0.87049549549549576</v>
      </c>
      <c r="G121" s="33">
        <v>0.71917320028510301</v>
      </c>
      <c r="H121" s="33">
        <v>0.55895928954998764</v>
      </c>
      <c r="I121" s="33">
        <v>0.90743476120137878</v>
      </c>
      <c r="J121" s="34">
        <v>2</v>
      </c>
      <c r="K121" s="54">
        <v>0</v>
      </c>
      <c r="L121" s="54">
        <v>1</v>
      </c>
      <c r="M121" s="54">
        <v>0</v>
      </c>
      <c r="N121" s="34"/>
    </row>
    <row r="122" spans="1:14" x14ac:dyDescent="0.2">
      <c r="A122" s="33">
        <v>3.0231873912761387E-2</v>
      </c>
      <c r="B122" s="34">
        <v>6</v>
      </c>
      <c r="C122" s="33">
        <v>0.35788479697828152</v>
      </c>
      <c r="D122" s="33">
        <v>0.37190082644628114</v>
      </c>
      <c r="E122" s="33">
        <v>0.78947368421052622</v>
      </c>
      <c r="F122" s="33">
        <v>0.27421171171171183</v>
      </c>
      <c r="G122" s="33">
        <v>0.48610121168923714</v>
      </c>
      <c r="H122" s="33">
        <v>0.22063737663992516</v>
      </c>
      <c r="I122" s="33">
        <v>0.21516494337764666</v>
      </c>
      <c r="J122" s="34">
        <v>1</v>
      </c>
      <c r="K122" s="54">
        <v>1</v>
      </c>
      <c r="L122" s="54">
        <v>0</v>
      </c>
      <c r="M122" s="54">
        <v>0</v>
      </c>
      <c r="N122" s="34"/>
    </row>
    <row r="123" spans="1:14" x14ac:dyDescent="0.2">
      <c r="A123" s="33">
        <v>0.35220738393985229</v>
      </c>
      <c r="B123" s="34">
        <v>201</v>
      </c>
      <c r="C123" s="34">
        <v>0.16902738432483483</v>
      </c>
      <c r="D123" s="34">
        <v>0.21280991735537177</v>
      </c>
      <c r="E123" s="34">
        <v>0.4791288566243192</v>
      </c>
      <c r="F123" s="34">
        <v>0.18018018018018037</v>
      </c>
      <c r="G123" s="34">
        <v>0.25588025659301489</v>
      </c>
      <c r="H123" s="34">
        <v>0.61200899764656935</v>
      </c>
      <c r="I123" s="34">
        <v>0.25898572131954695</v>
      </c>
      <c r="J123" s="34">
        <v>3</v>
      </c>
      <c r="K123" s="54">
        <v>0</v>
      </c>
      <c r="L123" s="54">
        <v>0</v>
      </c>
      <c r="M123" s="54">
        <v>1</v>
      </c>
      <c r="N123" s="34"/>
    </row>
    <row r="124" spans="1:14" x14ac:dyDescent="0.2">
      <c r="A124" s="33">
        <v>0.12584285195246225</v>
      </c>
      <c r="B124" s="34">
        <v>40</v>
      </c>
      <c r="C124" s="33">
        <v>0.348441926345609</v>
      </c>
      <c r="D124" s="33">
        <v>0.36363636363636359</v>
      </c>
      <c r="E124" s="33">
        <v>0.78312159709618834</v>
      </c>
      <c r="F124" s="33">
        <v>0.28040540540540554</v>
      </c>
      <c r="G124" s="33">
        <v>0.4761225944404846</v>
      </c>
      <c r="H124" s="33">
        <v>0.76972786019841632</v>
      </c>
      <c r="I124" s="33">
        <v>0.23732151649433791</v>
      </c>
      <c r="J124" s="34">
        <v>1</v>
      </c>
      <c r="K124" s="54">
        <v>1</v>
      </c>
      <c r="L124" s="54">
        <v>0</v>
      </c>
      <c r="M124" s="54">
        <v>0</v>
      </c>
      <c r="N124" s="34"/>
    </row>
    <row r="125" spans="1:14" x14ac:dyDescent="0.2">
      <c r="A125" s="33">
        <v>7.593841746564256E-2</v>
      </c>
      <c r="B125" s="34">
        <v>92</v>
      </c>
      <c r="C125" s="33">
        <v>0.7714825306893297</v>
      </c>
      <c r="D125" s="33">
        <v>0.78305785123966931</v>
      </c>
      <c r="E125" s="33">
        <v>0.81941923774954595</v>
      </c>
      <c r="F125" s="33">
        <v>0.7167792792792792</v>
      </c>
      <c r="G125" s="33">
        <v>0.8310762651461151</v>
      </c>
      <c r="H125" s="33">
        <v>0.30619303332509856</v>
      </c>
      <c r="I125" s="33">
        <v>0.75529295913343186</v>
      </c>
      <c r="J125" s="34">
        <v>2</v>
      </c>
      <c r="K125" s="54">
        <v>0</v>
      </c>
      <c r="L125" s="54">
        <v>1</v>
      </c>
      <c r="M125" s="54">
        <v>0</v>
      </c>
      <c r="N125" s="34"/>
    </row>
    <row r="126" spans="1:14" x14ac:dyDescent="0.2">
      <c r="A126" s="33">
        <v>0.63864598846823561</v>
      </c>
      <c r="B126" s="34">
        <v>131</v>
      </c>
      <c r="C126" s="33">
        <v>0.72804532577903691</v>
      </c>
      <c r="D126" s="33">
        <v>0.71900826446281008</v>
      </c>
      <c r="E126" s="33">
        <v>0.93194192377495499</v>
      </c>
      <c r="F126" s="33">
        <v>0.60810810810810823</v>
      </c>
      <c r="G126" s="33">
        <v>0.80185317177476811</v>
      </c>
      <c r="H126" s="33">
        <v>0.26939629952281274</v>
      </c>
      <c r="I126" s="33">
        <v>0.71048744460856716</v>
      </c>
      <c r="J126" s="34">
        <v>2</v>
      </c>
      <c r="K126" s="54">
        <v>0</v>
      </c>
      <c r="L126" s="54">
        <v>1</v>
      </c>
      <c r="M126" s="54">
        <v>0</v>
      </c>
      <c r="N126" s="34"/>
    </row>
    <row r="127" spans="1:14" x14ac:dyDescent="0.2">
      <c r="A127" s="33">
        <v>0.65708800499798381</v>
      </c>
      <c r="B127" s="34">
        <v>119</v>
      </c>
      <c r="C127" s="33">
        <v>0.78375826251180369</v>
      </c>
      <c r="D127" s="33">
        <v>0.78925619834710747</v>
      </c>
      <c r="E127" s="33">
        <v>0.84119782214156114</v>
      </c>
      <c r="F127" s="33">
        <v>0.74774774774774799</v>
      </c>
      <c r="G127" s="33">
        <v>0.81183178902352093</v>
      </c>
      <c r="H127" s="33">
        <v>0.37367538259501493</v>
      </c>
      <c r="I127" s="33">
        <v>0.71245691777449549</v>
      </c>
      <c r="J127" s="34">
        <v>2</v>
      </c>
      <c r="K127" s="54">
        <v>0</v>
      </c>
      <c r="L127" s="54">
        <v>1</v>
      </c>
      <c r="M127" s="54">
        <v>0</v>
      </c>
      <c r="N127" s="34"/>
    </row>
    <row r="128" spans="1:14" x14ac:dyDescent="0.2">
      <c r="A128" s="33">
        <v>0.86462478684001853</v>
      </c>
      <c r="B128" s="34">
        <v>50</v>
      </c>
      <c r="C128" s="33">
        <v>0.40321057601510857</v>
      </c>
      <c r="D128" s="33">
        <v>0.46694214876033052</v>
      </c>
      <c r="E128" s="33">
        <v>0.53992740471869338</v>
      </c>
      <c r="F128" s="33">
        <v>0.43862612612612611</v>
      </c>
      <c r="G128" s="33">
        <v>0.44761225944404842</v>
      </c>
      <c r="H128" s="33">
        <v>0.17733945311992097</v>
      </c>
      <c r="I128" s="33">
        <v>0.40965041851304773</v>
      </c>
      <c r="J128" s="34">
        <v>1</v>
      </c>
      <c r="K128" s="54">
        <v>1</v>
      </c>
      <c r="L128" s="54">
        <v>0</v>
      </c>
      <c r="M128" s="54">
        <v>0</v>
      </c>
      <c r="N128" s="34"/>
    </row>
    <row r="129" spans="1:15" x14ac:dyDescent="0.2">
      <c r="A129" s="33">
        <v>0.96788880487494067</v>
      </c>
      <c r="B129" s="34">
        <v>151</v>
      </c>
      <c r="C129" s="33">
        <v>0.11709159584513694</v>
      </c>
      <c r="D129" s="33">
        <v>0.16942148760330586</v>
      </c>
      <c r="E129" s="33">
        <v>0.37658802177858436</v>
      </c>
      <c r="F129" s="33">
        <v>0.20495495495495492</v>
      </c>
      <c r="G129" s="33">
        <v>0.14967925873129001</v>
      </c>
      <c r="H129" s="33">
        <v>0.57599240661040974</v>
      </c>
      <c r="I129" s="33">
        <v>0.3879862136878387</v>
      </c>
      <c r="J129" s="34">
        <v>3</v>
      </c>
      <c r="K129" s="54">
        <v>0</v>
      </c>
      <c r="L129" s="54">
        <v>0</v>
      </c>
      <c r="M129" s="54">
        <v>1</v>
      </c>
      <c r="N129" s="34"/>
    </row>
    <row r="130" spans="1:15" x14ac:dyDescent="0.2">
      <c r="A130" s="33">
        <v>0.95420950007899963</v>
      </c>
      <c r="B130" s="34">
        <v>120</v>
      </c>
      <c r="C130" s="33">
        <v>0.8914069877242683</v>
      </c>
      <c r="D130" s="33">
        <v>0.92768595041322288</v>
      </c>
      <c r="E130" s="33">
        <v>0.66243194192377475</v>
      </c>
      <c r="F130" s="33">
        <v>0.89752252252252285</v>
      </c>
      <c r="G130" s="33">
        <v>0.87455452601568062</v>
      </c>
      <c r="H130" s="33">
        <v>0.29878167704689967</v>
      </c>
      <c r="I130" s="33">
        <v>0.88675529295913369</v>
      </c>
      <c r="J130" s="34">
        <v>2</v>
      </c>
      <c r="K130" s="54">
        <v>0</v>
      </c>
      <c r="L130" s="54">
        <v>1</v>
      </c>
      <c r="M130" s="54">
        <v>0</v>
      </c>
      <c r="N130" s="34"/>
    </row>
    <row r="131" spans="1:15" x14ac:dyDescent="0.2">
      <c r="A131" s="33">
        <v>0.13847989259510907</v>
      </c>
      <c r="B131" s="34">
        <v>190</v>
      </c>
      <c r="C131" s="33">
        <v>0</v>
      </c>
      <c r="D131" s="33">
        <v>0</v>
      </c>
      <c r="E131" s="33">
        <v>0.51451905626134298</v>
      </c>
      <c r="F131" s="33">
        <v>0</v>
      </c>
      <c r="G131" s="33">
        <v>0.11190306486101211</v>
      </c>
      <c r="H131" s="33">
        <v>0.54738717185244901</v>
      </c>
      <c r="I131" s="33">
        <v>0.13540128015755762</v>
      </c>
      <c r="J131" s="34">
        <v>3</v>
      </c>
      <c r="K131" s="54">
        <v>0</v>
      </c>
      <c r="L131" s="54">
        <v>0</v>
      </c>
      <c r="M131" s="54">
        <v>1</v>
      </c>
      <c r="N131" s="34"/>
    </row>
    <row r="132" spans="1:15" x14ac:dyDescent="0.2">
      <c r="A132" s="33">
        <v>0.12164259566536773</v>
      </c>
      <c r="B132" s="34">
        <v>106</v>
      </c>
      <c r="C132" s="33">
        <v>0.77809254013220008</v>
      </c>
      <c r="D132" s="33">
        <v>0.80165289256198324</v>
      </c>
      <c r="E132" s="33">
        <v>0.75862068965517271</v>
      </c>
      <c r="F132" s="33">
        <v>0.64076576576576583</v>
      </c>
      <c r="G132" s="33">
        <v>0.82394868139700628</v>
      </c>
      <c r="H132" s="33">
        <v>0.23246954192617253</v>
      </c>
      <c r="I132" s="33">
        <v>0.66962087641555867</v>
      </c>
      <c r="J132" s="34">
        <v>2</v>
      </c>
      <c r="K132" s="54">
        <v>0</v>
      </c>
      <c r="L132" s="54">
        <v>1</v>
      </c>
      <c r="M132" s="54">
        <v>0</v>
      </c>
      <c r="N132" s="34"/>
    </row>
    <row r="133" spans="1:15" x14ac:dyDescent="0.2">
      <c r="A133" s="33">
        <v>0.54407379466625927</v>
      </c>
      <c r="B133" s="34">
        <v>18</v>
      </c>
      <c r="C133" s="33">
        <v>0.4815864022662889</v>
      </c>
      <c r="D133" s="33">
        <v>0.48347107438016529</v>
      </c>
      <c r="E133" s="33">
        <v>0.88656987295825807</v>
      </c>
      <c r="F133" s="33">
        <v>0.35360360360360371</v>
      </c>
      <c r="G133" s="33">
        <v>0.63007840342123989</v>
      </c>
      <c r="H133" s="33">
        <v>0.10842684211210653</v>
      </c>
      <c r="I133" s="33">
        <v>0.25947808961102914</v>
      </c>
      <c r="J133" s="34">
        <v>1</v>
      </c>
      <c r="K133" s="54">
        <v>1</v>
      </c>
      <c r="L133" s="54">
        <v>0</v>
      </c>
      <c r="M133" s="54">
        <v>0</v>
      </c>
      <c r="N133" s="34"/>
    </row>
    <row r="134" spans="1:15" x14ac:dyDescent="0.2">
      <c r="A134" s="33">
        <v>0.81497841663644655</v>
      </c>
      <c r="B134" s="34">
        <v>163</v>
      </c>
      <c r="C134" s="33">
        <v>0.13786591123701614</v>
      </c>
      <c r="D134" s="33">
        <v>0.20661157024793389</v>
      </c>
      <c r="E134" s="33">
        <v>0.30399274047186919</v>
      </c>
      <c r="F134" s="33">
        <v>0.20720720720720742</v>
      </c>
      <c r="G134" s="33">
        <v>0.15466856735566645</v>
      </c>
      <c r="H134" s="33">
        <v>0.54907748117905586</v>
      </c>
      <c r="I134" s="33">
        <v>0.25947808961102914</v>
      </c>
      <c r="J134" s="34">
        <v>3</v>
      </c>
      <c r="K134" s="54">
        <v>0</v>
      </c>
      <c r="L134" s="54">
        <v>0</v>
      </c>
      <c r="M134" s="54">
        <v>1</v>
      </c>
      <c r="N134" s="34"/>
    </row>
    <row r="135" spans="1:15" x14ac:dyDescent="0.2">
      <c r="A135" s="33">
        <v>0.20020313861825312</v>
      </c>
      <c r="B135" s="34">
        <v>64</v>
      </c>
      <c r="C135" s="33">
        <v>0.24834749763928241</v>
      </c>
      <c r="D135" s="33">
        <v>0.29545454545454541</v>
      </c>
      <c r="E135" s="33">
        <v>0.54355716878402882</v>
      </c>
      <c r="F135" s="33">
        <v>0.27927927927927904</v>
      </c>
      <c r="G135" s="33">
        <v>0.31361368496079817</v>
      </c>
      <c r="H135" s="33">
        <v>0.44102770807057701</v>
      </c>
      <c r="I135" s="33">
        <v>0.28015755785327429</v>
      </c>
      <c r="J135" s="34">
        <v>1</v>
      </c>
      <c r="K135" s="54">
        <v>1</v>
      </c>
      <c r="L135" s="54">
        <v>0</v>
      </c>
      <c r="M135" s="54">
        <v>0</v>
      </c>
      <c r="N135" s="34"/>
    </row>
    <row r="136" spans="1:15" x14ac:dyDescent="0.2">
      <c r="A136" s="33">
        <v>0.36816781957295552</v>
      </c>
      <c r="B136" s="34">
        <v>107</v>
      </c>
      <c r="C136" s="33">
        <v>0.77998111425873484</v>
      </c>
      <c r="D136" s="33">
        <v>0.7768595041322317</v>
      </c>
      <c r="E136" s="33">
        <v>0.8847549909255894</v>
      </c>
      <c r="F136" s="33">
        <v>0.70551801801801817</v>
      </c>
      <c r="G136" s="33">
        <v>0.83820384889522437</v>
      </c>
      <c r="H136" s="33">
        <v>0.27017644228893889</v>
      </c>
      <c r="I136" s="33">
        <v>0.82767109798129013</v>
      </c>
      <c r="J136" s="34">
        <v>2</v>
      </c>
      <c r="K136" s="54">
        <v>0</v>
      </c>
      <c r="L136" s="54">
        <v>1</v>
      </c>
      <c r="M136" s="54">
        <v>0</v>
      </c>
      <c r="N136" s="34"/>
    </row>
    <row r="137" spans="1:15" x14ac:dyDescent="0.2">
      <c r="A137" s="33">
        <v>0.54657836712019958</v>
      </c>
      <c r="B137" s="34">
        <v>142</v>
      </c>
      <c r="C137" s="33">
        <v>0.25779036827195473</v>
      </c>
      <c r="D137" s="33">
        <v>0.31611570247933873</v>
      </c>
      <c r="E137" s="33">
        <v>0.48275862068965453</v>
      </c>
      <c r="F137" s="33">
        <v>0.36148648648648674</v>
      </c>
      <c r="G137" s="33">
        <v>0.31575196008553097</v>
      </c>
      <c r="H137" s="33">
        <v>0.81523618822244481</v>
      </c>
      <c r="I137" s="33">
        <v>0.45347119645494849</v>
      </c>
      <c r="J137" s="34">
        <v>3</v>
      </c>
      <c r="K137" s="54">
        <v>0</v>
      </c>
      <c r="L137" s="54">
        <v>0</v>
      </c>
      <c r="M137" s="54">
        <v>1</v>
      </c>
      <c r="N137" s="34"/>
    </row>
    <row r="138" spans="1:15" x14ac:dyDescent="0.2">
      <c r="A138" s="33">
        <v>0.61213154617202359</v>
      </c>
      <c r="B138" s="34">
        <v>25</v>
      </c>
      <c r="C138" s="33">
        <v>0.41737488196411709</v>
      </c>
      <c r="D138" s="33">
        <v>0.48553719008264457</v>
      </c>
      <c r="E138" s="33">
        <v>0.52268602540834852</v>
      </c>
      <c r="F138" s="33">
        <v>0.50112612612612595</v>
      </c>
      <c r="G138" s="33">
        <v>0.43834640057020668</v>
      </c>
      <c r="H138" s="33">
        <v>0.13339141062814497</v>
      </c>
      <c r="I138" s="33">
        <v>0.23732151649433791</v>
      </c>
      <c r="J138" s="34">
        <v>1</v>
      </c>
      <c r="K138" s="54">
        <v>1</v>
      </c>
      <c r="L138" s="54">
        <v>0</v>
      </c>
      <c r="M138" s="54">
        <v>0</v>
      </c>
      <c r="N138" s="34"/>
    </row>
    <row r="139" spans="1:15" x14ac:dyDescent="0.2">
      <c r="A139" s="33">
        <v>0.630571722313922</v>
      </c>
      <c r="B139" s="34">
        <v>37</v>
      </c>
      <c r="C139" s="33">
        <v>0.52974504249291776</v>
      </c>
      <c r="D139" s="33">
        <v>0.59090909090909083</v>
      </c>
      <c r="E139" s="33">
        <v>0.59255898366606108</v>
      </c>
      <c r="F139" s="33">
        <v>0.52195945945945932</v>
      </c>
      <c r="G139" s="33">
        <v>0.59444048467569477</v>
      </c>
      <c r="H139" s="33">
        <v>0.26757596640185155</v>
      </c>
      <c r="I139" s="33">
        <v>0.49630723781388486</v>
      </c>
      <c r="J139" s="34">
        <v>1</v>
      </c>
      <c r="K139" s="54">
        <v>1</v>
      </c>
      <c r="L139" s="54">
        <v>0</v>
      </c>
      <c r="M139" s="54">
        <v>0</v>
      </c>
      <c r="N139" s="34"/>
      <c r="O139" s="10"/>
    </row>
    <row r="140" spans="1:15" x14ac:dyDescent="0.2">
      <c r="A140" s="33">
        <v>0.90876117087504449</v>
      </c>
      <c r="B140" s="34">
        <v>21</v>
      </c>
      <c r="C140" s="33">
        <v>0.33711048158640228</v>
      </c>
      <c r="D140" s="33">
        <v>0.4111570247933885</v>
      </c>
      <c r="E140" s="33">
        <v>0.45644283121597123</v>
      </c>
      <c r="F140" s="33">
        <v>0.42736486486486508</v>
      </c>
      <c r="G140" s="33">
        <v>0.35566642908054164</v>
      </c>
      <c r="H140" s="33">
        <v>0.29995189119608895</v>
      </c>
      <c r="I140" s="33">
        <v>0.32348596750369285</v>
      </c>
      <c r="J140" s="34">
        <v>1</v>
      </c>
      <c r="K140" s="54">
        <v>1</v>
      </c>
      <c r="L140" s="54">
        <v>0</v>
      </c>
      <c r="M140" s="54">
        <v>0</v>
      </c>
      <c r="N140" s="34"/>
    </row>
    <row r="141" spans="1:15" x14ac:dyDescent="0.2">
      <c r="A141" s="33">
        <v>0.15126040675570951</v>
      </c>
      <c r="B141" s="34">
        <v>88</v>
      </c>
      <c r="C141" s="33">
        <v>0.79225684608120872</v>
      </c>
      <c r="D141" s="33">
        <v>0.87809917355371903</v>
      </c>
      <c r="E141" s="33">
        <v>0.46188747731397423</v>
      </c>
      <c r="F141" s="33">
        <v>0.92905405405405439</v>
      </c>
      <c r="G141" s="33">
        <v>0.74126870990734117</v>
      </c>
      <c r="H141" s="33">
        <v>0.38043661990144201</v>
      </c>
      <c r="I141" s="33">
        <v>0.97439684884293476</v>
      </c>
      <c r="J141" s="34">
        <v>2</v>
      </c>
      <c r="K141" s="54">
        <v>0</v>
      </c>
      <c r="L141" s="54">
        <v>1</v>
      </c>
      <c r="M141" s="54">
        <v>0</v>
      </c>
      <c r="N141" s="34"/>
    </row>
    <row r="142" spans="1:15" x14ac:dyDescent="0.2">
      <c r="A142" s="33">
        <v>0.91167513377569798</v>
      </c>
      <c r="B142" s="34">
        <v>111</v>
      </c>
      <c r="C142" s="33">
        <v>0.74220963172804533</v>
      </c>
      <c r="D142" s="33">
        <v>0.76652892561983488</v>
      </c>
      <c r="E142" s="33">
        <v>0.76225045372050804</v>
      </c>
      <c r="F142" s="33">
        <v>0.68018018018018034</v>
      </c>
      <c r="G142" s="33">
        <v>0.81183178902352093</v>
      </c>
      <c r="H142" s="33">
        <v>0.19112197532148384</v>
      </c>
      <c r="I142" s="33">
        <v>0.62776957163958624</v>
      </c>
      <c r="J142" s="34">
        <v>2</v>
      </c>
      <c r="K142" s="54">
        <v>0</v>
      </c>
      <c r="L142" s="54">
        <v>1</v>
      </c>
      <c r="M142" s="54">
        <v>0</v>
      </c>
      <c r="N142" s="34"/>
    </row>
    <row r="143" spans="1:15" x14ac:dyDescent="0.2">
      <c r="A143" s="33">
        <v>0.2918680235628025</v>
      </c>
      <c r="B143" s="34">
        <v>176</v>
      </c>
      <c r="C143" s="33">
        <v>1.9830028328611977E-2</v>
      </c>
      <c r="D143" s="33">
        <v>3.305785123966945E-2</v>
      </c>
      <c r="E143" s="33">
        <v>0.46188747731397423</v>
      </c>
      <c r="F143" s="33">
        <v>4.6171171171171095E-2</v>
      </c>
      <c r="G143" s="33">
        <v>0.13613684960798306</v>
      </c>
      <c r="H143" s="33">
        <v>0.52112236539286683</v>
      </c>
      <c r="I143" s="33">
        <v>0.26784835056622336</v>
      </c>
      <c r="J143" s="34">
        <v>3</v>
      </c>
      <c r="K143" s="54">
        <v>0</v>
      </c>
      <c r="L143" s="54">
        <v>0</v>
      </c>
      <c r="M143" s="54">
        <v>1</v>
      </c>
      <c r="N143" s="34"/>
    </row>
    <row r="144" spans="1:15" x14ac:dyDescent="0.2">
      <c r="A144" s="33">
        <v>0.69675912344683921</v>
      </c>
      <c r="B144" s="34">
        <v>7</v>
      </c>
      <c r="C144" s="33">
        <v>0.38715769593956562</v>
      </c>
      <c r="D144" s="33">
        <v>0.42975206611570249</v>
      </c>
      <c r="E144" s="33">
        <v>0.65154264972776765</v>
      </c>
      <c r="F144" s="33">
        <v>0.37387387387387377</v>
      </c>
      <c r="G144" s="33">
        <v>0.44832501781895923</v>
      </c>
      <c r="H144" s="33">
        <v>0.36678412149423351</v>
      </c>
      <c r="I144" s="33">
        <v>0.34465780403742013</v>
      </c>
      <c r="J144" s="34">
        <v>1</v>
      </c>
      <c r="K144" s="54">
        <v>1</v>
      </c>
      <c r="L144" s="54">
        <v>0</v>
      </c>
      <c r="M144" s="54">
        <v>0</v>
      </c>
      <c r="N144" s="34"/>
    </row>
    <row r="145" spans="1:15" x14ac:dyDescent="0.2">
      <c r="A145" s="33">
        <v>0.90971280165924884</v>
      </c>
      <c r="B145" s="34">
        <v>105</v>
      </c>
      <c r="C145" s="33">
        <v>0.78942398489140697</v>
      </c>
      <c r="D145" s="33">
        <v>0.82851239669421517</v>
      </c>
      <c r="E145" s="33">
        <v>0.67876588021778583</v>
      </c>
      <c r="F145" s="33">
        <v>0.75957207207207222</v>
      </c>
      <c r="G145" s="33">
        <v>0.80185317177476811</v>
      </c>
      <c r="H145" s="33">
        <v>0.33843893432498151</v>
      </c>
      <c r="I145" s="33">
        <v>0.80206794682422444</v>
      </c>
      <c r="J145" s="34">
        <v>2</v>
      </c>
      <c r="K145" s="54">
        <v>0</v>
      </c>
      <c r="L145" s="54">
        <v>1</v>
      </c>
      <c r="M145" s="54">
        <v>0</v>
      </c>
      <c r="N145" s="34"/>
    </row>
    <row r="146" spans="1:15" x14ac:dyDescent="0.2">
      <c r="A146" s="33">
        <v>0.55705709374481782</v>
      </c>
      <c r="B146" s="34">
        <v>104</v>
      </c>
      <c r="C146" s="33">
        <v>0.81114258734655331</v>
      </c>
      <c r="D146" s="33">
        <v>0.87190082644628075</v>
      </c>
      <c r="E146" s="33">
        <v>0.57713248638838488</v>
      </c>
      <c r="F146" s="33">
        <v>0.82770270270270263</v>
      </c>
      <c r="G146" s="33">
        <v>0.74910905203136124</v>
      </c>
      <c r="H146" s="33">
        <v>0.3370086725870835</v>
      </c>
      <c r="I146" s="33">
        <v>0.84194977843426899</v>
      </c>
      <c r="J146" s="34">
        <v>2</v>
      </c>
      <c r="K146" s="54">
        <v>0</v>
      </c>
      <c r="L146" s="54">
        <v>1</v>
      </c>
      <c r="M146" s="54">
        <v>0</v>
      </c>
      <c r="N146" s="34"/>
    </row>
    <row r="147" spans="1:15" x14ac:dyDescent="0.2">
      <c r="A147" s="33">
        <v>0.408160321622411</v>
      </c>
      <c r="B147" s="34">
        <v>91</v>
      </c>
      <c r="C147" s="33">
        <v>0.89801699716713901</v>
      </c>
      <c r="D147" s="33">
        <v>0.94628099173553681</v>
      </c>
      <c r="E147" s="33">
        <v>0.60344827586206917</v>
      </c>
      <c r="F147" s="33">
        <v>0.94707207207207245</v>
      </c>
      <c r="G147" s="33">
        <v>0.82323592302209536</v>
      </c>
      <c r="H147" s="33">
        <v>0.15471531290226115</v>
      </c>
      <c r="I147" s="33">
        <v>0.95027080256031515</v>
      </c>
      <c r="J147" s="34">
        <v>2</v>
      </c>
      <c r="K147" s="54">
        <v>0</v>
      </c>
      <c r="L147" s="54">
        <v>1</v>
      </c>
      <c r="M147" s="54">
        <v>0</v>
      </c>
      <c r="N147" s="34"/>
    </row>
    <row r="148" spans="1:15" x14ac:dyDescent="0.2">
      <c r="A148" s="33">
        <v>0.5641827501645118</v>
      </c>
      <c r="B148" s="34">
        <v>180</v>
      </c>
      <c r="C148" s="33">
        <v>0.15297450424929188</v>
      </c>
      <c r="D148" s="33">
        <v>0.21900826446281002</v>
      </c>
      <c r="E148" s="33">
        <v>0.33756805807622525</v>
      </c>
      <c r="F148" s="33">
        <v>0.25788288288288302</v>
      </c>
      <c r="G148" s="33">
        <v>0.18745545260156793</v>
      </c>
      <c r="H148" s="33">
        <v>0.11648831736207728</v>
      </c>
      <c r="I148" s="33">
        <v>0.32447070408665679</v>
      </c>
      <c r="J148" s="34">
        <v>3</v>
      </c>
      <c r="K148" s="54">
        <v>0</v>
      </c>
      <c r="L148" s="54">
        <v>0</v>
      </c>
      <c r="M148" s="54">
        <v>1</v>
      </c>
      <c r="N148" s="34"/>
      <c r="O148" s="10"/>
    </row>
    <row r="149" spans="1:15" x14ac:dyDescent="0.2">
      <c r="A149" s="33">
        <v>0.54370327431286047</v>
      </c>
      <c r="B149" s="34">
        <v>168</v>
      </c>
      <c r="C149" s="33">
        <v>0.14730878186968843</v>
      </c>
      <c r="D149" s="33">
        <v>0.21487603305785108</v>
      </c>
      <c r="E149" s="33">
        <v>0.32849364791288588</v>
      </c>
      <c r="F149" s="33">
        <v>0.29166666666666657</v>
      </c>
      <c r="G149" s="33">
        <v>0.14754098360655754</v>
      </c>
      <c r="H149" s="33">
        <v>0.37354535880066059</v>
      </c>
      <c r="I149" s="33">
        <v>0.40324963072378145</v>
      </c>
      <c r="J149" s="34">
        <v>3</v>
      </c>
      <c r="K149" s="54">
        <v>0</v>
      </c>
      <c r="L149" s="54">
        <v>0</v>
      </c>
      <c r="M149" s="54">
        <v>1</v>
      </c>
      <c r="N149" s="34"/>
    </row>
    <row r="150" spans="1:15" x14ac:dyDescent="0.2">
      <c r="A150" s="33">
        <v>5.0248359907336893E-2</v>
      </c>
      <c r="B150" s="34">
        <v>95</v>
      </c>
      <c r="C150" s="33">
        <v>0.73371104815864019</v>
      </c>
      <c r="D150" s="33">
        <v>0.84917355371900816</v>
      </c>
      <c r="E150" s="33">
        <v>0.33666061705989042</v>
      </c>
      <c r="F150" s="33">
        <v>0.99493243243243279</v>
      </c>
      <c r="G150" s="33">
        <v>0.60940841054882378</v>
      </c>
      <c r="H150" s="33">
        <v>0.54192617248956554</v>
      </c>
      <c r="I150" s="33">
        <v>0.94977843426883335</v>
      </c>
      <c r="J150" s="34">
        <v>2</v>
      </c>
      <c r="K150" s="54">
        <v>0</v>
      </c>
      <c r="L150" s="54">
        <v>1</v>
      </c>
      <c r="M150" s="54">
        <v>0</v>
      </c>
      <c r="N150" s="34"/>
    </row>
    <row r="151" spans="1:15" x14ac:dyDescent="0.2">
      <c r="A151" s="33">
        <v>0.67776130161953296</v>
      </c>
      <c r="B151" s="34">
        <v>196</v>
      </c>
      <c r="C151" s="34">
        <v>0.20868744098205863</v>
      </c>
      <c r="D151" s="34">
        <v>0.21900826446281002</v>
      </c>
      <c r="E151" s="34">
        <v>0.7068965517241379</v>
      </c>
      <c r="F151" s="34">
        <v>0.14695945945945954</v>
      </c>
      <c r="G151" s="34">
        <v>0.35352815395580883</v>
      </c>
      <c r="H151" s="34">
        <v>0.53412474482830363</v>
      </c>
      <c r="I151" s="34">
        <v>0.1944854751354011</v>
      </c>
      <c r="J151" s="34">
        <v>3</v>
      </c>
      <c r="K151" s="54">
        <v>0</v>
      </c>
      <c r="L151" s="54">
        <v>0</v>
      </c>
      <c r="M151" s="54">
        <v>1</v>
      </c>
      <c r="N151" s="34"/>
    </row>
    <row r="152" spans="1:15" x14ac:dyDescent="0.2">
      <c r="A152" s="33">
        <v>0.87822755707580091</v>
      </c>
      <c r="B152" s="34">
        <v>85</v>
      </c>
      <c r="C152" s="33">
        <v>0.84230406043437223</v>
      </c>
      <c r="D152" s="33">
        <v>0.88842975206611585</v>
      </c>
      <c r="E152" s="33">
        <v>0.63430127041742268</v>
      </c>
      <c r="F152" s="33">
        <v>0.82601351351351338</v>
      </c>
      <c r="G152" s="33">
        <v>0.8346400570206699</v>
      </c>
      <c r="H152" s="33">
        <v>0.28564927381710858</v>
      </c>
      <c r="I152" s="33">
        <v>0.8202855736090594</v>
      </c>
      <c r="J152" s="34">
        <v>2</v>
      </c>
      <c r="K152" s="54">
        <v>0</v>
      </c>
      <c r="L152" s="54">
        <v>1</v>
      </c>
      <c r="M152" s="54">
        <v>0</v>
      </c>
      <c r="N152" s="34"/>
    </row>
    <row r="153" spans="1:15" x14ac:dyDescent="0.2">
      <c r="A153" s="33">
        <v>0.4920298440063946</v>
      </c>
      <c r="B153" s="34">
        <v>198</v>
      </c>
      <c r="C153" s="34">
        <v>0.26251180358829079</v>
      </c>
      <c r="D153" s="34">
        <v>0.28305785123966926</v>
      </c>
      <c r="E153" s="34">
        <v>0.69691470054446469</v>
      </c>
      <c r="F153" s="34">
        <v>0.23704954954954974</v>
      </c>
      <c r="G153" s="34">
        <v>0.35495367070563083</v>
      </c>
      <c r="H153" s="34">
        <v>0.50772991457436711</v>
      </c>
      <c r="I153" s="34">
        <v>0.28163466272772042</v>
      </c>
      <c r="J153" s="34">
        <v>3</v>
      </c>
      <c r="K153" s="54">
        <v>0</v>
      </c>
      <c r="L153" s="54">
        <v>0</v>
      </c>
      <c r="M153" s="54">
        <v>1</v>
      </c>
      <c r="N153" s="34"/>
    </row>
    <row r="154" spans="1:15" x14ac:dyDescent="0.2">
      <c r="A154" s="33">
        <v>0.95905177305190192</v>
      </c>
      <c r="B154" s="34">
        <v>154</v>
      </c>
      <c r="C154" s="33">
        <v>5.5712936732766748E-2</v>
      </c>
      <c r="D154" s="33">
        <v>0.13016528925619814</v>
      </c>
      <c r="E154" s="33">
        <v>0.16787658802177829</v>
      </c>
      <c r="F154" s="33">
        <v>0.18074324324324312</v>
      </c>
      <c r="G154" s="33">
        <v>4.4903777619387131E-2</v>
      </c>
      <c r="H154" s="33">
        <v>0.3337580777282243</v>
      </c>
      <c r="I154" s="33">
        <v>0.23732151649433791</v>
      </c>
      <c r="J154" s="34">
        <v>3</v>
      </c>
      <c r="K154" s="54">
        <v>0</v>
      </c>
      <c r="L154" s="54">
        <v>0</v>
      </c>
      <c r="M154" s="54">
        <v>1</v>
      </c>
      <c r="N154" s="34"/>
    </row>
    <row r="155" spans="1:15" x14ac:dyDescent="0.2">
      <c r="A155" s="33">
        <v>0.36030679562111867</v>
      </c>
      <c r="B155" s="34">
        <v>184</v>
      </c>
      <c r="C155" s="33">
        <v>0.10009442870632677</v>
      </c>
      <c r="D155" s="33">
        <v>0.13636363636363641</v>
      </c>
      <c r="E155" s="33">
        <v>0.44827586206896564</v>
      </c>
      <c r="F155" s="33">
        <v>0.11768018018017999</v>
      </c>
      <c r="G155" s="33">
        <v>0.15680684248039922</v>
      </c>
      <c r="H155" s="33">
        <v>0.57781273973137082</v>
      </c>
      <c r="I155" s="33">
        <v>0.30329886755292945</v>
      </c>
      <c r="J155" s="34">
        <v>3</v>
      </c>
      <c r="K155" s="54">
        <v>0</v>
      </c>
      <c r="L155" s="54">
        <v>0</v>
      </c>
      <c r="M155" s="54">
        <v>1</v>
      </c>
      <c r="N155" s="34"/>
    </row>
    <row r="156" spans="1:15" x14ac:dyDescent="0.2">
      <c r="A156" s="33">
        <v>0.42811206555780013</v>
      </c>
      <c r="B156" s="34">
        <v>148</v>
      </c>
      <c r="C156" s="33">
        <v>0.17941454202077436</v>
      </c>
      <c r="D156" s="33">
        <v>0.21694214876033074</v>
      </c>
      <c r="E156" s="33">
        <v>0.5235934664246823</v>
      </c>
      <c r="F156" s="33">
        <v>0.20720720720720742</v>
      </c>
      <c r="G156" s="33">
        <v>0.2401995723449751</v>
      </c>
      <c r="H156" s="33">
        <v>0.47535398978012988</v>
      </c>
      <c r="I156" s="33">
        <v>0.23781388478581966</v>
      </c>
      <c r="J156" s="34">
        <v>3</v>
      </c>
      <c r="K156" s="54">
        <v>0</v>
      </c>
      <c r="L156" s="54">
        <v>0</v>
      </c>
      <c r="M156" s="54">
        <v>1</v>
      </c>
      <c r="N156" s="34"/>
    </row>
    <row r="157" spans="1:15" x14ac:dyDescent="0.2">
      <c r="A157" s="33">
        <v>0.10080913845859241</v>
      </c>
      <c r="B157" s="34">
        <v>167</v>
      </c>
      <c r="C157" s="33">
        <v>0.17469310670443811</v>
      </c>
      <c r="D157" s="33">
        <v>0.24380165289256192</v>
      </c>
      <c r="E157" s="33">
        <v>0.3457350272232298</v>
      </c>
      <c r="F157" s="33">
        <v>0.23648648648648649</v>
      </c>
      <c r="G157" s="33">
        <v>0.19030648610121156</v>
      </c>
      <c r="H157" s="33">
        <v>0.54075595834037637</v>
      </c>
      <c r="I157" s="33">
        <v>0.36976858690300324</v>
      </c>
      <c r="J157" s="34">
        <v>3</v>
      </c>
      <c r="K157" s="54">
        <v>0</v>
      </c>
      <c r="L157" s="54">
        <v>0</v>
      </c>
      <c r="M157" s="54">
        <v>1</v>
      </c>
      <c r="N157" s="34"/>
    </row>
    <row r="158" spans="1:15" x14ac:dyDescent="0.2">
      <c r="A158" s="33">
        <v>0.69484470945705956</v>
      </c>
      <c r="B158" s="34">
        <v>98</v>
      </c>
      <c r="C158" s="33">
        <v>0.79225684608120872</v>
      </c>
      <c r="D158" s="33">
        <v>0.85950413223140498</v>
      </c>
      <c r="E158" s="33">
        <v>0.5499092558983667</v>
      </c>
      <c r="F158" s="33">
        <v>0.87274774774774777</v>
      </c>
      <c r="G158" s="33">
        <v>0.65716322166785446</v>
      </c>
      <c r="H158" s="33">
        <v>0.1792898100352365</v>
      </c>
      <c r="I158" s="33">
        <v>0.95224027572624348</v>
      </c>
      <c r="J158" s="34">
        <v>2</v>
      </c>
      <c r="K158" s="54">
        <v>0</v>
      </c>
      <c r="L158" s="54">
        <v>1</v>
      </c>
      <c r="M158" s="54">
        <v>0</v>
      </c>
      <c r="N158" s="34"/>
    </row>
    <row r="159" spans="1:15" x14ac:dyDescent="0.2">
      <c r="A159" s="33">
        <v>0.2316647777650106</v>
      </c>
      <c r="B159" s="34">
        <v>84</v>
      </c>
      <c r="C159" s="33">
        <v>0.8479697828139755</v>
      </c>
      <c r="D159" s="33">
        <v>0.89462809917355335</v>
      </c>
      <c r="E159" s="33">
        <v>0.6333938294010889</v>
      </c>
      <c r="F159" s="33">
        <v>0.83614864864864891</v>
      </c>
      <c r="G159" s="33">
        <v>0.81397006414825335</v>
      </c>
      <c r="H159" s="33">
        <v>9.1913820229101925E-2</v>
      </c>
      <c r="I159" s="33">
        <v>0.86361398325947802</v>
      </c>
      <c r="J159" s="34">
        <v>2</v>
      </c>
      <c r="K159" s="54">
        <v>0</v>
      </c>
      <c r="L159" s="54">
        <v>1</v>
      </c>
      <c r="M159" s="54">
        <v>0</v>
      </c>
      <c r="N159" s="34"/>
    </row>
    <row r="160" spans="1:15" x14ac:dyDescent="0.2">
      <c r="A160" s="33">
        <v>0.89457139189208279</v>
      </c>
      <c r="B160" s="34">
        <v>187</v>
      </c>
      <c r="C160" s="33">
        <v>0.11520302171860251</v>
      </c>
      <c r="D160" s="33">
        <v>0.21487603305785108</v>
      </c>
      <c r="E160" s="33">
        <v>0.10617059891107021</v>
      </c>
      <c r="F160" s="33">
        <v>0.28941441441441457</v>
      </c>
      <c r="G160" s="33">
        <v>6.1297220242338038E-2</v>
      </c>
      <c r="H160" s="33">
        <v>0.53737533968716278</v>
      </c>
      <c r="I160" s="33">
        <v>0.41014278680452992</v>
      </c>
      <c r="J160" s="34">
        <v>3</v>
      </c>
      <c r="K160" s="54">
        <v>0</v>
      </c>
      <c r="L160" s="54">
        <v>0</v>
      </c>
      <c r="M160" s="54">
        <v>1</v>
      </c>
      <c r="N160" s="34"/>
    </row>
    <row r="161" spans="1:14" x14ac:dyDescent="0.2">
      <c r="A161" s="33">
        <v>7.8527520584630972E-2</v>
      </c>
      <c r="B161" s="34">
        <v>209</v>
      </c>
      <c r="C161" s="34">
        <v>0.11803588290840415</v>
      </c>
      <c r="D161" s="34">
        <v>0.16528925619834725</v>
      </c>
      <c r="E161" s="34">
        <v>0.39927404718693232</v>
      </c>
      <c r="F161" s="34">
        <v>0.15540540540540532</v>
      </c>
      <c r="G161" s="34">
        <v>0.1468282252316464</v>
      </c>
      <c r="H161" s="34">
        <v>0.36834440702648591</v>
      </c>
      <c r="I161" s="34">
        <v>0.25849335302806475</v>
      </c>
      <c r="J161" s="34">
        <v>3</v>
      </c>
      <c r="K161" s="54">
        <v>0</v>
      </c>
      <c r="L161" s="54">
        <v>0</v>
      </c>
      <c r="M161" s="54">
        <v>1</v>
      </c>
      <c r="N161" s="34"/>
    </row>
    <row r="162" spans="1:14" x14ac:dyDescent="0.2">
      <c r="A162" s="33">
        <v>0.40475281322571244</v>
      </c>
      <c r="B162" s="34">
        <v>161</v>
      </c>
      <c r="C162" s="33">
        <v>0.18413597733711043</v>
      </c>
      <c r="D162" s="33">
        <v>0.26033057851239666</v>
      </c>
      <c r="E162" s="33">
        <v>0.31215970961887474</v>
      </c>
      <c r="F162" s="33">
        <v>0.31081081081081063</v>
      </c>
      <c r="G162" s="33">
        <v>0.17747683535281542</v>
      </c>
      <c r="H162" s="33">
        <v>0.30125212913963256</v>
      </c>
      <c r="I162" s="33">
        <v>0.47858197932053159</v>
      </c>
      <c r="J162" s="34">
        <v>3</v>
      </c>
      <c r="K162" s="54">
        <v>0</v>
      </c>
      <c r="L162" s="54">
        <v>0</v>
      </c>
      <c r="M162" s="54">
        <v>1</v>
      </c>
      <c r="N162" s="34"/>
    </row>
    <row r="163" spans="1:14" x14ac:dyDescent="0.2">
      <c r="A163" s="33">
        <v>0.90192989956065639</v>
      </c>
      <c r="B163" s="34">
        <v>30</v>
      </c>
      <c r="C163" s="33">
        <v>0.27006610009442866</v>
      </c>
      <c r="D163" s="33">
        <v>0.33264462809917344</v>
      </c>
      <c r="E163" s="33">
        <v>0.47459165154264998</v>
      </c>
      <c r="F163" s="33">
        <v>0.34740990990990994</v>
      </c>
      <c r="G163" s="33">
        <v>0.3100498930862437</v>
      </c>
      <c r="H163" s="33">
        <v>0.35963281280474335</v>
      </c>
      <c r="I163" s="33">
        <v>0.28458887247661269</v>
      </c>
      <c r="J163" s="34">
        <v>1</v>
      </c>
      <c r="K163" s="54">
        <v>1</v>
      </c>
      <c r="L163" s="54">
        <v>0</v>
      </c>
      <c r="M163" s="54">
        <v>0</v>
      </c>
      <c r="N163" s="34"/>
    </row>
    <row r="164" spans="1:14" x14ac:dyDescent="0.2">
      <c r="A164" s="33">
        <v>0.64279259153766422</v>
      </c>
      <c r="B164" s="34">
        <v>206</v>
      </c>
      <c r="C164" s="34">
        <v>0.15108593012275728</v>
      </c>
      <c r="D164" s="34">
        <v>0.16322314049586759</v>
      </c>
      <c r="E164" s="34">
        <v>0.63702359346642423</v>
      </c>
      <c r="F164" s="34">
        <v>0.13400900900900878</v>
      </c>
      <c r="G164" s="34">
        <v>0.25017818959372762</v>
      </c>
      <c r="H164" s="34">
        <v>0.37263519224017999</v>
      </c>
      <c r="I164" s="34">
        <v>0.17282127031019204</v>
      </c>
      <c r="J164" s="34">
        <v>3</v>
      </c>
      <c r="K164" s="54">
        <v>0</v>
      </c>
      <c r="L164" s="54">
        <v>0</v>
      </c>
      <c r="M164" s="54">
        <v>1</v>
      </c>
      <c r="N164" s="34"/>
    </row>
    <row r="165" spans="1:14" x14ac:dyDescent="0.2">
      <c r="A165" s="33">
        <v>5.6489185813116571E-2</v>
      </c>
      <c r="B165" s="34">
        <v>197</v>
      </c>
      <c r="C165" s="34">
        <v>0.20774315391879125</v>
      </c>
      <c r="D165" s="34">
        <v>0.23140495867768579</v>
      </c>
      <c r="E165" s="34">
        <v>0.63974591651542678</v>
      </c>
      <c r="F165" s="34">
        <v>0.18299549549549562</v>
      </c>
      <c r="G165" s="34">
        <v>0.30220955096222368</v>
      </c>
      <c r="H165" s="34">
        <v>0.61343925938446731</v>
      </c>
      <c r="I165" s="34">
        <v>0.2161496799606106</v>
      </c>
      <c r="J165" s="34">
        <v>3</v>
      </c>
      <c r="K165" s="54">
        <v>0</v>
      </c>
      <c r="L165" s="54">
        <v>0</v>
      </c>
      <c r="M165" s="54">
        <v>1</v>
      </c>
      <c r="N165" s="34"/>
    </row>
    <row r="166" spans="1:14" x14ac:dyDescent="0.2">
      <c r="A166" s="33">
        <v>0.49005236570823218</v>
      </c>
      <c r="B166" s="34">
        <v>129</v>
      </c>
      <c r="C166" s="33">
        <v>0.90368271954674229</v>
      </c>
      <c r="D166" s="33">
        <v>0.95454545454545481</v>
      </c>
      <c r="E166" s="33">
        <v>0.59346642468239597</v>
      </c>
      <c r="F166" s="33">
        <v>0.90878378378378377</v>
      </c>
      <c r="G166" s="33">
        <v>0.8146828225231646</v>
      </c>
      <c r="H166" s="33">
        <v>0.14886424215631461</v>
      </c>
      <c r="I166" s="33">
        <v>0.8202855736090594</v>
      </c>
      <c r="J166" s="34">
        <v>2</v>
      </c>
      <c r="K166" s="54">
        <v>0</v>
      </c>
      <c r="L166" s="54">
        <v>1</v>
      </c>
      <c r="M166" s="54">
        <v>0</v>
      </c>
      <c r="N166" s="34"/>
    </row>
    <row r="167" spans="1:14" x14ac:dyDescent="0.2">
      <c r="A167" s="33">
        <v>0.49884085372355835</v>
      </c>
      <c r="B167" s="34">
        <v>10</v>
      </c>
      <c r="C167" s="33">
        <v>0.55240793201133154</v>
      </c>
      <c r="D167" s="33">
        <v>0.58677685950413216</v>
      </c>
      <c r="E167" s="33">
        <v>0.72504537205081665</v>
      </c>
      <c r="F167" s="33">
        <v>0.55461711711711736</v>
      </c>
      <c r="G167" s="33">
        <v>0.62366357804704187</v>
      </c>
      <c r="H167" s="33">
        <v>0.15653564602322226</v>
      </c>
      <c r="I167" s="33">
        <v>0.49926144756277713</v>
      </c>
      <c r="J167" s="34">
        <v>1</v>
      </c>
      <c r="K167" s="54">
        <v>1</v>
      </c>
      <c r="L167" s="54">
        <v>0</v>
      </c>
      <c r="M167" s="54">
        <v>0</v>
      </c>
      <c r="N167" s="34"/>
    </row>
    <row r="168" spans="1:14" x14ac:dyDescent="0.2">
      <c r="A168" s="33">
        <v>0.49219892423523137</v>
      </c>
      <c r="B168" s="34">
        <v>27</v>
      </c>
      <c r="C168" s="33">
        <v>0.22946175637393765</v>
      </c>
      <c r="D168" s="33">
        <v>0.2789256198347107</v>
      </c>
      <c r="E168" s="33">
        <v>0.5081669691470051</v>
      </c>
      <c r="F168" s="33">
        <v>0.27927927927927904</v>
      </c>
      <c r="G168" s="33">
        <v>0.28225231646471832</v>
      </c>
      <c r="H168" s="33">
        <v>0.33908905329675337</v>
      </c>
      <c r="I168" s="33">
        <v>0.15066469719350079</v>
      </c>
      <c r="J168" s="34">
        <v>1</v>
      </c>
      <c r="K168" s="54">
        <v>1</v>
      </c>
      <c r="L168" s="54">
        <v>0</v>
      </c>
      <c r="M168" s="54">
        <v>0</v>
      </c>
      <c r="N168" s="34"/>
    </row>
    <row r="169" spans="1:14" x14ac:dyDescent="0.2">
      <c r="A169" s="33">
        <v>0.39347625310718637</v>
      </c>
      <c r="B169" s="34">
        <v>67</v>
      </c>
      <c r="C169" s="33">
        <v>0.35410764872521244</v>
      </c>
      <c r="D169" s="33">
        <v>0.40495867768595023</v>
      </c>
      <c r="E169" s="33">
        <v>0.58529945553539042</v>
      </c>
      <c r="F169" s="33">
        <v>0.41159909909909909</v>
      </c>
      <c r="G169" s="33">
        <v>0.39914468995010682</v>
      </c>
      <c r="H169" s="33">
        <v>7.1240036926757594E-2</v>
      </c>
      <c r="I169" s="33">
        <v>0.31068439192516017</v>
      </c>
      <c r="J169" s="34">
        <v>1</v>
      </c>
      <c r="K169" s="54">
        <v>1</v>
      </c>
      <c r="L169" s="54">
        <v>0</v>
      </c>
      <c r="M169" s="54">
        <v>0</v>
      </c>
      <c r="N169" s="34"/>
    </row>
    <row r="170" spans="1:14" x14ac:dyDescent="0.2">
      <c r="A170" s="33">
        <v>0.64475754546689756</v>
      </c>
      <c r="B170" s="34">
        <v>132</v>
      </c>
      <c r="C170" s="33">
        <v>0.78847969782813987</v>
      </c>
      <c r="D170" s="33">
        <v>0.80785123966942152</v>
      </c>
      <c r="E170" s="33">
        <v>0.78130671506352067</v>
      </c>
      <c r="F170" s="33">
        <v>0.7010135135135136</v>
      </c>
      <c r="G170" s="33">
        <v>0.85174625801853165</v>
      </c>
      <c r="H170" s="33">
        <v>0.27862798892197277</v>
      </c>
      <c r="I170" s="33">
        <v>0.70408665681930083</v>
      </c>
      <c r="J170" s="34">
        <v>2</v>
      </c>
      <c r="K170" s="54">
        <v>0</v>
      </c>
      <c r="L170" s="54">
        <v>1</v>
      </c>
      <c r="M170" s="54">
        <v>0</v>
      </c>
      <c r="N170" s="34"/>
    </row>
    <row r="171" spans="1:14" x14ac:dyDescent="0.2">
      <c r="A171" s="33">
        <v>0.6892486365625754</v>
      </c>
      <c r="B171" s="34">
        <v>117</v>
      </c>
      <c r="C171" s="33">
        <v>0.7903682719546743</v>
      </c>
      <c r="D171" s="33">
        <v>0.78305785123966931</v>
      </c>
      <c r="E171" s="33">
        <v>0.90381125226860204</v>
      </c>
      <c r="F171" s="33">
        <v>0.6486486486486488</v>
      </c>
      <c r="G171" s="33">
        <v>0.90306486101211647</v>
      </c>
      <c r="H171" s="33">
        <v>0.46404191967129987</v>
      </c>
      <c r="I171" s="33">
        <v>0.60610536681437721</v>
      </c>
      <c r="J171" s="34">
        <v>2</v>
      </c>
      <c r="K171" s="54">
        <v>0</v>
      </c>
      <c r="L171" s="54">
        <v>1</v>
      </c>
      <c r="M171" s="54">
        <v>0</v>
      </c>
      <c r="N171" s="34"/>
    </row>
    <row r="172" spans="1:14" x14ac:dyDescent="0.2">
      <c r="A172" s="33">
        <v>0.13646627867206884</v>
      </c>
      <c r="B172" s="34">
        <v>16</v>
      </c>
      <c r="C172" s="33">
        <v>0.37771482530689332</v>
      </c>
      <c r="D172" s="33">
        <v>0.38636363636363619</v>
      </c>
      <c r="E172" s="33">
        <v>0.82758620689655149</v>
      </c>
      <c r="F172" s="33">
        <v>0.25450450450450451</v>
      </c>
      <c r="G172" s="33">
        <v>0.50106913756236637</v>
      </c>
      <c r="H172" s="33">
        <v>0.44466837431249917</v>
      </c>
      <c r="I172" s="33">
        <v>0.12900049236829128</v>
      </c>
      <c r="J172" s="34">
        <v>1</v>
      </c>
      <c r="K172" s="54">
        <v>1</v>
      </c>
      <c r="L172" s="54">
        <v>0</v>
      </c>
      <c r="M172" s="54">
        <v>0</v>
      </c>
      <c r="N172" s="34"/>
    </row>
    <row r="173" spans="1:14" x14ac:dyDescent="0.2">
      <c r="A173" s="33">
        <v>0.14814888084166755</v>
      </c>
      <c r="B173" s="34">
        <v>118</v>
      </c>
      <c r="C173" s="33">
        <v>0.80830972615675156</v>
      </c>
      <c r="D173" s="33">
        <v>0.83471074380165278</v>
      </c>
      <c r="E173" s="33">
        <v>0.73411978221415608</v>
      </c>
      <c r="F173" s="33">
        <v>0.75788288288288297</v>
      </c>
      <c r="G173" s="33">
        <v>0.84461867426942239</v>
      </c>
      <c r="H173" s="33">
        <v>0.30151217672834135</v>
      </c>
      <c r="I173" s="33">
        <v>0.8202855736090594</v>
      </c>
      <c r="J173" s="34">
        <v>2</v>
      </c>
      <c r="K173" s="54">
        <v>0</v>
      </c>
      <c r="L173" s="54">
        <v>1</v>
      </c>
      <c r="M173" s="54">
        <v>0</v>
      </c>
      <c r="N173" s="34"/>
    </row>
    <row r="174" spans="1:14" x14ac:dyDescent="0.2">
      <c r="A174" s="33">
        <v>2.1334075173751188E-2</v>
      </c>
      <c r="B174" s="34">
        <v>13</v>
      </c>
      <c r="C174" s="33">
        <v>0.31161473087818703</v>
      </c>
      <c r="D174" s="33">
        <v>0.33264462809917344</v>
      </c>
      <c r="E174" s="33">
        <v>0.72504537205081665</v>
      </c>
      <c r="F174" s="33">
        <v>0.30405405405405411</v>
      </c>
      <c r="G174" s="33">
        <v>0.4055595153243049</v>
      </c>
      <c r="H174" s="33">
        <v>0.41879363923598029</v>
      </c>
      <c r="I174" s="33">
        <v>0.10782865583456443</v>
      </c>
      <c r="J174" s="34">
        <v>1</v>
      </c>
      <c r="K174" s="54">
        <v>1</v>
      </c>
      <c r="L174" s="54">
        <v>0</v>
      </c>
      <c r="M174" s="54">
        <v>0</v>
      </c>
      <c r="N174" s="34"/>
    </row>
    <row r="175" spans="1:14" x14ac:dyDescent="0.2">
      <c r="A175" s="33">
        <v>0.67592190007292596</v>
      </c>
      <c r="B175" s="34">
        <v>114</v>
      </c>
      <c r="C175" s="33">
        <v>0.80736543909348446</v>
      </c>
      <c r="D175" s="33">
        <v>0.8677685950413222</v>
      </c>
      <c r="E175" s="33">
        <v>0.5816696914700541</v>
      </c>
      <c r="F175" s="33">
        <v>0.76576576576576605</v>
      </c>
      <c r="G175" s="33">
        <v>0.78902352102637197</v>
      </c>
      <c r="H175" s="33">
        <v>0.76933778881535331</v>
      </c>
      <c r="I175" s="33">
        <v>0.75529295913343186</v>
      </c>
      <c r="J175" s="34">
        <v>2</v>
      </c>
      <c r="K175" s="54">
        <v>0</v>
      </c>
      <c r="L175" s="54">
        <v>1</v>
      </c>
      <c r="M175" s="54">
        <v>0</v>
      </c>
      <c r="N175" s="34"/>
    </row>
    <row r="176" spans="1:14" x14ac:dyDescent="0.2">
      <c r="A176" s="33">
        <v>0.483095711352579</v>
      </c>
      <c r="B176" s="34">
        <v>166</v>
      </c>
      <c r="C176" s="33">
        <v>0.1425873465533522</v>
      </c>
      <c r="D176" s="33">
        <v>0.15289256198347112</v>
      </c>
      <c r="E176" s="33">
        <v>0.64609800362976366</v>
      </c>
      <c r="F176" s="33">
        <v>0.11599099099099124</v>
      </c>
      <c r="G176" s="33">
        <v>0.22166785459729141</v>
      </c>
      <c r="H176" s="33">
        <v>0.18670116631343539</v>
      </c>
      <c r="I176" s="33">
        <v>0.26440177252584934</v>
      </c>
      <c r="J176" s="34">
        <v>3</v>
      </c>
      <c r="K176" s="54">
        <v>0</v>
      </c>
      <c r="L176" s="54">
        <v>0</v>
      </c>
      <c r="M176" s="54">
        <v>1</v>
      </c>
      <c r="N176" s="34"/>
    </row>
    <row r="177" spans="1:15" x14ac:dyDescent="0.2">
      <c r="A177" s="33">
        <v>8.1672757478213898E-2</v>
      </c>
      <c r="B177" s="34">
        <v>115</v>
      </c>
      <c r="C177" s="33">
        <v>0.98016997167138797</v>
      </c>
      <c r="D177" s="33">
        <v>1</v>
      </c>
      <c r="E177" s="33">
        <v>0.70598911070780401</v>
      </c>
      <c r="F177" s="33">
        <v>0.93693693693693691</v>
      </c>
      <c r="G177" s="33">
        <v>0.97006414825374176</v>
      </c>
      <c r="H177" s="33">
        <v>0.50864008113484771</v>
      </c>
      <c r="I177" s="33">
        <v>0.88478581979320525</v>
      </c>
      <c r="J177" s="34">
        <v>2</v>
      </c>
      <c r="K177" s="54">
        <v>0</v>
      </c>
      <c r="L177" s="54">
        <v>1</v>
      </c>
      <c r="M177" s="54">
        <v>0</v>
      </c>
      <c r="N177" s="34"/>
    </row>
    <row r="178" spans="1:15" x14ac:dyDescent="0.2">
      <c r="A178" s="33">
        <v>0.74039278004455011</v>
      </c>
      <c r="B178" s="34">
        <v>72</v>
      </c>
      <c r="C178" s="33">
        <v>0.59017941454202083</v>
      </c>
      <c r="D178" s="33">
        <v>0.67355371900826444</v>
      </c>
      <c r="E178" s="33">
        <v>0.49183303085299396</v>
      </c>
      <c r="F178" s="33">
        <v>0.61880630630630651</v>
      </c>
      <c r="G178" s="33">
        <v>0.60869565217391286</v>
      </c>
      <c r="H178" s="33">
        <v>0.50838003354613903</v>
      </c>
      <c r="I178" s="33">
        <v>0.66863613983259473</v>
      </c>
      <c r="J178" s="34">
        <v>2</v>
      </c>
      <c r="K178" s="54">
        <v>0</v>
      </c>
      <c r="L178" s="54">
        <v>1</v>
      </c>
      <c r="M178" s="54">
        <v>0</v>
      </c>
      <c r="N178" s="34"/>
    </row>
    <row r="179" spans="1:15" x14ac:dyDescent="0.2">
      <c r="A179" s="33">
        <v>2.3412925450542521E-2</v>
      </c>
      <c r="B179" s="34">
        <v>147</v>
      </c>
      <c r="C179" s="33">
        <v>7.9320113314447577E-2</v>
      </c>
      <c r="D179" s="33">
        <v>0.14876033057851254</v>
      </c>
      <c r="E179" s="33">
        <v>0.2304900181488202</v>
      </c>
      <c r="F179" s="33">
        <v>0.15596846846846857</v>
      </c>
      <c r="G179" s="33">
        <v>6.3435495367070521E-2</v>
      </c>
      <c r="H179" s="33">
        <v>0.18930164220052273</v>
      </c>
      <c r="I179" s="33">
        <v>0.30182176267848332</v>
      </c>
      <c r="J179" s="34">
        <v>3</v>
      </c>
      <c r="K179" s="54">
        <v>0</v>
      </c>
      <c r="L179" s="54">
        <v>0</v>
      </c>
      <c r="M179" s="54">
        <v>1</v>
      </c>
      <c r="N179" s="34"/>
    </row>
    <row r="180" spans="1:15" x14ac:dyDescent="0.2">
      <c r="A180" s="33">
        <v>0.59246426314513501</v>
      </c>
      <c r="B180" s="34">
        <v>41</v>
      </c>
      <c r="C180" s="33">
        <v>0.27856468366383375</v>
      </c>
      <c r="D180" s="33">
        <v>0.29752066115702469</v>
      </c>
      <c r="E180" s="33">
        <v>0.71687840290381111</v>
      </c>
      <c r="F180" s="33">
        <v>0.25281531531531526</v>
      </c>
      <c r="G180" s="33">
        <v>0.37491090520313619</v>
      </c>
      <c r="H180" s="33">
        <v>0.23689035093422103</v>
      </c>
      <c r="I180" s="33">
        <v>0.32447070408665679</v>
      </c>
      <c r="J180" s="34">
        <v>1</v>
      </c>
      <c r="K180" s="54">
        <v>1</v>
      </c>
      <c r="L180" s="54">
        <v>0</v>
      </c>
      <c r="M180" s="54">
        <v>0</v>
      </c>
      <c r="N180" s="34"/>
    </row>
    <row r="181" spans="1:15" x14ac:dyDescent="0.2">
      <c r="A181" s="33">
        <v>0.29599223658344298</v>
      </c>
      <c r="B181" s="34">
        <v>103</v>
      </c>
      <c r="C181" s="33">
        <v>0.83758262511803594</v>
      </c>
      <c r="D181" s="33">
        <v>0.8450413223140496</v>
      </c>
      <c r="E181" s="33">
        <v>0.82032667876587984</v>
      </c>
      <c r="F181" s="33">
        <v>0.68355855855855885</v>
      </c>
      <c r="G181" s="33">
        <v>0.89950106913756211</v>
      </c>
      <c r="H181" s="33">
        <v>0.46066130101808633</v>
      </c>
      <c r="I181" s="33">
        <v>0.73362875430822272</v>
      </c>
      <c r="J181" s="34">
        <v>2</v>
      </c>
      <c r="K181" s="54">
        <v>0</v>
      </c>
      <c r="L181" s="54">
        <v>1</v>
      </c>
      <c r="M181" s="54">
        <v>0</v>
      </c>
      <c r="N181" s="34"/>
    </row>
    <row r="182" spans="1:15" x14ac:dyDescent="0.2">
      <c r="A182" s="33">
        <v>0.21153395286287779</v>
      </c>
      <c r="B182" s="34">
        <v>22</v>
      </c>
      <c r="C182" s="33">
        <v>0.33238904627006605</v>
      </c>
      <c r="D182" s="33">
        <v>0.38223140495867763</v>
      </c>
      <c r="E182" s="33">
        <v>0.5816696914700541</v>
      </c>
      <c r="F182" s="33">
        <v>0.34966216216216195</v>
      </c>
      <c r="G182" s="33">
        <v>0.38346400570206707</v>
      </c>
      <c r="H182" s="33">
        <v>0.2500227541640121</v>
      </c>
      <c r="I182" s="33">
        <v>0.34465780403742013</v>
      </c>
      <c r="J182" s="34">
        <v>1</v>
      </c>
      <c r="K182" s="54">
        <v>1</v>
      </c>
      <c r="L182" s="54">
        <v>0</v>
      </c>
      <c r="M182" s="54">
        <v>0</v>
      </c>
      <c r="N182" s="34"/>
    </row>
    <row r="183" spans="1:15" x14ac:dyDescent="0.2">
      <c r="A183" s="33">
        <v>0.90043757907945854</v>
      </c>
      <c r="B183" s="34">
        <v>200</v>
      </c>
      <c r="C183" s="34">
        <v>0.20491029272898961</v>
      </c>
      <c r="D183" s="34">
        <v>0.20041322314049601</v>
      </c>
      <c r="E183" s="34">
        <v>0.8012704174228672</v>
      </c>
      <c r="F183" s="34">
        <v>9.7972972972973194E-2</v>
      </c>
      <c r="G183" s="34">
        <v>0.37419814682822505</v>
      </c>
      <c r="H183" s="34">
        <v>0.26822608537362341</v>
      </c>
      <c r="I183" s="34">
        <v>0.15312653865091089</v>
      </c>
      <c r="J183" s="34">
        <v>3</v>
      </c>
      <c r="K183" s="54">
        <v>0</v>
      </c>
      <c r="L183" s="54">
        <v>0</v>
      </c>
      <c r="M183" s="54">
        <v>1</v>
      </c>
      <c r="N183" s="34"/>
      <c r="O183" s="10"/>
    </row>
    <row r="184" spans="1:15" x14ac:dyDescent="0.2">
      <c r="A184" s="33">
        <v>0.60589452136016364</v>
      </c>
      <c r="B184" s="34">
        <v>202</v>
      </c>
      <c r="C184" s="34">
        <v>0.19641170915958453</v>
      </c>
      <c r="D184" s="34">
        <v>0.18801652892561987</v>
      </c>
      <c r="E184" s="34">
        <v>0.81306715063520907</v>
      </c>
      <c r="F184" s="34">
        <v>4.7860360360360343E-2</v>
      </c>
      <c r="G184" s="34">
        <v>0.35994297933000691</v>
      </c>
      <c r="H184" s="34">
        <v>0.19957352195451769</v>
      </c>
      <c r="I184" s="34">
        <v>0.11127523387493846</v>
      </c>
      <c r="J184" s="34">
        <v>3</v>
      </c>
      <c r="K184" s="54">
        <v>0</v>
      </c>
      <c r="L184" s="54">
        <v>0</v>
      </c>
      <c r="M184" s="54">
        <v>1</v>
      </c>
      <c r="N184" s="34"/>
      <c r="O184" s="10"/>
    </row>
    <row r="185" spans="1:15" x14ac:dyDescent="0.2">
      <c r="A185" s="33">
        <v>0.90542329357364082</v>
      </c>
      <c r="B185" s="34">
        <v>8</v>
      </c>
      <c r="C185" s="33">
        <v>0.33238904627006605</v>
      </c>
      <c r="D185" s="33">
        <v>0.34917355371900816</v>
      </c>
      <c r="E185" s="33">
        <v>0.75317604355716872</v>
      </c>
      <c r="F185" s="33">
        <v>0.29335585585585583</v>
      </c>
      <c r="G185" s="33">
        <v>0.47897362794012827</v>
      </c>
      <c r="H185" s="33">
        <v>0.2515830396962645</v>
      </c>
      <c r="I185" s="33">
        <v>0.23682914820285572</v>
      </c>
      <c r="J185" s="34">
        <v>1</v>
      </c>
      <c r="K185" s="54">
        <v>1</v>
      </c>
      <c r="L185" s="54">
        <v>0</v>
      </c>
      <c r="M185" s="54">
        <v>0</v>
      </c>
      <c r="N185" s="34"/>
    </row>
    <row r="186" spans="1:15" x14ac:dyDescent="0.2">
      <c r="A186" s="33">
        <v>0.25875268789737127</v>
      </c>
      <c r="B186" s="34">
        <v>35</v>
      </c>
      <c r="C186" s="33">
        <v>0.42115203021718611</v>
      </c>
      <c r="D186" s="33">
        <v>0.46900826446280985</v>
      </c>
      <c r="E186" s="33">
        <v>0.6333938294010889</v>
      </c>
      <c r="F186" s="33">
        <v>0.45777027027027017</v>
      </c>
      <c r="G186" s="33">
        <v>0.49750534568781163</v>
      </c>
      <c r="H186" s="33">
        <v>0.17733945311992097</v>
      </c>
      <c r="I186" s="33">
        <v>0.41408173313638619</v>
      </c>
      <c r="J186" s="34">
        <v>1</v>
      </c>
      <c r="K186" s="54">
        <v>1</v>
      </c>
      <c r="L186" s="54">
        <v>0</v>
      </c>
      <c r="M186" s="54">
        <v>0</v>
      </c>
      <c r="N186" s="34"/>
    </row>
    <row r="187" spans="1:15" x14ac:dyDescent="0.2">
      <c r="A187" s="33">
        <v>0.89183329291513969</v>
      </c>
      <c r="B187" s="34">
        <v>94</v>
      </c>
      <c r="C187" s="33">
        <v>0.75542965061378664</v>
      </c>
      <c r="D187" s="33">
        <v>0.7520661157024795</v>
      </c>
      <c r="E187" s="33">
        <v>0.89382940108892883</v>
      </c>
      <c r="F187" s="33">
        <v>0.64076576576576583</v>
      </c>
      <c r="G187" s="33">
        <v>0.87669280114041315</v>
      </c>
      <c r="H187" s="33">
        <v>0.68079158486002944</v>
      </c>
      <c r="I187" s="33">
        <v>0.66863613983259473</v>
      </c>
      <c r="J187" s="34">
        <v>2</v>
      </c>
      <c r="K187" s="54">
        <v>0</v>
      </c>
      <c r="L187" s="54">
        <v>1</v>
      </c>
      <c r="M187" s="54">
        <v>0</v>
      </c>
      <c r="N187" s="34"/>
    </row>
    <row r="188" spans="1:15" x14ac:dyDescent="0.2">
      <c r="A188" s="33">
        <v>4.2940097660504106E-2</v>
      </c>
      <c r="B188" s="34">
        <v>2</v>
      </c>
      <c r="C188" s="33">
        <v>0.40509915014164316</v>
      </c>
      <c r="D188" s="33">
        <v>0.44628099173553726</v>
      </c>
      <c r="E188" s="33">
        <v>0.66243194192377475</v>
      </c>
      <c r="F188" s="33">
        <v>0.36880630630630651</v>
      </c>
      <c r="G188" s="33">
        <v>0.50106913756236637</v>
      </c>
      <c r="H188" s="33">
        <v>3.2883017592219378E-2</v>
      </c>
      <c r="I188" s="33">
        <v>0.21516494337764666</v>
      </c>
      <c r="J188" s="34">
        <v>1</v>
      </c>
      <c r="K188" s="54">
        <v>1</v>
      </c>
      <c r="L188" s="54">
        <v>0</v>
      </c>
      <c r="M188" s="54">
        <v>0</v>
      </c>
      <c r="N188" s="34"/>
    </row>
    <row r="189" spans="1:15" x14ac:dyDescent="0.2">
      <c r="A189" s="33">
        <v>0.59997422638174736</v>
      </c>
      <c r="B189" s="34">
        <v>199</v>
      </c>
      <c r="C189" s="34">
        <v>0.1916902738432483</v>
      </c>
      <c r="D189" s="34">
        <v>0.26033057851239666</v>
      </c>
      <c r="E189" s="34">
        <v>0.36297640653357477</v>
      </c>
      <c r="F189" s="34">
        <v>0.28772522522522531</v>
      </c>
      <c r="G189" s="34">
        <v>0.20028510334996438</v>
      </c>
      <c r="H189" s="34">
        <v>0.33037745907501076</v>
      </c>
      <c r="I189" s="34">
        <v>0.35056622353520428</v>
      </c>
      <c r="J189" s="34">
        <v>3</v>
      </c>
      <c r="K189" s="54">
        <v>0</v>
      </c>
      <c r="L189" s="54">
        <v>0</v>
      </c>
      <c r="M189" s="54">
        <v>1</v>
      </c>
      <c r="N189" s="34"/>
    </row>
    <row r="190" spans="1:15" x14ac:dyDescent="0.2">
      <c r="A190" s="33">
        <v>0.49746933184278541</v>
      </c>
      <c r="B190" s="34">
        <v>74</v>
      </c>
      <c r="C190" s="33">
        <v>0.80453257790368271</v>
      </c>
      <c r="D190" s="33">
        <v>0.79545454545454575</v>
      </c>
      <c r="E190" s="33">
        <v>0.90744101633393837</v>
      </c>
      <c r="F190" s="33">
        <v>0.70664414414414412</v>
      </c>
      <c r="G190" s="33">
        <v>0.92658588738417669</v>
      </c>
      <c r="H190" s="33">
        <v>0.28226865516389504</v>
      </c>
      <c r="I190" s="33">
        <v>0.76809453471196443</v>
      </c>
      <c r="J190" s="34">
        <v>2</v>
      </c>
      <c r="K190" s="54">
        <v>0</v>
      </c>
      <c r="L190" s="54">
        <v>1</v>
      </c>
      <c r="M190" s="54">
        <v>0</v>
      </c>
      <c r="N190" s="34"/>
    </row>
    <row r="191" spans="1:15" x14ac:dyDescent="0.2">
      <c r="A191" s="33">
        <v>0.9830393042884199</v>
      </c>
      <c r="B191" s="34">
        <v>116</v>
      </c>
      <c r="C191" s="33">
        <v>0.79981114258734642</v>
      </c>
      <c r="D191" s="33">
        <v>0.83471074380165278</v>
      </c>
      <c r="E191" s="33">
        <v>0.7014519056261338</v>
      </c>
      <c r="F191" s="33">
        <v>0.85416666666666696</v>
      </c>
      <c r="G191" s="33">
        <v>0.77619387027797548</v>
      </c>
      <c r="H191" s="33">
        <v>0.19281228464809066</v>
      </c>
      <c r="I191" s="33">
        <v>0.80945347119645517</v>
      </c>
      <c r="J191" s="34">
        <v>2</v>
      </c>
      <c r="K191" s="54">
        <v>0</v>
      </c>
      <c r="L191" s="54">
        <v>1</v>
      </c>
      <c r="M191" s="54">
        <v>0</v>
      </c>
      <c r="N191" s="34"/>
    </row>
    <row r="192" spans="1:15" x14ac:dyDescent="0.2">
      <c r="A192" s="33">
        <v>0.65380276759722444</v>
      </c>
      <c r="B192" s="34">
        <v>60</v>
      </c>
      <c r="C192" s="33">
        <v>0.14353163361661941</v>
      </c>
      <c r="D192" s="33">
        <v>0.21900826446281002</v>
      </c>
      <c r="E192" s="33">
        <v>0.28221415607985406</v>
      </c>
      <c r="F192" s="33">
        <v>0.14639639639639629</v>
      </c>
      <c r="G192" s="33">
        <v>0.28652886671418387</v>
      </c>
      <c r="H192" s="33">
        <v>9.5814534059732948E-2</v>
      </c>
      <c r="I192" s="33">
        <v>0</v>
      </c>
      <c r="J192" s="34">
        <v>1</v>
      </c>
      <c r="K192" s="54">
        <v>1</v>
      </c>
      <c r="L192" s="54">
        <v>0</v>
      </c>
      <c r="M192" s="54">
        <v>0</v>
      </c>
      <c r="N192" s="34"/>
    </row>
    <row r="193" spans="1:14" x14ac:dyDescent="0.2">
      <c r="A193" s="33">
        <v>0.9261251977069167</v>
      </c>
      <c r="B193" s="34">
        <v>207</v>
      </c>
      <c r="C193" s="34">
        <v>6.0434372049102979E-2</v>
      </c>
      <c r="D193" s="34">
        <v>9.710743801652906E-2</v>
      </c>
      <c r="E193" s="34">
        <v>0.39019963702359295</v>
      </c>
      <c r="F193" s="34">
        <v>0.13569819819819803</v>
      </c>
      <c r="G193" s="34">
        <v>0.11760513186029935</v>
      </c>
      <c r="H193" s="34">
        <v>0.46287170552211065</v>
      </c>
      <c r="I193" s="34">
        <v>0.23830625307730186</v>
      </c>
      <c r="J193" s="34">
        <v>3</v>
      </c>
      <c r="K193" s="54">
        <v>0</v>
      </c>
      <c r="L193" s="54">
        <v>0</v>
      </c>
      <c r="M193" s="54">
        <v>1</v>
      </c>
      <c r="N193" s="34"/>
    </row>
    <row r="194" spans="1:14" x14ac:dyDescent="0.2">
      <c r="A194" s="33">
        <v>0.1399530642872735</v>
      </c>
      <c r="B194" s="34">
        <v>26</v>
      </c>
      <c r="C194" s="33">
        <v>0.52880075542965077</v>
      </c>
      <c r="D194" s="33">
        <v>0.56818181818181823</v>
      </c>
      <c r="E194" s="33">
        <v>0.69691470054446469</v>
      </c>
      <c r="F194" s="33">
        <v>0.52590090090090102</v>
      </c>
      <c r="G194" s="33">
        <v>0.56379187455452573</v>
      </c>
      <c r="H194" s="33">
        <v>1.7930281241467193E-2</v>
      </c>
      <c r="I194" s="33">
        <v>0.3879862136878387</v>
      </c>
      <c r="J194" s="34">
        <v>1</v>
      </c>
      <c r="K194" s="54">
        <v>1</v>
      </c>
      <c r="L194" s="54">
        <v>0</v>
      </c>
      <c r="M194" s="54">
        <v>0</v>
      </c>
      <c r="N194" s="34"/>
    </row>
    <row r="195" spans="1:14" x14ac:dyDescent="0.2">
      <c r="A195" s="33">
        <v>0.2691409442242515</v>
      </c>
      <c r="B195" s="34">
        <v>182</v>
      </c>
      <c r="C195" s="33">
        <v>0.1765816808309727</v>
      </c>
      <c r="D195" s="33">
        <v>0.20661157024793389</v>
      </c>
      <c r="E195" s="33">
        <v>0.56715063520871156</v>
      </c>
      <c r="F195" s="33">
        <v>0.18975225225225212</v>
      </c>
      <c r="G195" s="33">
        <v>0.27583749109052025</v>
      </c>
      <c r="H195" s="33">
        <v>0.54894745738470141</v>
      </c>
      <c r="I195" s="33">
        <v>0.30920728705071404</v>
      </c>
      <c r="J195" s="34">
        <v>3</v>
      </c>
      <c r="K195" s="54">
        <v>0</v>
      </c>
      <c r="L195" s="54">
        <v>0</v>
      </c>
      <c r="M195" s="54">
        <v>1</v>
      </c>
      <c r="N195" s="34"/>
    </row>
    <row r="196" spans="1:14" x14ac:dyDescent="0.2">
      <c r="A196" s="33">
        <v>0.2023995556807846</v>
      </c>
      <c r="B196" s="34">
        <v>101</v>
      </c>
      <c r="C196" s="33">
        <v>0.54957507082152979</v>
      </c>
      <c r="D196" s="33">
        <v>0.58677685950413216</v>
      </c>
      <c r="E196" s="33">
        <v>0.71234119782214189</v>
      </c>
      <c r="F196" s="33">
        <v>0.46114864864864868</v>
      </c>
      <c r="G196" s="33">
        <v>0.63791874554525996</v>
      </c>
      <c r="H196" s="33">
        <v>0.44882913573183897</v>
      </c>
      <c r="I196" s="33">
        <v>0.54111275233874956</v>
      </c>
      <c r="J196" s="34">
        <v>2</v>
      </c>
      <c r="K196" s="54">
        <v>0</v>
      </c>
      <c r="L196" s="54">
        <v>1</v>
      </c>
      <c r="M196" s="54">
        <v>0</v>
      </c>
      <c r="N196" s="34"/>
    </row>
    <row r="197" spans="1:14" x14ac:dyDescent="0.2">
      <c r="A197" s="33">
        <v>0.74189499208503951</v>
      </c>
      <c r="B197" s="34">
        <v>122</v>
      </c>
      <c r="C197" s="33">
        <v>0.71293673276676117</v>
      </c>
      <c r="D197" s="33">
        <v>0.76652892561983488</v>
      </c>
      <c r="E197" s="33">
        <v>0.62704174228675102</v>
      </c>
      <c r="F197" s="33">
        <v>0.65315315315315325</v>
      </c>
      <c r="G197" s="33">
        <v>0.66500356379187453</v>
      </c>
      <c r="H197" s="33">
        <v>0.37107490670792764</v>
      </c>
      <c r="I197" s="33">
        <v>0.73461349089118666</v>
      </c>
      <c r="J197" s="34">
        <v>2</v>
      </c>
      <c r="K197" s="54">
        <v>0</v>
      </c>
      <c r="L197" s="54">
        <v>1</v>
      </c>
      <c r="M197" s="54">
        <v>0</v>
      </c>
      <c r="N197" s="34"/>
    </row>
    <row r="198" spans="1:14" x14ac:dyDescent="0.2">
      <c r="A198" s="33">
        <v>0.84930780143713724</v>
      </c>
      <c r="B198" s="34">
        <v>157</v>
      </c>
      <c r="C198" s="33">
        <v>7.0821529745042494E-2</v>
      </c>
      <c r="D198" s="33">
        <v>9.5041322314049395E-2</v>
      </c>
      <c r="E198" s="33">
        <v>0.46733212341197827</v>
      </c>
      <c r="F198" s="33">
        <v>8.6711711711711673E-2</v>
      </c>
      <c r="G198" s="33">
        <v>0.15609408410548842</v>
      </c>
      <c r="H198" s="33">
        <v>0.33570843464353983</v>
      </c>
      <c r="I198" s="33">
        <v>0.23830625307730186</v>
      </c>
      <c r="J198" s="34">
        <v>3</v>
      </c>
      <c r="K198" s="54">
        <v>0</v>
      </c>
      <c r="L198" s="54">
        <v>0</v>
      </c>
      <c r="M198" s="54">
        <v>1</v>
      </c>
      <c r="N198" s="34"/>
    </row>
    <row r="199" spans="1:14" x14ac:dyDescent="0.2">
      <c r="A199" s="33">
        <v>0.91001647609140468</v>
      </c>
      <c r="B199" s="34">
        <v>102</v>
      </c>
      <c r="C199" s="33">
        <v>0.69877242681775242</v>
      </c>
      <c r="D199" s="33">
        <v>0.7128099173553718</v>
      </c>
      <c r="E199" s="33">
        <v>0.82667876588021771</v>
      </c>
      <c r="F199" s="33">
        <v>0.55799549549549532</v>
      </c>
      <c r="G199" s="33">
        <v>0.75837491090520293</v>
      </c>
      <c r="H199" s="33">
        <v>0.16940800166430461</v>
      </c>
      <c r="I199" s="33">
        <v>0.64894140817331358</v>
      </c>
      <c r="J199" s="34">
        <v>2</v>
      </c>
      <c r="K199" s="54">
        <v>0</v>
      </c>
      <c r="L199" s="54">
        <v>1</v>
      </c>
      <c r="M199" s="54">
        <v>0</v>
      </c>
      <c r="N199" s="34"/>
    </row>
    <row r="200" spans="1:14" x14ac:dyDescent="0.2">
      <c r="A200" s="33">
        <v>0.45842476207188321</v>
      </c>
      <c r="B200" s="34">
        <v>80</v>
      </c>
      <c r="C200" s="33">
        <v>0.61661945231350346</v>
      </c>
      <c r="D200" s="33">
        <v>0.64876033057851257</v>
      </c>
      <c r="E200" s="33">
        <v>0.73593466424682374</v>
      </c>
      <c r="F200" s="33">
        <v>0.5354729729729728</v>
      </c>
      <c r="G200" s="33">
        <v>0.66714183891660706</v>
      </c>
      <c r="H200" s="33">
        <v>0.27212679920425442</v>
      </c>
      <c r="I200" s="33">
        <v>0.60413589364844933</v>
      </c>
      <c r="J200" s="34">
        <v>2</v>
      </c>
      <c r="K200" s="54">
        <v>0</v>
      </c>
      <c r="L200" s="54">
        <v>1</v>
      </c>
      <c r="M200" s="54">
        <v>0</v>
      </c>
      <c r="N200" s="34"/>
    </row>
    <row r="201" spans="1:14" x14ac:dyDescent="0.2">
      <c r="A201" s="33">
        <v>0.96125090946568481</v>
      </c>
      <c r="B201" s="34">
        <v>124</v>
      </c>
      <c r="C201" s="33">
        <v>0.7403210576015109</v>
      </c>
      <c r="D201" s="33">
        <v>0.73553719008264473</v>
      </c>
      <c r="E201" s="33">
        <v>0.90381125226860204</v>
      </c>
      <c r="F201" s="33">
        <v>0.60867117117117142</v>
      </c>
      <c r="G201" s="33">
        <v>0.81325730577334254</v>
      </c>
      <c r="H201" s="33">
        <v>0.28850979729290466</v>
      </c>
      <c r="I201" s="33">
        <v>0.68242245199409179</v>
      </c>
      <c r="J201" s="34">
        <v>2</v>
      </c>
      <c r="K201" s="54">
        <v>0</v>
      </c>
      <c r="L201" s="54">
        <v>1</v>
      </c>
      <c r="M201" s="54">
        <v>0</v>
      </c>
      <c r="N201" s="34"/>
    </row>
    <row r="202" spans="1:14" x14ac:dyDescent="0.2">
      <c r="A202" s="33">
        <v>0.79471333059307192</v>
      </c>
      <c r="B202" s="34">
        <v>127</v>
      </c>
      <c r="C202" s="33">
        <v>0.76109537299338992</v>
      </c>
      <c r="D202" s="33">
        <v>0.82644628099173556</v>
      </c>
      <c r="E202" s="33">
        <v>0.55989110707803991</v>
      </c>
      <c r="F202" s="33">
        <v>0.78040540540540559</v>
      </c>
      <c r="G202" s="33">
        <v>0.68709907341411236</v>
      </c>
      <c r="H202" s="33">
        <v>0.47145327594949882</v>
      </c>
      <c r="I202" s="33">
        <v>0.77941900541605147</v>
      </c>
      <c r="J202" s="34">
        <v>2</v>
      </c>
      <c r="K202" s="54">
        <v>0</v>
      </c>
      <c r="L202" s="54">
        <v>1</v>
      </c>
      <c r="M202" s="54">
        <v>0</v>
      </c>
      <c r="N202" s="34"/>
    </row>
    <row r="203" spans="1:14" x14ac:dyDescent="0.2">
      <c r="A203" s="33">
        <v>0.80816399760578372</v>
      </c>
      <c r="B203" s="34">
        <v>158</v>
      </c>
      <c r="C203" s="33">
        <v>0.14542020774315401</v>
      </c>
      <c r="D203" s="33">
        <v>0.27272727272727282</v>
      </c>
      <c r="E203" s="33">
        <v>0</v>
      </c>
      <c r="F203" s="33">
        <v>0.27871621621621628</v>
      </c>
      <c r="G203" s="33">
        <v>8.1967213114754217E-2</v>
      </c>
      <c r="H203" s="33">
        <v>0.52788360269929402</v>
      </c>
      <c r="I203" s="33">
        <v>0.34515017232890188</v>
      </c>
      <c r="J203" s="34">
        <v>3</v>
      </c>
      <c r="K203" s="54">
        <v>0</v>
      </c>
      <c r="L203" s="54">
        <v>0</v>
      </c>
      <c r="M203" s="54">
        <v>1</v>
      </c>
      <c r="N203" s="34"/>
    </row>
    <row r="204" spans="1:14" x14ac:dyDescent="0.2">
      <c r="A204" s="33">
        <v>0.73991758361196436</v>
      </c>
      <c r="B204" s="34">
        <v>128</v>
      </c>
      <c r="C204" s="33">
        <v>0.69782813975448543</v>
      </c>
      <c r="D204" s="33">
        <v>0.71074380165289253</v>
      </c>
      <c r="E204" s="33">
        <v>0.82758620689655149</v>
      </c>
      <c r="F204" s="33">
        <v>0.60810810810810823</v>
      </c>
      <c r="G204" s="33">
        <v>0.75338560228082652</v>
      </c>
      <c r="H204" s="33">
        <v>0.19398249879727994</v>
      </c>
      <c r="I204" s="33">
        <v>0.68931560807483983</v>
      </c>
      <c r="J204" s="34">
        <v>2</v>
      </c>
      <c r="K204" s="54">
        <v>0</v>
      </c>
      <c r="L204" s="54">
        <v>1</v>
      </c>
      <c r="M204" s="54">
        <v>0</v>
      </c>
      <c r="N204" s="34"/>
    </row>
    <row r="205" spans="1:14" x14ac:dyDescent="0.2">
      <c r="A205" s="33">
        <v>0.8444189981348057</v>
      </c>
      <c r="B205" s="34">
        <v>57</v>
      </c>
      <c r="C205" s="33">
        <v>0.36543909348441939</v>
      </c>
      <c r="D205" s="33">
        <v>0.40082644628099162</v>
      </c>
      <c r="E205" s="33">
        <v>0.66878402903811263</v>
      </c>
      <c r="F205" s="33">
        <v>0.27533783783783777</v>
      </c>
      <c r="G205" s="33">
        <v>0.53243050605844588</v>
      </c>
      <c r="H205" s="33">
        <v>0.26484546672040987</v>
      </c>
      <c r="I205" s="33">
        <v>0.25849335302806475</v>
      </c>
      <c r="J205" s="34">
        <v>1</v>
      </c>
      <c r="K205" s="54">
        <v>1</v>
      </c>
      <c r="L205" s="54">
        <v>0</v>
      </c>
      <c r="M205" s="54">
        <v>0</v>
      </c>
      <c r="N205" s="34"/>
    </row>
    <row r="206" spans="1:14" x14ac:dyDescent="0.2">
      <c r="A206" s="33">
        <v>0.70433097461557947</v>
      </c>
      <c r="B206" s="34">
        <v>192</v>
      </c>
      <c r="C206" s="33">
        <v>6.4211520302171837E-2</v>
      </c>
      <c r="D206" s="33">
        <v>9.2975206611570105E-2</v>
      </c>
      <c r="E206" s="33">
        <v>0.4373865698729576</v>
      </c>
      <c r="F206" s="33">
        <v>0.10810810810810821</v>
      </c>
      <c r="G206" s="33">
        <v>0.12401995723449742</v>
      </c>
      <c r="H206" s="33">
        <v>0.41866361544162584</v>
      </c>
      <c r="I206" s="33">
        <v>0.23732151649433791</v>
      </c>
      <c r="J206" s="34">
        <v>3</v>
      </c>
      <c r="K206" s="54">
        <v>0</v>
      </c>
      <c r="L206" s="54">
        <v>0</v>
      </c>
      <c r="M206" s="54">
        <v>1</v>
      </c>
      <c r="N206" s="34"/>
    </row>
    <row r="207" spans="1:14" x14ac:dyDescent="0.2">
      <c r="A207" s="33">
        <v>3.9369853911396246E-3</v>
      </c>
      <c r="B207" s="34">
        <v>195</v>
      </c>
      <c r="C207" s="34">
        <v>0.14353163361661941</v>
      </c>
      <c r="D207" s="34">
        <v>0.17768595041322302</v>
      </c>
      <c r="E207" s="34">
        <v>0.50635208711433732</v>
      </c>
      <c r="F207" s="34">
        <v>0.18975225225225212</v>
      </c>
      <c r="G207" s="34">
        <v>0.24590163934426235</v>
      </c>
      <c r="H207" s="34">
        <v>0.43777711321171775</v>
      </c>
      <c r="I207" s="34">
        <v>0.24273756770063984</v>
      </c>
      <c r="J207" s="34">
        <v>3</v>
      </c>
      <c r="K207" s="54">
        <v>0</v>
      </c>
      <c r="L207" s="54">
        <v>0</v>
      </c>
      <c r="M207" s="54">
        <v>1</v>
      </c>
      <c r="N207" s="34"/>
    </row>
    <row r="208" spans="1:14" x14ac:dyDescent="0.2">
      <c r="A208" s="33">
        <v>7.3942459403952943E-2</v>
      </c>
      <c r="B208" s="34">
        <v>28</v>
      </c>
      <c r="C208" s="33">
        <v>0.20302171860245519</v>
      </c>
      <c r="D208" s="33">
        <v>0.26033057851239666</v>
      </c>
      <c r="E208" s="33">
        <v>0.43829401088929243</v>
      </c>
      <c r="F208" s="33">
        <v>0.27927927927927904</v>
      </c>
      <c r="G208" s="33">
        <v>0.23235923022095506</v>
      </c>
      <c r="H208" s="33">
        <v>0.22609837600280855</v>
      </c>
      <c r="I208" s="33">
        <v>0.17232890201870985</v>
      </c>
      <c r="J208" s="34">
        <v>1</v>
      </c>
      <c r="K208" s="54">
        <v>1</v>
      </c>
      <c r="L208" s="54">
        <v>0</v>
      </c>
      <c r="M208" s="54">
        <v>0</v>
      </c>
      <c r="N208" s="34"/>
    </row>
    <row r="209" spans="1:14" x14ac:dyDescent="0.2">
      <c r="A209" s="33">
        <v>0.77137910701933121</v>
      </c>
      <c r="B209" s="34">
        <v>177</v>
      </c>
      <c r="C209" s="33">
        <v>6.3267233238904624E-2</v>
      </c>
      <c r="D209" s="33">
        <v>0.12396694214876026</v>
      </c>
      <c r="E209" s="33">
        <v>0.248638838475499</v>
      </c>
      <c r="F209" s="33">
        <v>0.16159909909909909</v>
      </c>
      <c r="G209" s="33">
        <v>5.7020669992872447E-2</v>
      </c>
      <c r="H209" s="33">
        <v>0.59419573782002111</v>
      </c>
      <c r="I209" s="33">
        <v>0.28212703101920217</v>
      </c>
      <c r="J209" s="34">
        <v>3</v>
      </c>
      <c r="K209" s="54">
        <v>0</v>
      </c>
      <c r="L209" s="54">
        <v>0</v>
      </c>
      <c r="M209" s="54">
        <v>1</v>
      </c>
      <c r="N209" s="34"/>
    </row>
    <row r="210" spans="1:14" x14ac:dyDescent="0.2">
      <c r="A210" s="33">
        <v>0.88981117326328696</v>
      </c>
      <c r="B210" s="34">
        <v>179</v>
      </c>
      <c r="C210" s="33">
        <v>8.4041548630783808E-2</v>
      </c>
      <c r="D210" s="33">
        <v>0.1322314049586778</v>
      </c>
      <c r="E210" s="33">
        <v>0.35571687840290406</v>
      </c>
      <c r="F210" s="33">
        <v>0.15822072072072058</v>
      </c>
      <c r="G210" s="33">
        <v>9.1233071988595912E-2</v>
      </c>
      <c r="H210" s="33">
        <v>0.6645386105657336</v>
      </c>
      <c r="I210" s="33">
        <v>0.23781388478581966</v>
      </c>
      <c r="J210" s="34">
        <v>3</v>
      </c>
      <c r="K210" s="54">
        <v>0</v>
      </c>
      <c r="L210" s="54">
        <v>0</v>
      </c>
      <c r="M210" s="54">
        <v>1</v>
      </c>
      <c r="N210" s="34"/>
    </row>
    <row r="211" spans="1:14" x14ac:dyDescent="0.2">
      <c r="A211" s="33">
        <v>0.35944110428963794</v>
      </c>
      <c r="B211" s="34">
        <v>189</v>
      </c>
      <c r="C211" s="33">
        <v>6.0434372049102979E-2</v>
      </c>
      <c r="D211" s="33">
        <v>8.471074380165293E-2</v>
      </c>
      <c r="E211" s="33">
        <v>0.46551724137931061</v>
      </c>
      <c r="F211" s="33">
        <v>0.10698198198198221</v>
      </c>
      <c r="G211" s="33">
        <v>0.13613684960798306</v>
      </c>
      <c r="H211" s="33">
        <v>0.87881782366173011</v>
      </c>
      <c r="I211" s="33">
        <v>0.21565731166912841</v>
      </c>
      <c r="J211" s="34">
        <v>3</v>
      </c>
      <c r="K211" s="54">
        <v>0</v>
      </c>
      <c r="L211" s="54">
        <v>0</v>
      </c>
      <c r="M211" s="54">
        <v>1</v>
      </c>
      <c r="N211" s="34"/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A230"/>
  <sheetViews>
    <sheetView showGridLines="0" workbookViewId="0">
      <selection activeCell="O2" sqref="O2"/>
    </sheetView>
  </sheetViews>
  <sheetFormatPr defaultRowHeight="12.75" x14ac:dyDescent="0.2"/>
  <cols>
    <col min="1" max="1" width="10.42578125" bestFit="1" customWidth="1"/>
    <col min="2" max="2" width="5.42578125" bestFit="1" customWidth="1"/>
    <col min="3" max="4" width="8.5703125" bestFit="1" customWidth="1"/>
    <col min="5" max="7" width="7.5703125" bestFit="1" customWidth="1"/>
    <col min="8" max="9" width="7.5703125" customWidth="1"/>
    <col min="10" max="10" width="4" customWidth="1"/>
    <col min="11" max="13" width="8" bestFit="1" customWidth="1"/>
    <col min="14" max="14" width="9.7109375" bestFit="1" customWidth="1"/>
    <col min="18" max="18" width="9.5703125" bestFit="1" customWidth="1"/>
  </cols>
  <sheetData>
    <row r="1" spans="1:25" x14ac:dyDescent="0.2">
      <c r="A1" t="s">
        <v>74</v>
      </c>
      <c r="B1" t="s">
        <v>75</v>
      </c>
      <c r="C1" s="34" t="s">
        <v>61</v>
      </c>
      <c r="D1" s="34" t="s">
        <v>62</v>
      </c>
      <c r="E1" s="34" t="s">
        <v>63</v>
      </c>
      <c r="F1" s="34" t="s">
        <v>64</v>
      </c>
      <c r="G1" s="34" t="s">
        <v>65</v>
      </c>
      <c r="H1" s="34" t="s">
        <v>122</v>
      </c>
      <c r="I1" s="34" t="s">
        <v>123</v>
      </c>
      <c r="J1" s="34" t="s">
        <v>46</v>
      </c>
      <c r="K1" s="39" t="s">
        <v>70</v>
      </c>
      <c r="L1" s="39" t="s">
        <v>71</v>
      </c>
      <c r="M1" s="39" t="s">
        <v>72</v>
      </c>
      <c r="O1" s="5" t="s">
        <v>154</v>
      </c>
      <c r="P1" s="34"/>
      <c r="Q1" s="79" t="s">
        <v>229</v>
      </c>
      <c r="R1" s="34"/>
    </row>
    <row r="2" spans="1:25" ht="19.5" x14ac:dyDescent="0.3">
      <c r="A2" s="33">
        <v>0.50082197447395294</v>
      </c>
      <c r="B2" s="34">
        <v>194</v>
      </c>
      <c r="C2" s="34">
        <v>2.1718602455146407E-2</v>
      </c>
      <c r="D2" s="34">
        <v>8.677685950413222E-2</v>
      </c>
      <c r="E2" s="34">
        <v>0.15880217785843889</v>
      </c>
      <c r="F2" s="34">
        <v>0.15822072072072058</v>
      </c>
      <c r="G2" s="53">
        <v>0</v>
      </c>
      <c r="H2" s="34">
        <v>0.53152426894121618</v>
      </c>
      <c r="I2" s="34">
        <v>0.28064992614475648</v>
      </c>
      <c r="J2" s="34">
        <v>3</v>
      </c>
      <c r="K2" s="54">
        <v>0</v>
      </c>
      <c r="L2" s="54">
        <v>0</v>
      </c>
      <c r="M2" s="54">
        <v>1</v>
      </c>
      <c r="N2" s="31"/>
      <c r="O2" s="62">
        <v>117</v>
      </c>
      <c r="P2" s="54"/>
      <c r="Q2" s="54"/>
      <c r="R2" s="34"/>
      <c r="S2" s="94" t="s">
        <v>158</v>
      </c>
      <c r="T2" s="94"/>
      <c r="U2" s="94"/>
      <c r="V2" s="94"/>
      <c r="W2" s="94"/>
      <c r="X2" s="94"/>
      <c r="Y2" s="94"/>
    </row>
    <row r="3" spans="1:25" x14ac:dyDescent="0.2">
      <c r="A3" s="33">
        <v>0.57784246334769596</v>
      </c>
      <c r="B3" s="34">
        <v>78</v>
      </c>
      <c r="C3" s="33">
        <v>0.95561850802644011</v>
      </c>
      <c r="D3" s="33">
        <v>0.99586776859504145</v>
      </c>
      <c r="E3" s="33">
        <v>0.61887477313974548</v>
      </c>
      <c r="F3" s="33">
        <v>0.94594594594594594</v>
      </c>
      <c r="G3" s="33">
        <v>0.84390591589451158</v>
      </c>
      <c r="H3" s="33">
        <v>0.47925470361076078</v>
      </c>
      <c r="I3" s="33">
        <v>0.95125553914327909</v>
      </c>
      <c r="J3" s="34">
        <v>2</v>
      </c>
      <c r="K3" s="54">
        <v>0</v>
      </c>
      <c r="L3" s="54">
        <v>1</v>
      </c>
      <c r="M3" s="54">
        <v>0</v>
      </c>
    </row>
    <row r="4" spans="1:25" x14ac:dyDescent="0.2">
      <c r="A4" s="33">
        <v>2.5729818892629486E-2</v>
      </c>
      <c r="B4" s="34">
        <v>11</v>
      </c>
      <c r="C4" s="33">
        <v>0.44098205854579792</v>
      </c>
      <c r="D4" s="33">
        <v>0.50413223140495855</v>
      </c>
      <c r="E4" s="33">
        <v>0.55807622504537224</v>
      </c>
      <c r="F4" s="33">
        <v>0.45889639639639668</v>
      </c>
      <c r="G4" s="33">
        <v>0.43620812544547388</v>
      </c>
      <c r="H4" s="33">
        <v>0.49121689269136259</v>
      </c>
      <c r="I4" s="33">
        <v>0.39143279172821271</v>
      </c>
      <c r="J4" s="34">
        <v>1</v>
      </c>
      <c r="K4" s="54">
        <v>1</v>
      </c>
      <c r="L4" s="54">
        <v>0</v>
      </c>
      <c r="M4" s="54">
        <v>0</v>
      </c>
    </row>
    <row r="5" spans="1:25" x14ac:dyDescent="0.2">
      <c r="A5" s="33">
        <v>0.86661468987167789</v>
      </c>
      <c r="B5" s="34">
        <v>185</v>
      </c>
      <c r="C5" s="33">
        <v>0.21718602455146371</v>
      </c>
      <c r="D5" s="33">
        <v>0.28099173553718998</v>
      </c>
      <c r="E5" s="33">
        <v>0.41742286751361113</v>
      </c>
      <c r="F5" s="33">
        <v>0.33558558558558566</v>
      </c>
      <c r="G5" s="33">
        <v>0.28225231646471832</v>
      </c>
      <c r="H5" s="33">
        <v>0.70471596302123285</v>
      </c>
      <c r="I5" s="33">
        <v>0.39241752831117666</v>
      </c>
      <c r="J5" s="34">
        <v>3</v>
      </c>
      <c r="K5" s="54">
        <v>0</v>
      </c>
      <c r="L5" s="54">
        <v>0</v>
      </c>
      <c r="M5" s="54">
        <v>1</v>
      </c>
    </row>
    <row r="6" spans="1:25" x14ac:dyDescent="0.2">
      <c r="A6" s="33">
        <v>0.62829178748569603</v>
      </c>
      <c r="B6" s="34">
        <v>96</v>
      </c>
      <c r="C6" s="33">
        <v>0.59301227573182258</v>
      </c>
      <c r="D6" s="33">
        <v>0.66942148760330589</v>
      </c>
      <c r="E6" s="33">
        <v>0.51451905626134298</v>
      </c>
      <c r="F6" s="33">
        <v>0.69819819819819839</v>
      </c>
      <c r="G6" s="33">
        <v>0.59372772630078396</v>
      </c>
      <c r="H6" s="33">
        <v>0.38108673887321387</v>
      </c>
      <c r="I6" s="33">
        <v>0.71294928606597718</v>
      </c>
      <c r="J6" s="34">
        <v>2</v>
      </c>
      <c r="K6" s="54">
        <v>0</v>
      </c>
      <c r="L6" s="54">
        <v>1</v>
      </c>
      <c r="M6" s="54">
        <v>0</v>
      </c>
    </row>
    <row r="7" spans="1:25" x14ac:dyDescent="0.2">
      <c r="A7" s="33">
        <v>0.38011291991463614</v>
      </c>
      <c r="B7" s="34">
        <v>76</v>
      </c>
      <c r="C7" s="33">
        <v>0.58356940509915012</v>
      </c>
      <c r="D7" s="33">
        <v>0.66322314049586761</v>
      </c>
      <c r="E7" s="33">
        <v>0.50544464609800355</v>
      </c>
      <c r="F7" s="33">
        <v>0.57882882882882869</v>
      </c>
      <c r="G7" s="33">
        <v>0.57590876692801141</v>
      </c>
      <c r="H7" s="33">
        <v>0.5402358631629588</v>
      </c>
      <c r="I7" s="33">
        <v>0.62826193993106838</v>
      </c>
      <c r="J7" s="34">
        <v>2</v>
      </c>
      <c r="K7" s="54">
        <v>0</v>
      </c>
      <c r="L7" s="54">
        <v>1</v>
      </c>
      <c r="M7" s="54">
        <v>0</v>
      </c>
    </row>
    <row r="8" spans="1:25" x14ac:dyDescent="0.2">
      <c r="A8" s="33">
        <v>0.89949564903612134</v>
      </c>
      <c r="B8" s="34">
        <v>181</v>
      </c>
      <c r="C8" s="33">
        <v>7.7431539187913151E-2</v>
      </c>
      <c r="D8" s="33">
        <v>0.11157024793388412</v>
      </c>
      <c r="E8" s="33">
        <v>0.43466424682395605</v>
      </c>
      <c r="F8" s="33">
        <v>0.10754504504504496</v>
      </c>
      <c r="G8" s="33">
        <v>0.10334996436208123</v>
      </c>
      <c r="H8" s="33">
        <v>0.54504674355407035</v>
      </c>
      <c r="I8" s="33">
        <v>0.15066469719350079</v>
      </c>
      <c r="J8" s="34">
        <v>3</v>
      </c>
      <c r="K8" s="54">
        <v>0</v>
      </c>
      <c r="L8" s="54">
        <v>0</v>
      </c>
      <c r="M8" s="54">
        <v>1</v>
      </c>
    </row>
    <row r="9" spans="1:25" x14ac:dyDescent="0.2">
      <c r="A9" s="33">
        <v>0.14933998101501411</v>
      </c>
      <c r="B9" s="34">
        <v>66</v>
      </c>
      <c r="C9" s="33">
        <v>0.2162417374881965</v>
      </c>
      <c r="D9" s="33">
        <v>0.22520661157024791</v>
      </c>
      <c r="E9" s="33">
        <v>0.72413793103448287</v>
      </c>
      <c r="F9" s="33">
        <v>0.13513513513513528</v>
      </c>
      <c r="G9" s="33">
        <v>0.34853884533143276</v>
      </c>
      <c r="H9" s="33">
        <v>0.20633475926094477</v>
      </c>
      <c r="I9" s="33">
        <v>4.3328409650418558E-2</v>
      </c>
      <c r="J9" s="34">
        <v>1</v>
      </c>
      <c r="K9" s="54">
        <v>1</v>
      </c>
      <c r="L9" s="54">
        <v>0</v>
      </c>
      <c r="M9" s="54">
        <v>0</v>
      </c>
    </row>
    <row r="10" spans="1:25" x14ac:dyDescent="0.2">
      <c r="A10" s="33">
        <v>9.8968630225412357E-2</v>
      </c>
      <c r="B10" s="34">
        <v>58</v>
      </c>
      <c r="C10" s="33">
        <v>0.40887629839471201</v>
      </c>
      <c r="D10" s="33">
        <v>0.41735537190082639</v>
      </c>
      <c r="E10" s="33">
        <v>0.83938294010889247</v>
      </c>
      <c r="F10" s="33">
        <v>0.27308558558558582</v>
      </c>
      <c r="G10" s="33">
        <v>0.55737704918032771</v>
      </c>
      <c r="H10" s="33">
        <v>4.9005968092160859E-2</v>
      </c>
      <c r="I10" s="33">
        <v>0.28015755785327429</v>
      </c>
      <c r="J10" s="34">
        <v>1</v>
      </c>
      <c r="K10" s="54">
        <v>1</v>
      </c>
      <c r="L10" s="54">
        <v>0</v>
      </c>
      <c r="M10" s="54">
        <v>0</v>
      </c>
    </row>
    <row r="11" spans="1:25" x14ac:dyDescent="0.2">
      <c r="A11" s="33">
        <v>0.89865462620628744</v>
      </c>
      <c r="B11" s="34">
        <v>55</v>
      </c>
      <c r="C11" s="33">
        <v>0.37110481586402266</v>
      </c>
      <c r="D11" s="33">
        <v>0.45247933884297514</v>
      </c>
      <c r="E11" s="33">
        <v>0.43194192377495455</v>
      </c>
      <c r="F11" s="33">
        <v>0.47409909909909898</v>
      </c>
      <c r="G11" s="33">
        <v>0.34426229508196715</v>
      </c>
      <c r="H11" s="33">
        <v>9.3084034378291255E-2</v>
      </c>
      <c r="I11" s="33">
        <v>0.47661250615460371</v>
      </c>
      <c r="J11" s="34">
        <v>1</v>
      </c>
      <c r="K11" s="54">
        <v>1</v>
      </c>
      <c r="L11" s="54">
        <v>0</v>
      </c>
      <c r="M11" s="54">
        <v>0</v>
      </c>
    </row>
    <row r="12" spans="1:25" x14ac:dyDescent="0.2">
      <c r="A12" s="33">
        <v>0.50748249022676739</v>
      </c>
      <c r="B12" s="34">
        <v>183</v>
      </c>
      <c r="C12" s="33">
        <v>0.15108593012275728</v>
      </c>
      <c r="D12" s="33">
        <v>0.19628099173553704</v>
      </c>
      <c r="E12" s="33">
        <v>0.45190562613430102</v>
      </c>
      <c r="F12" s="33">
        <v>0.19200450450450463</v>
      </c>
      <c r="G12" s="33">
        <v>0.19885958660014241</v>
      </c>
      <c r="H12" s="33">
        <v>0.53204436411863376</v>
      </c>
      <c r="I12" s="33">
        <v>0.31462333825701644</v>
      </c>
      <c r="J12" s="34">
        <v>3</v>
      </c>
      <c r="K12" s="54">
        <v>0</v>
      </c>
      <c r="L12" s="54">
        <v>0</v>
      </c>
      <c r="M12" s="54">
        <v>1</v>
      </c>
    </row>
    <row r="13" spans="1:25" x14ac:dyDescent="0.2">
      <c r="A13" s="33">
        <v>0.99248022692442295</v>
      </c>
      <c r="B13" s="34">
        <v>112</v>
      </c>
      <c r="C13" s="33">
        <v>0.8300283286118979</v>
      </c>
      <c r="D13" s="33">
        <v>0.8904958677685948</v>
      </c>
      <c r="E13" s="33">
        <v>0.57622504537205099</v>
      </c>
      <c r="F13" s="33">
        <v>0.79054054054054057</v>
      </c>
      <c r="G13" s="33">
        <v>0.82751247327156063</v>
      </c>
      <c r="H13" s="33">
        <v>0.37874631057483527</v>
      </c>
      <c r="I13" s="33">
        <v>0.71196454948301324</v>
      </c>
      <c r="J13" s="34">
        <v>2</v>
      </c>
      <c r="K13" s="54">
        <v>0</v>
      </c>
      <c r="L13" s="54">
        <v>1</v>
      </c>
      <c r="M13" s="54">
        <v>0</v>
      </c>
    </row>
    <row r="14" spans="1:25" x14ac:dyDescent="0.2">
      <c r="A14" s="33">
        <v>0.53160984670810218</v>
      </c>
      <c r="B14" s="34">
        <v>133</v>
      </c>
      <c r="C14" s="33">
        <v>0.4523135033050048</v>
      </c>
      <c r="D14" s="33">
        <v>0.51446280991735538</v>
      </c>
      <c r="E14" s="33">
        <v>0.56715063520871156</v>
      </c>
      <c r="F14" s="33">
        <v>0.55461711711711736</v>
      </c>
      <c r="G14" s="33">
        <v>0.4547398431931573</v>
      </c>
      <c r="H14" s="33">
        <v>0.48068496534865884</v>
      </c>
      <c r="I14" s="33">
        <v>0.62826193993106838</v>
      </c>
      <c r="J14" s="34">
        <v>2</v>
      </c>
      <c r="K14" s="54">
        <v>0</v>
      </c>
      <c r="L14" s="54">
        <v>1</v>
      </c>
      <c r="M14" s="54">
        <v>0</v>
      </c>
    </row>
    <row r="15" spans="1:25" x14ac:dyDescent="0.2">
      <c r="A15" s="33">
        <v>0.49397386219524464</v>
      </c>
      <c r="B15" s="34">
        <v>210</v>
      </c>
      <c r="C15" s="34">
        <v>0.16147308781869696</v>
      </c>
      <c r="D15" s="34">
        <v>0.19214876033057846</v>
      </c>
      <c r="E15" s="34">
        <v>0.54718693284936415</v>
      </c>
      <c r="F15" s="34">
        <v>0.19369369369369388</v>
      </c>
      <c r="G15" s="34">
        <v>0.24518888096935151</v>
      </c>
      <c r="H15" s="34">
        <v>0.63346292371503987</v>
      </c>
      <c r="I15" s="34">
        <v>0.26784835056622336</v>
      </c>
      <c r="J15" s="34">
        <v>3</v>
      </c>
      <c r="K15" s="54">
        <v>0</v>
      </c>
      <c r="L15" s="54">
        <v>0</v>
      </c>
      <c r="M15" s="54">
        <v>1</v>
      </c>
    </row>
    <row r="16" spans="1:25" x14ac:dyDescent="0.2">
      <c r="A16" s="33">
        <v>0.5155888264371834</v>
      </c>
      <c r="B16" s="34">
        <v>150</v>
      </c>
      <c r="C16" s="33">
        <v>1.8885741265344598E-2</v>
      </c>
      <c r="D16" s="33">
        <v>0.10743801652892554</v>
      </c>
      <c r="E16" s="33">
        <v>2.3593466424681821E-2</v>
      </c>
      <c r="F16" s="33">
        <v>0.23536036036036048</v>
      </c>
      <c r="G16" s="33">
        <v>1.2829650748396459E-2</v>
      </c>
      <c r="H16" s="33">
        <v>0.61070875970302563</v>
      </c>
      <c r="I16" s="33">
        <v>0.33234859675036926</v>
      </c>
      <c r="J16" s="34">
        <v>3</v>
      </c>
      <c r="K16" s="54">
        <v>0</v>
      </c>
      <c r="L16" s="54">
        <v>0</v>
      </c>
      <c r="M16" s="54">
        <v>1</v>
      </c>
    </row>
    <row r="17" spans="1:27" x14ac:dyDescent="0.2">
      <c r="A17" s="33">
        <v>0.84361814032885252</v>
      </c>
      <c r="B17" s="34">
        <v>100</v>
      </c>
      <c r="C17" s="33">
        <v>0.76770538243626052</v>
      </c>
      <c r="D17" s="33">
        <v>0.81198347107438018</v>
      </c>
      <c r="E17" s="33">
        <v>0.66152450090744086</v>
      </c>
      <c r="F17" s="33">
        <v>0.74324324324324353</v>
      </c>
      <c r="G17" s="33">
        <v>0.75124732715609399</v>
      </c>
      <c r="H17" s="33">
        <v>0.18501085698682865</v>
      </c>
      <c r="I17" s="33">
        <v>0.77695716395864134</v>
      </c>
      <c r="J17" s="34">
        <v>2</v>
      </c>
      <c r="K17" s="54">
        <v>0</v>
      </c>
      <c r="L17" s="54">
        <v>1</v>
      </c>
      <c r="M17" s="54">
        <v>0</v>
      </c>
    </row>
    <row r="18" spans="1:27" x14ac:dyDescent="0.2">
      <c r="A18" s="33">
        <v>6.4225809188918626E-2</v>
      </c>
      <c r="B18" s="34">
        <v>152</v>
      </c>
      <c r="C18" s="33">
        <v>0.13408876298394712</v>
      </c>
      <c r="D18" s="33">
        <v>0.22933884297520651</v>
      </c>
      <c r="E18" s="33">
        <v>0.15245009074410101</v>
      </c>
      <c r="F18" s="33">
        <v>0.28490990990991005</v>
      </c>
      <c r="G18" s="33">
        <v>0.10406272273699206</v>
      </c>
      <c r="H18" s="33">
        <v>0.80964516506520701</v>
      </c>
      <c r="I18" s="33">
        <v>0.36976858690300324</v>
      </c>
      <c r="J18" s="34">
        <v>3</v>
      </c>
      <c r="K18" s="54">
        <v>0</v>
      </c>
      <c r="L18" s="54">
        <v>0</v>
      </c>
      <c r="M18" s="54">
        <v>1</v>
      </c>
    </row>
    <row r="19" spans="1:27" x14ac:dyDescent="0.2">
      <c r="A19" s="33">
        <v>4.0748186932213049E-2</v>
      </c>
      <c r="B19" s="34">
        <v>146</v>
      </c>
      <c r="C19" s="33">
        <v>5.8545797922568553E-2</v>
      </c>
      <c r="D19" s="33">
        <v>0.14876033057851254</v>
      </c>
      <c r="E19" s="33">
        <v>7.8039927404718185E-2</v>
      </c>
      <c r="F19" s="33">
        <v>0.21396396396396392</v>
      </c>
      <c r="G19" s="33">
        <v>4.062722736992154E-2</v>
      </c>
      <c r="H19" s="33">
        <v>0.70263558231156298</v>
      </c>
      <c r="I19" s="33">
        <v>0.37223042836041376</v>
      </c>
      <c r="J19" s="34">
        <v>3</v>
      </c>
      <c r="K19" s="54">
        <v>0</v>
      </c>
      <c r="L19" s="54">
        <v>0</v>
      </c>
      <c r="M19" s="54">
        <v>1</v>
      </c>
    </row>
    <row r="20" spans="1:27" x14ac:dyDescent="0.2">
      <c r="A20" s="33">
        <v>0.27092982040418268</v>
      </c>
      <c r="B20" s="34">
        <v>59</v>
      </c>
      <c r="C20" s="33">
        <v>0.4523135033050048</v>
      </c>
      <c r="D20" s="33">
        <v>0.48760330578512384</v>
      </c>
      <c r="E20" s="33">
        <v>0.70417422867513635</v>
      </c>
      <c r="F20" s="33">
        <v>0.42961711711711709</v>
      </c>
      <c r="G20" s="33">
        <v>0.56236635780470412</v>
      </c>
      <c r="H20" s="33">
        <v>0.16043635985385329</v>
      </c>
      <c r="I20" s="33">
        <v>0.34613490891186627</v>
      </c>
      <c r="J20" s="34">
        <v>1</v>
      </c>
      <c r="K20" s="54">
        <v>1</v>
      </c>
      <c r="L20" s="54">
        <v>0</v>
      </c>
      <c r="M20" s="54">
        <v>0</v>
      </c>
    </row>
    <row r="21" spans="1:27" x14ac:dyDescent="0.2">
      <c r="A21" s="33">
        <v>0.78411312971166902</v>
      </c>
      <c r="B21" s="34">
        <v>170</v>
      </c>
      <c r="C21" s="33">
        <v>6.1378659112370192E-2</v>
      </c>
      <c r="D21" s="33">
        <v>0.12190082644628096</v>
      </c>
      <c r="E21" s="33">
        <v>0.25226860254083433</v>
      </c>
      <c r="F21" s="33">
        <v>0.10754504504504496</v>
      </c>
      <c r="G21" s="33">
        <v>6.0584461867426893E-2</v>
      </c>
      <c r="H21" s="33">
        <v>0.35833257486119963</v>
      </c>
      <c r="I21" s="33">
        <v>0.28015755785327429</v>
      </c>
      <c r="J21" s="34">
        <v>3</v>
      </c>
      <c r="K21" s="54">
        <v>0</v>
      </c>
      <c r="L21" s="54">
        <v>0</v>
      </c>
      <c r="M21" s="54">
        <v>1</v>
      </c>
    </row>
    <row r="22" spans="1:27" x14ac:dyDescent="0.2">
      <c r="A22" s="33">
        <v>0.35944110428963794</v>
      </c>
      <c r="B22" s="34">
        <v>189</v>
      </c>
      <c r="C22" s="33">
        <v>6.0434372049102979E-2</v>
      </c>
      <c r="D22" s="33">
        <v>8.471074380165293E-2</v>
      </c>
      <c r="E22" s="33">
        <v>0.46551724137931061</v>
      </c>
      <c r="F22" s="33">
        <v>0.10698198198198221</v>
      </c>
      <c r="G22" s="33">
        <v>0.13613684960798306</v>
      </c>
      <c r="H22" s="33">
        <v>0.87881782366173011</v>
      </c>
      <c r="I22" s="33">
        <v>0.21565731166912841</v>
      </c>
      <c r="J22" s="34">
        <v>3</v>
      </c>
      <c r="K22" s="54">
        <v>0</v>
      </c>
      <c r="L22" s="54">
        <v>0</v>
      </c>
      <c r="M22" s="54">
        <v>1</v>
      </c>
    </row>
    <row r="23" spans="1:27" x14ac:dyDescent="0.2">
      <c r="A23" s="33"/>
      <c r="B23" s="34"/>
      <c r="C23" s="33"/>
      <c r="D23" s="33"/>
      <c r="E23" s="33"/>
      <c r="F23" s="33"/>
      <c r="G23" s="33"/>
      <c r="H23" s="33"/>
      <c r="I23" s="33"/>
      <c r="J23" s="34"/>
      <c r="K23" s="54"/>
      <c r="L23" s="54"/>
      <c r="M23" s="54"/>
    </row>
    <row r="24" spans="1:27" x14ac:dyDescent="0.2">
      <c r="A24" s="33"/>
      <c r="B24" s="34"/>
      <c r="C24" s="33"/>
      <c r="D24" s="33"/>
      <c r="E24" s="33"/>
      <c r="F24" s="33"/>
      <c r="G24" s="33"/>
      <c r="H24" s="33"/>
      <c r="I24" s="33"/>
      <c r="J24" s="34"/>
      <c r="K24" s="54"/>
      <c r="L24" s="54"/>
      <c r="M24" s="54"/>
    </row>
    <row r="25" spans="1:27" x14ac:dyDescent="0.2">
      <c r="A25" s="33">
        <v>9.4428676444650361E-2</v>
      </c>
      <c r="B25" s="34">
        <v>149</v>
      </c>
      <c r="C25" s="33">
        <v>0.19924457034938617</v>
      </c>
      <c r="D25" s="33">
        <v>0.26859504132231421</v>
      </c>
      <c r="E25" s="33">
        <v>0.37205081669691414</v>
      </c>
      <c r="F25" s="33">
        <v>0.27421171171171183</v>
      </c>
      <c r="G25" s="33">
        <v>0.20028510334996438</v>
      </c>
      <c r="H25" s="33">
        <v>0.32439636453470988</v>
      </c>
      <c r="I25" s="33">
        <v>0.39241752831117666</v>
      </c>
      <c r="J25" s="34">
        <v>3</v>
      </c>
      <c r="K25" s="54">
        <v>0</v>
      </c>
      <c r="L25" s="54">
        <v>0</v>
      </c>
      <c r="M25" s="54">
        <v>1</v>
      </c>
      <c r="N25" s="31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</row>
    <row r="26" spans="1:27" x14ac:dyDescent="0.2">
      <c r="A26" s="33">
        <v>0.10795316737665328</v>
      </c>
      <c r="B26" s="34">
        <v>130</v>
      </c>
      <c r="C26" s="33">
        <v>0.65722379603399439</v>
      </c>
      <c r="D26" s="33">
        <v>0.67148760330578516</v>
      </c>
      <c r="E26" s="33">
        <v>0.82577132486388383</v>
      </c>
      <c r="F26" s="33">
        <v>0.50225225225225245</v>
      </c>
      <c r="G26" s="33">
        <v>0.75552387740555926</v>
      </c>
      <c r="H26" s="33">
        <v>0.5982264754450064</v>
      </c>
      <c r="I26" s="33">
        <v>0.56228458887247645</v>
      </c>
      <c r="J26" s="34">
        <v>2</v>
      </c>
      <c r="K26" s="54">
        <v>0</v>
      </c>
      <c r="L26" s="54">
        <v>1</v>
      </c>
      <c r="M26" s="54">
        <v>0</v>
      </c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</row>
    <row r="27" spans="1:27" x14ac:dyDescent="0.2">
      <c r="A27" s="33">
        <v>0.2456443579208053</v>
      </c>
      <c r="B27" s="34">
        <v>69</v>
      </c>
      <c r="C27" s="33">
        <v>0.35694050991501408</v>
      </c>
      <c r="D27" s="33">
        <v>0.40909090909090917</v>
      </c>
      <c r="E27" s="33">
        <v>0.58529945553539042</v>
      </c>
      <c r="F27" s="33">
        <v>0.37725225225225223</v>
      </c>
      <c r="G27" s="33">
        <v>0.37277263007840339</v>
      </c>
      <c r="H27" s="33">
        <v>9.087362987426699E-2</v>
      </c>
      <c r="I27" s="33">
        <v>0.38453963564746418</v>
      </c>
      <c r="J27" s="34">
        <v>1</v>
      </c>
      <c r="K27" s="54">
        <v>1</v>
      </c>
      <c r="L27" s="54">
        <v>0</v>
      </c>
      <c r="M27" s="54">
        <v>0</v>
      </c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</row>
    <row r="28" spans="1:27" x14ac:dyDescent="0.2">
      <c r="A28" s="33">
        <v>0.73512475968943258</v>
      </c>
      <c r="B28" s="34">
        <v>34</v>
      </c>
      <c r="C28" s="33">
        <v>0.31633616619452309</v>
      </c>
      <c r="D28" s="33">
        <v>0.36363636363636359</v>
      </c>
      <c r="E28" s="33">
        <v>0.58711433756805809</v>
      </c>
      <c r="F28" s="33">
        <v>0.38626126126126126</v>
      </c>
      <c r="G28" s="33">
        <v>0.37063435495367059</v>
      </c>
      <c r="H28" s="33">
        <v>0.17668933414814916</v>
      </c>
      <c r="I28" s="33">
        <v>0.24273756770063984</v>
      </c>
      <c r="J28" s="34">
        <v>1</v>
      </c>
      <c r="K28" s="54">
        <v>1</v>
      </c>
      <c r="L28" s="54">
        <v>0</v>
      </c>
      <c r="M28" s="54">
        <v>0</v>
      </c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</row>
    <row r="29" spans="1:27" x14ac:dyDescent="0.2">
      <c r="A29" s="33">
        <v>0.28822220200981707</v>
      </c>
      <c r="B29" s="34">
        <v>145</v>
      </c>
      <c r="C29" s="33">
        <v>0.11614730878186973</v>
      </c>
      <c r="D29" s="33">
        <v>0.20454545454545459</v>
      </c>
      <c r="E29" s="33">
        <v>0.17513611615245001</v>
      </c>
      <c r="F29" s="33">
        <v>0.23367117117117123</v>
      </c>
      <c r="G29" s="33">
        <v>0.1047754811119032</v>
      </c>
      <c r="H29" s="33">
        <v>0.48185517949784817</v>
      </c>
      <c r="I29" s="33">
        <v>0.32447070408665679</v>
      </c>
      <c r="J29" s="34">
        <v>3</v>
      </c>
      <c r="K29" s="54">
        <v>0</v>
      </c>
      <c r="L29" s="54">
        <v>0</v>
      </c>
      <c r="M29" s="54">
        <v>1</v>
      </c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</row>
    <row r="30" spans="1:27" x14ac:dyDescent="0.2">
      <c r="A30" s="33">
        <v>0.52562590277200427</v>
      </c>
      <c r="B30" s="34">
        <v>47</v>
      </c>
      <c r="C30" s="33">
        <v>0.45042492917847021</v>
      </c>
      <c r="D30" s="33">
        <v>0.48553719008264457</v>
      </c>
      <c r="E30" s="33">
        <v>0.70780399274047168</v>
      </c>
      <c r="F30" s="33">
        <v>0.45157657657657641</v>
      </c>
      <c r="G30" s="33">
        <v>0.54383464005702042</v>
      </c>
      <c r="H30" s="33">
        <v>7.8261321821893409E-2</v>
      </c>
      <c r="I30" s="33">
        <v>0.30182176267848332</v>
      </c>
      <c r="J30" s="34">
        <v>1</v>
      </c>
      <c r="K30" s="54">
        <v>1</v>
      </c>
      <c r="L30" s="54">
        <v>0</v>
      </c>
      <c r="M30" s="54">
        <v>0</v>
      </c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</row>
    <row r="31" spans="1:27" x14ac:dyDescent="0.2">
      <c r="A31" s="33">
        <v>0.83124053975539258</v>
      </c>
      <c r="B31" s="34">
        <v>134</v>
      </c>
      <c r="C31" s="33">
        <v>0.52596789423984891</v>
      </c>
      <c r="D31" s="33">
        <v>0.60330578512396693</v>
      </c>
      <c r="E31" s="33">
        <v>0.51088929219600654</v>
      </c>
      <c r="F31" s="33">
        <v>0.5326576576576576</v>
      </c>
      <c r="G31" s="33">
        <v>0.54526015680684237</v>
      </c>
      <c r="H31" s="33">
        <v>0.45520030165520298</v>
      </c>
      <c r="I31" s="33">
        <v>0.62826193993106838</v>
      </c>
      <c r="J31" s="34">
        <v>2</v>
      </c>
      <c r="K31" s="54">
        <v>0</v>
      </c>
      <c r="L31" s="54">
        <v>1</v>
      </c>
      <c r="M31" s="54">
        <v>0</v>
      </c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</row>
    <row r="32" spans="1:27" x14ac:dyDescent="0.2">
      <c r="A32" s="33">
        <v>0.66644000284243698</v>
      </c>
      <c r="B32" s="34">
        <v>17</v>
      </c>
      <c r="C32" s="33">
        <v>0.32105760151085933</v>
      </c>
      <c r="D32" s="33">
        <v>0.29338842975206608</v>
      </c>
      <c r="E32" s="33">
        <v>1</v>
      </c>
      <c r="F32" s="33">
        <v>0.12387387387387375</v>
      </c>
      <c r="G32" s="33">
        <v>0.53670705630791149</v>
      </c>
      <c r="H32" s="33">
        <v>0.58106333459023007</v>
      </c>
      <c r="I32" s="33">
        <v>0.12900049236829128</v>
      </c>
      <c r="J32" s="34">
        <v>1</v>
      </c>
      <c r="K32" s="54">
        <v>1</v>
      </c>
      <c r="L32" s="54">
        <v>0</v>
      </c>
      <c r="M32" s="54">
        <v>0</v>
      </c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</row>
    <row r="33" spans="1:27" x14ac:dyDescent="0.2">
      <c r="A33" s="33">
        <v>5.0808058046424631E-2</v>
      </c>
      <c r="B33" s="34">
        <v>70</v>
      </c>
      <c r="C33" s="33">
        <v>0.20207743153918797</v>
      </c>
      <c r="D33" s="33">
        <v>0.27685950413223137</v>
      </c>
      <c r="E33" s="33">
        <v>0.34210526315789447</v>
      </c>
      <c r="F33" s="33">
        <v>0.28885135135135132</v>
      </c>
      <c r="G33" s="33">
        <v>0.17961511047754822</v>
      </c>
      <c r="H33" s="33">
        <v>0.35989286039345203</v>
      </c>
      <c r="I33" s="33">
        <v>0.26981782373215168</v>
      </c>
      <c r="J33" s="34">
        <v>1</v>
      </c>
      <c r="K33" s="54">
        <v>1</v>
      </c>
      <c r="L33" s="54">
        <v>0</v>
      </c>
      <c r="M33" s="54">
        <v>0</v>
      </c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</row>
    <row r="34" spans="1:27" x14ac:dyDescent="0.2">
      <c r="A34" s="33">
        <v>0.63109700774899091</v>
      </c>
      <c r="B34" s="34">
        <v>162</v>
      </c>
      <c r="C34" s="33">
        <v>0.13503305004721433</v>
      </c>
      <c r="D34" s="33">
        <v>0.19008264462809915</v>
      </c>
      <c r="E34" s="33">
        <v>0.38294010889292124</v>
      </c>
      <c r="F34" s="33">
        <v>0.25394144144144126</v>
      </c>
      <c r="G34" s="33">
        <v>0.12829650748396301</v>
      </c>
      <c r="H34" s="33">
        <v>0.45585042062697478</v>
      </c>
      <c r="I34" s="33">
        <v>0.38847858197932045</v>
      </c>
      <c r="J34" s="34">
        <v>3</v>
      </c>
      <c r="K34" s="54">
        <v>0</v>
      </c>
      <c r="L34" s="54">
        <v>0</v>
      </c>
      <c r="M34" s="54">
        <v>1</v>
      </c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</row>
    <row r="35" spans="1:27" x14ac:dyDescent="0.2">
      <c r="A35" s="33">
        <v>0.16889141829601628</v>
      </c>
      <c r="B35" s="34">
        <v>126</v>
      </c>
      <c r="C35" s="33">
        <v>0.77053824362606238</v>
      </c>
      <c r="D35" s="33">
        <v>0.77892561983471065</v>
      </c>
      <c r="E35" s="33">
        <v>0.83303085299455559</v>
      </c>
      <c r="F35" s="33">
        <v>0.68243243243243235</v>
      </c>
      <c r="G35" s="33">
        <v>0.8831076265146115</v>
      </c>
      <c r="H35" s="33">
        <v>0.4450584456955623</v>
      </c>
      <c r="I35" s="33">
        <v>0.72525849335302806</v>
      </c>
      <c r="J35" s="34">
        <v>2</v>
      </c>
      <c r="K35" s="54">
        <v>0</v>
      </c>
      <c r="L35" s="54">
        <v>1</v>
      </c>
      <c r="M35" s="54">
        <v>0</v>
      </c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</row>
    <row r="36" spans="1:27" x14ac:dyDescent="0.2">
      <c r="A36" s="33">
        <v>0.51226802443734332</v>
      </c>
      <c r="B36" s="34">
        <v>141</v>
      </c>
      <c r="C36" s="33">
        <v>0.23418319169027388</v>
      </c>
      <c r="D36" s="33">
        <v>0.31198347107438013</v>
      </c>
      <c r="E36" s="33">
        <v>0.36206896551724094</v>
      </c>
      <c r="F36" s="33">
        <v>0.32263513513513542</v>
      </c>
      <c r="G36" s="33">
        <v>0.25944404846756963</v>
      </c>
      <c r="H36" s="33">
        <v>0.5901650001950357</v>
      </c>
      <c r="I36" s="33">
        <v>0.43131462333825682</v>
      </c>
      <c r="J36" s="34">
        <v>3</v>
      </c>
      <c r="K36" s="54">
        <v>0</v>
      </c>
      <c r="L36" s="54">
        <v>0</v>
      </c>
      <c r="M36" s="54">
        <v>1</v>
      </c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</row>
    <row r="37" spans="1:27" x14ac:dyDescent="0.2">
      <c r="A37" s="33">
        <v>0.40700280219506157</v>
      </c>
      <c r="B37" s="34">
        <v>110</v>
      </c>
      <c r="C37" s="33">
        <v>0.75165250236071779</v>
      </c>
      <c r="D37" s="33">
        <v>0.78719008264462786</v>
      </c>
      <c r="E37" s="33">
        <v>0.71143375680580712</v>
      </c>
      <c r="F37" s="33">
        <v>0.70608108108108092</v>
      </c>
      <c r="G37" s="33">
        <v>0.74411974340698483</v>
      </c>
      <c r="H37" s="33">
        <v>0.12650014952736352</v>
      </c>
      <c r="I37" s="33">
        <v>0.6770064007877894</v>
      </c>
      <c r="J37" s="34">
        <v>2</v>
      </c>
      <c r="K37" s="54">
        <v>0</v>
      </c>
      <c r="L37" s="54">
        <v>1</v>
      </c>
      <c r="M37" s="54">
        <v>0</v>
      </c>
    </row>
    <row r="38" spans="1:27" x14ac:dyDescent="0.2">
      <c r="A38" s="33">
        <v>0.59318170098462386</v>
      </c>
      <c r="B38" s="34">
        <v>33</v>
      </c>
      <c r="C38" s="33">
        <v>0.33050047214353162</v>
      </c>
      <c r="D38" s="33">
        <v>0.41322314049586778</v>
      </c>
      <c r="E38" s="33">
        <v>0.40653357531760403</v>
      </c>
      <c r="F38" s="33">
        <v>0.46058558558558543</v>
      </c>
      <c r="G38" s="33">
        <v>0.39629365645046322</v>
      </c>
      <c r="H38" s="33">
        <v>0.41021206880859201</v>
      </c>
      <c r="I38" s="33">
        <v>0.38404726735598244</v>
      </c>
      <c r="J38" s="34">
        <v>1</v>
      </c>
      <c r="K38" s="54">
        <v>1</v>
      </c>
      <c r="L38" s="54">
        <v>0</v>
      </c>
      <c r="M38" s="54">
        <v>0</v>
      </c>
    </row>
    <row r="39" spans="1:27" x14ac:dyDescent="0.2">
      <c r="A39" s="33">
        <v>0.64153304796807697</v>
      </c>
      <c r="B39" s="34">
        <v>24</v>
      </c>
      <c r="C39" s="33">
        <v>0.14069877242681778</v>
      </c>
      <c r="D39" s="33">
        <v>0.16942148760330586</v>
      </c>
      <c r="E39" s="33">
        <v>0.5290381125226854</v>
      </c>
      <c r="F39" s="33">
        <v>0.11261261261261273</v>
      </c>
      <c r="G39" s="33">
        <v>0.21810406272273694</v>
      </c>
      <c r="H39" s="33">
        <v>8.4502463950903023E-2</v>
      </c>
      <c r="I39" s="33">
        <v>0.21762678483505674</v>
      </c>
      <c r="J39" s="34">
        <v>1</v>
      </c>
      <c r="K39" s="54">
        <v>1</v>
      </c>
      <c r="L39" s="54">
        <v>0</v>
      </c>
      <c r="M39" s="54">
        <v>0</v>
      </c>
    </row>
    <row r="40" spans="1:27" x14ac:dyDescent="0.2">
      <c r="A40" s="33">
        <v>0.41725088368106666</v>
      </c>
      <c r="B40" s="34">
        <v>68</v>
      </c>
      <c r="C40" s="33">
        <v>0.32294617563739375</v>
      </c>
      <c r="D40" s="33">
        <v>0.38842975206611552</v>
      </c>
      <c r="E40" s="33">
        <v>0.49364791288566262</v>
      </c>
      <c r="F40" s="33">
        <v>0.3997747747747748</v>
      </c>
      <c r="G40" s="33">
        <v>0.37633642195295786</v>
      </c>
      <c r="H40" s="33">
        <v>0.18878154702310526</v>
      </c>
      <c r="I40" s="33">
        <v>0.30182176267848332</v>
      </c>
      <c r="J40" s="34">
        <v>1</v>
      </c>
      <c r="K40" s="54">
        <v>1</v>
      </c>
      <c r="L40" s="54">
        <v>0</v>
      </c>
      <c r="M40" s="54">
        <v>0</v>
      </c>
    </row>
    <row r="41" spans="1:27" x14ac:dyDescent="0.2">
      <c r="A41" s="33">
        <v>0.40556620977248059</v>
      </c>
      <c r="B41" s="34">
        <v>71</v>
      </c>
      <c r="C41" s="33">
        <v>0.66477809254013209</v>
      </c>
      <c r="D41" s="33">
        <v>0.73760330578512401</v>
      </c>
      <c r="E41" s="33">
        <v>0.53720508166969094</v>
      </c>
      <c r="F41" s="33">
        <v>0.72747747747747749</v>
      </c>
      <c r="G41" s="33">
        <v>0.66357804704205259</v>
      </c>
      <c r="H41" s="33">
        <v>0.4304957807278732</v>
      </c>
      <c r="I41" s="33">
        <v>0.75873953717380582</v>
      </c>
      <c r="J41" s="34">
        <v>2</v>
      </c>
      <c r="K41" s="54">
        <v>0</v>
      </c>
      <c r="L41" s="54">
        <v>1</v>
      </c>
      <c r="M41" s="54">
        <v>0</v>
      </c>
    </row>
    <row r="42" spans="1:27" x14ac:dyDescent="0.2">
      <c r="A42" s="33">
        <v>0.51509291465176732</v>
      </c>
      <c r="B42" s="34">
        <v>39</v>
      </c>
      <c r="C42" s="33">
        <v>0.39754485363550529</v>
      </c>
      <c r="D42" s="33">
        <v>0.43595041322314038</v>
      </c>
      <c r="E42" s="33">
        <v>0.67332123411978184</v>
      </c>
      <c r="F42" s="33">
        <v>0.42623873873873858</v>
      </c>
      <c r="G42" s="33">
        <v>0.46899501069137539</v>
      </c>
      <c r="H42" s="33">
        <v>0.30515284297026363</v>
      </c>
      <c r="I42" s="33">
        <v>0.38897095027080264</v>
      </c>
      <c r="J42" s="34">
        <v>1</v>
      </c>
      <c r="K42" s="54">
        <v>1</v>
      </c>
      <c r="L42" s="54">
        <v>0</v>
      </c>
      <c r="M42" s="54">
        <v>0</v>
      </c>
    </row>
    <row r="43" spans="1:27" x14ac:dyDescent="0.2">
      <c r="A43" s="33">
        <v>0.7592161381799164</v>
      </c>
      <c r="B43" s="34">
        <v>93</v>
      </c>
      <c r="C43" s="33">
        <v>0.77620396600566566</v>
      </c>
      <c r="D43" s="33">
        <v>0.80165289256198324</v>
      </c>
      <c r="E43" s="33">
        <v>0.7486388384754985</v>
      </c>
      <c r="F43" s="33">
        <v>0.77308558558558582</v>
      </c>
      <c r="G43" s="33">
        <v>0.75766215253029212</v>
      </c>
      <c r="H43" s="33">
        <v>0.32140581726455947</v>
      </c>
      <c r="I43" s="33">
        <v>0.75529295913343186</v>
      </c>
      <c r="J43" s="34">
        <v>2</v>
      </c>
      <c r="K43" s="54">
        <v>0</v>
      </c>
      <c r="L43" s="54">
        <v>1</v>
      </c>
      <c r="M43" s="54">
        <v>0</v>
      </c>
    </row>
    <row r="44" spans="1:27" x14ac:dyDescent="0.2">
      <c r="A44" s="33">
        <v>0.36152548231798953</v>
      </c>
      <c r="B44" s="34">
        <v>113</v>
      </c>
      <c r="C44" s="33">
        <v>0.80642115203021714</v>
      </c>
      <c r="D44" s="33">
        <v>0.80578512396694191</v>
      </c>
      <c r="E44" s="33">
        <v>0.86569872958257676</v>
      </c>
      <c r="F44" s="33">
        <v>0.72297297297297292</v>
      </c>
      <c r="G44" s="33">
        <v>0.90662865288667127</v>
      </c>
      <c r="H44" s="33">
        <v>0.17473897723283363</v>
      </c>
      <c r="I44" s="33">
        <v>0.6917774495322504</v>
      </c>
      <c r="J44" s="34">
        <v>2</v>
      </c>
      <c r="K44" s="54">
        <v>0</v>
      </c>
      <c r="L44" s="54">
        <v>1</v>
      </c>
      <c r="M44" s="54">
        <v>0</v>
      </c>
    </row>
    <row r="45" spans="1:27" x14ac:dyDescent="0.2">
      <c r="A45" s="33">
        <v>0.25043623116347646</v>
      </c>
      <c r="B45" s="34">
        <v>191</v>
      </c>
      <c r="C45" s="33">
        <v>3.2105760151085919E-2</v>
      </c>
      <c r="D45" s="33">
        <v>8.0578512396694335E-2</v>
      </c>
      <c r="E45" s="33">
        <v>0.28039927404718634</v>
      </c>
      <c r="F45" s="33">
        <v>8.277027027027041E-2</v>
      </c>
      <c r="G45" s="33">
        <v>6.2009978617248863E-2</v>
      </c>
      <c r="H45" s="33">
        <v>0.60238723686434614</v>
      </c>
      <c r="I45" s="33">
        <v>0.25898572131954695</v>
      </c>
      <c r="J45" s="34">
        <v>3</v>
      </c>
      <c r="K45" s="54">
        <v>0</v>
      </c>
      <c r="L45" s="54">
        <v>0</v>
      </c>
      <c r="M45" s="54">
        <v>1</v>
      </c>
    </row>
    <row r="46" spans="1:27" x14ac:dyDescent="0.2">
      <c r="A46" s="33"/>
      <c r="B46" s="34"/>
      <c r="C46" s="33"/>
      <c r="D46" s="33"/>
      <c r="E46" s="33"/>
      <c r="F46" s="33"/>
      <c r="G46" s="33"/>
      <c r="H46" s="33"/>
      <c r="I46" s="33"/>
      <c r="J46" s="34"/>
      <c r="K46" s="54"/>
      <c r="L46" s="54"/>
      <c r="M46" s="54"/>
    </row>
    <row r="47" spans="1:27" x14ac:dyDescent="0.2">
      <c r="A47" s="33"/>
      <c r="B47" s="34"/>
      <c r="C47" s="33"/>
      <c r="D47" s="33"/>
      <c r="E47" s="33"/>
      <c r="F47" s="33"/>
      <c r="G47" s="33"/>
      <c r="H47" s="33"/>
      <c r="I47" s="33"/>
      <c r="J47" s="34"/>
      <c r="K47" s="54"/>
      <c r="L47" s="54"/>
      <c r="M47" s="54"/>
    </row>
    <row r="48" spans="1:27" x14ac:dyDescent="0.2">
      <c r="A48" s="33">
        <v>0.17269167930383855</v>
      </c>
      <c r="B48" s="34">
        <v>48</v>
      </c>
      <c r="C48" s="33">
        <v>0.41548630783758267</v>
      </c>
      <c r="D48" s="33">
        <v>0.44421487603305793</v>
      </c>
      <c r="E48" s="33">
        <v>0.7277676950998182</v>
      </c>
      <c r="F48" s="33">
        <v>0.37781531531531548</v>
      </c>
      <c r="G48" s="33">
        <v>0.53243050605844588</v>
      </c>
      <c r="H48" s="33">
        <v>0.28512917863969112</v>
      </c>
      <c r="I48" s="33">
        <v>0.32299359921221066</v>
      </c>
      <c r="J48" s="34">
        <v>1</v>
      </c>
      <c r="K48" s="54">
        <v>1</v>
      </c>
      <c r="L48" s="54">
        <v>0</v>
      </c>
      <c r="M48" s="54">
        <v>0</v>
      </c>
      <c r="N48" s="31"/>
    </row>
    <row r="49" spans="1:13" x14ac:dyDescent="0.2">
      <c r="A49" s="33">
        <v>0.30823511865352315</v>
      </c>
      <c r="B49" s="34">
        <v>75</v>
      </c>
      <c r="C49" s="33">
        <v>0.5882908404154864</v>
      </c>
      <c r="D49" s="33">
        <v>0.64049586776859502</v>
      </c>
      <c r="E49" s="33">
        <v>0.63974591651542678</v>
      </c>
      <c r="F49" s="33">
        <v>0.62950450450450479</v>
      </c>
      <c r="G49" s="33">
        <v>0.61012116892373491</v>
      </c>
      <c r="H49" s="33">
        <v>0.42113406753435878</v>
      </c>
      <c r="I49" s="33">
        <v>0.65091088133924191</v>
      </c>
      <c r="J49" s="34">
        <v>2</v>
      </c>
      <c r="K49" s="54">
        <v>0</v>
      </c>
      <c r="L49" s="54">
        <v>1</v>
      </c>
      <c r="M49" s="54">
        <v>0</v>
      </c>
    </row>
    <row r="50" spans="1:13" x14ac:dyDescent="0.2">
      <c r="A50" s="33">
        <v>0.38099509350465555</v>
      </c>
      <c r="B50" s="34">
        <v>29</v>
      </c>
      <c r="C50" s="33">
        <v>0.33238904627006605</v>
      </c>
      <c r="D50" s="33">
        <v>0.36570247933884292</v>
      </c>
      <c r="E50" s="33">
        <v>0.67059891107078029</v>
      </c>
      <c r="F50" s="33">
        <v>0.36148648648648674</v>
      </c>
      <c r="G50" s="33">
        <v>0.42124019957234499</v>
      </c>
      <c r="H50" s="33">
        <v>0.25860432459140026</v>
      </c>
      <c r="I50" s="33">
        <v>0.25553914327917293</v>
      </c>
      <c r="J50" s="34">
        <v>1</v>
      </c>
      <c r="K50" s="54">
        <v>1</v>
      </c>
      <c r="L50" s="54">
        <v>0</v>
      </c>
      <c r="M50" s="54">
        <v>0</v>
      </c>
    </row>
    <row r="51" spans="1:13" x14ac:dyDescent="0.2">
      <c r="A51" s="33">
        <v>0.3752210992247158</v>
      </c>
      <c r="B51" s="34">
        <v>5</v>
      </c>
      <c r="C51" s="33">
        <v>0.52407932011331448</v>
      </c>
      <c r="D51" s="33">
        <v>0.53305785123966942</v>
      </c>
      <c r="E51" s="33">
        <v>0.86479128856624288</v>
      </c>
      <c r="F51" s="33">
        <v>0.42736486486486508</v>
      </c>
      <c r="G51" s="33">
        <v>0.66429080541696339</v>
      </c>
      <c r="H51" s="33">
        <v>7.6701036289641006E-2</v>
      </c>
      <c r="I51" s="33">
        <v>0.32299359921221066</v>
      </c>
      <c r="J51" s="34">
        <v>1</v>
      </c>
      <c r="K51" s="54">
        <v>1</v>
      </c>
      <c r="L51" s="54">
        <v>0</v>
      </c>
      <c r="M51" s="54">
        <v>0</v>
      </c>
    </row>
    <row r="52" spans="1:13" x14ac:dyDescent="0.2">
      <c r="A52" s="33">
        <v>0.17888540803454933</v>
      </c>
      <c r="B52" s="34">
        <v>23</v>
      </c>
      <c r="C52" s="33">
        <v>0.4995278564683665</v>
      </c>
      <c r="D52" s="33">
        <v>0.51446280991735538</v>
      </c>
      <c r="E52" s="33">
        <v>0.82304900181488228</v>
      </c>
      <c r="F52" s="33">
        <v>0.40484234234234256</v>
      </c>
      <c r="G52" s="33">
        <v>0.62508909479686381</v>
      </c>
      <c r="H52" s="33">
        <v>0</v>
      </c>
      <c r="I52" s="33">
        <v>0.28163466272772042</v>
      </c>
      <c r="J52" s="34">
        <v>1</v>
      </c>
      <c r="K52" s="54">
        <v>1</v>
      </c>
      <c r="L52" s="54">
        <v>0</v>
      </c>
      <c r="M52" s="54">
        <v>0</v>
      </c>
    </row>
    <row r="53" spans="1:13" x14ac:dyDescent="0.2">
      <c r="A53" s="33">
        <v>0.98041048673201225</v>
      </c>
      <c r="B53" s="34">
        <v>15</v>
      </c>
      <c r="C53" s="33">
        <v>0.2974504249291785</v>
      </c>
      <c r="D53" s="33">
        <v>0.33884297520661172</v>
      </c>
      <c r="E53" s="33">
        <v>0.60163339382940051</v>
      </c>
      <c r="F53" s="33">
        <v>0.32826576576576588</v>
      </c>
      <c r="G53" s="33">
        <v>0.34497505345687801</v>
      </c>
      <c r="H53" s="33">
        <v>0.28174855998647758</v>
      </c>
      <c r="I53" s="33">
        <v>0.15066469719350079</v>
      </c>
      <c r="J53" s="34">
        <v>1</v>
      </c>
      <c r="K53" s="54">
        <v>1</v>
      </c>
      <c r="L53" s="54">
        <v>0</v>
      </c>
      <c r="M53" s="54">
        <v>0</v>
      </c>
    </row>
    <row r="54" spans="1:13" x14ac:dyDescent="0.2">
      <c r="A54" s="33">
        <v>0.6043557762566294</v>
      </c>
      <c r="B54" s="34">
        <v>121</v>
      </c>
      <c r="C54" s="33">
        <v>0.91123701605287999</v>
      </c>
      <c r="D54" s="33">
        <v>0.92975206611570249</v>
      </c>
      <c r="E54" s="33">
        <v>0.74047186932849396</v>
      </c>
      <c r="F54" s="33">
        <v>0.79729729729729759</v>
      </c>
      <c r="G54" s="33">
        <v>0.94939415538132566</v>
      </c>
      <c r="H54" s="33">
        <v>0.66778920542459275</v>
      </c>
      <c r="I54" s="33">
        <v>0.82176267848350559</v>
      </c>
      <c r="J54" s="34">
        <v>2</v>
      </c>
      <c r="K54" s="54">
        <v>0</v>
      </c>
      <c r="L54" s="54">
        <v>1</v>
      </c>
      <c r="M54" s="54">
        <v>0</v>
      </c>
    </row>
    <row r="55" spans="1:13" x14ac:dyDescent="0.2">
      <c r="A55" s="33">
        <v>0.39299634321755195</v>
      </c>
      <c r="B55" s="34">
        <v>156</v>
      </c>
      <c r="C55" s="33">
        <v>5.6657223796033961E-2</v>
      </c>
      <c r="D55" s="33">
        <v>0.1322314049586778</v>
      </c>
      <c r="E55" s="33">
        <v>0.15607985480943737</v>
      </c>
      <c r="F55" s="33">
        <v>0.19763513513513514</v>
      </c>
      <c r="G55" s="33">
        <v>3.207412687099067E-2</v>
      </c>
      <c r="H55" s="33">
        <v>0.65634711152140846</v>
      </c>
      <c r="I55" s="33">
        <v>0.34465780403742013</v>
      </c>
      <c r="J55" s="34">
        <v>3</v>
      </c>
      <c r="K55" s="54">
        <v>0</v>
      </c>
      <c r="L55" s="54">
        <v>0</v>
      </c>
      <c r="M55" s="54">
        <v>1</v>
      </c>
    </row>
    <row r="56" spans="1:13" x14ac:dyDescent="0.2">
      <c r="A56" s="33">
        <v>0.3922906275500897</v>
      </c>
      <c r="B56" s="34">
        <v>136</v>
      </c>
      <c r="C56" s="33">
        <v>0.4523135033050048</v>
      </c>
      <c r="D56" s="33">
        <v>0.46487603305785125</v>
      </c>
      <c r="E56" s="33">
        <v>0.82486388384755005</v>
      </c>
      <c r="F56" s="33">
        <v>0.32545045045045062</v>
      </c>
      <c r="G56" s="33">
        <v>0.59515324305060557</v>
      </c>
      <c r="H56" s="33">
        <v>0.36860445461519464</v>
      </c>
      <c r="I56" s="33">
        <v>0.4529788281634663</v>
      </c>
      <c r="J56" s="34">
        <v>2</v>
      </c>
      <c r="K56" s="54">
        <v>0</v>
      </c>
      <c r="L56" s="54">
        <v>1</v>
      </c>
      <c r="M56" s="54">
        <v>0</v>
      </c>
    </row>
    <row r="57" spans="1:13" x14ac:dyDescent="0.2">
      <c r="A57" s="33">
        <v>0.35816328104686956</v>
      </c>
      <c r="B57" s="34">
        <v>42</v>
      </c>
      <c r="C57" s="33">
        <v>0.27478753541076489</v>
      </c>
      <c r="D57" s="33">
        <v>0.29752066115702469</v>
      </c>
      <c r="E57" s="33">
        <v>0.69963702359346613</v>
      </c>
      <c r="F57" s="33">
        <v>0.25450450450450451</v>
      </c>
      <c r="G57" s="33">
        <v>0.37633642195295786</v>
      </c>
      <c r="H57" s="33">
        <v>0.192942308442445</v>
      </c>
      <c r="I57" s="33">
        <v>0.32348596750369285</v>
      </c>
      <c r="J57" s="34">
        <v>1</v>
      </c>
      <c r="K57" s="54">
        <v>1</v>
      </c>
      <c r="L57" s="54">
        <v>0</v>
      </c>
      <c r="M57" s="54">
        <v>0</v>
      </c>
    </row>
    <row r="58" spans="1:13" x14ac:dyDescent="0.2">
      <c r="A58" s="33">
        <v>0.41084030951444184</v>
      </c>
      <c r="B58" s="34">
        <v>45</v>
      </c>
      <c r="C58" s="33">
        <v>0.42681775259678939</v>
      </c>
      <c r="D58" s="33">
        <v>0.44008264462809898</v>
      </c>
      <c r="E58" s="33">
        <v>0.82123411978221361</v>
      </c>
      <c r="F58" s="33">
        <v>0.38288288288288275</v>
      </c>
      <c r="G58" s="33">
        <v>0.59301496792587316</v>
      </c>
      <c r="H58" s="33">
        <v>0.3072332236799335</v>
      </c>
      <c r="I58" s="33">
        <v>0.32545544066962073</v>
      </c>
      <c r="J58" s="34">
        <v>1</v>
      </c>
      <c r="K58" s="54">
        <v>1</v>
      </c>
      <c r="L58" s="54">
        <v>0</v>
      </c>
      <c r="M58" s="54">
        <v>0</v>
      </c>
    </row>
    <row r="59" spans="1:13" x14ac:dyDescent="0.2">
      <c r="A59" s="33">
        <v>0.19644663169024834</v>
      </c>
      <c r="B59" s="34">
        <v>38</v>
      </c>
      <c r="C59" s="33">
        <v>0.61284230406043427</v>
      </c>
      <c r="D59" s="33">
        <v>0.61363636363636376</v>
      </c>
      <c r="E59" s="33">
        <v>0.9056261343012707</v>
      </c>
      <c r="F59" s="33">
        <v>0.52533783783783783</v>
      </c>
      <c r="G59" s="33">
        <v>0.75053456878118285</v>
      </c>
      <c r="H59" s="33">
        <v>0.28486913105098238</v>
      </c>
      <c r="I59" s="33">
        <v>0.47513540128015758</v>
      </c>
      <c r="J59" s="34">
        <v>1</v>
      </c>
      <c r="K59" s="54">
        <v>1</v>
      </c>
      <c r="L59" s="54">
        <v>0</v>
      </c>
      <c r="M59" s="54">
        <v>0</v>
      </c>
    </row>
    <row r="60" spans="1:13" x14ac:dyDescent="0.2">
      <c r="A60" s="33">
        <v>6.8979543169631619E-3</v>
      </c>
      <c r="B60" s="34">
        <v>171</v>
      </c>
      <c r="C60" s="33">
        <v>4.0604343720491001E-2</v>
      </c>
      <c r="D60" s="33">
        <v>0.12190082644628096</v>
      </c>
      <c r="E60" s="33">
        <v>9.8003629764064654E-2</v>
      </c>
      <c r="F60" s="33">
        <v>0.23986486486486497</v>
      </c>
      <c r="G60" s="33">
        <v>5.060584461867438E-2</v>
      </c>
      <c r="H60" s="33">
        <v>0.77622904991613473</v>
      </c>
      <c r="I60" s="33">
        <v>0.31708517971442651</v>
      </c>
      <c r="J60" s="34">
        <v>3</v>
      </c>
      <c r="K60" s="54">
        <v>0</v>
      </c>
      <c r="L60" s="54">
        <v>0</v>
      </c>
      <c r="M60" s="54">
        <v>1</v>
      </c>
    </row>
    <row r="61" spans="1:13" x14ac:dyDescent="0.2">
      <c r="A61" s="33">
        <v>0.87320939079592397</v>
      </c>
      <c r="B61" s="34">
        <v>14</v>
      </c>
      <c r="C61" s="33">
        <v>0.30122757318224735</v>
      </c>
      <c r="D61" s="33">
        <v>0.34090909090909099</v>
      </c>
      <c r="E61" s="33">
        <v>0.61524500907441015</v>
      </c>
      <c r="F61" s="33">
        <v>0.32657657657657663</v>
      </c>
      <c r="G61" s="33">
        <v>0.37491090520313619</v>
      </c>
      <c r="H61" s="33">
        <v>0.30827341403476843</v>
      </c>
      <c r="I61" s="33">
        <v>0.17380600689315598</v>
      </c>
      <c r="J61" s="34">
        <v>1</v>
      </c>
      <c r="K61" s="54">
        <v>1</v>
      </c>
      <c r="L61" s="54">
        <v>0</v>
      </c>
      <c r="M61" s="54">
        <v>0</v>
      </c>
    </row>
    <row r="62" spans="1:13" x14ac:dyDescent="0.2">
      <c r="A62" s="33">
        <v>0.55871320318551343</v>
      </c>
      <c r="B62" s="34">
        <v>169</v>
      </c>
      <c r="C62" s="33">
        <v>7.1765816808309707E-2</v>
      </c>
      <c r="D62" s="33">
        <v>0.14669421487603287</v>
      </c>
      <c r="E62" s="33">
        <v>0.19056261343012626</v>
      </c>
      <c r="F62" s="33">
        <v>0.15596846846846857</v>
      </c>
      <c r="G62" s="33">
        <v>2.7084818246614573E-2</v>
      </c>
      <c r="H62" s="33">
        <v>0.464431991054363</v>
      </c>
      <c r="I62" s="33">
        <v>0.30182176267848332</v>
      </c>
      <c r="J62" s="34">
        <v>3</v>
      </c>
      <c r="K62" s="54">
        <v>0</v>
      </c>
      <c r="L62" s="54">
        <v>0</v>
      </c>
      <c r="M62" s="54">
        <v>1</v>
      </c>
    </row>
    <row r="63" spans="1:13" x14ac:dyDescent="0.2">
      <c r="A63" s="33">
        <v>0.77623928602946723</v>
      </c>
      <c r="B63" s="34">
        <v>81</v>
      </c>
      <c r="C63" s="33">
        <v>0.56090651558073668</v>
      </c>
      <c r="D63" s="33">
        <v>0.60537190082644621</v>
      </c>
      <c r="E63" s="33">
        <v>0.67332123411978184</v>
      </c>
      <c r="F63" s="33">
        <v>0.5495495495495496</v>
      </c>
      <c r="G63" s="33">
        <v>0.59657875980042763</v>
      </c>
      <c r="H63" s="33">
        <v>0.61981042530783137</v>
      </c>
      <c r="I63" s="33">
        <v>0.67011324470704081</v>
      </c>
      <c r="J63" s="34">
        <v>2</v>
      </c>
      <c r="K63" s="54">
        <v>0</v>
      </c>
      <c r="L63" s="54">
        <v>1</v>
      </c>
      <c r="M63" s="54">
        <v>0</v>
      </c>
    </row>
    <row r="64" spans="1:13" x14ac:dyDescent="0.2">
      <c r="A64" s="33">
        <v>0.52550763338992168</v>
      </c>
      <c r="B64" s="34">
        <v>125</v>
      </c>
      <c r="C64" s="33">
        <v>0.50991501416430596</v>
      </c>
      <c r="D64" s="33">
        <v>0.5123966942148761</v>
      </c>
      <c r="E64" s="33">
        <v>0.89201451905626106</v>
      </c>
      <c r="F64" s="33">
        <v>0.26126126126126153</v>
      </c>
      <c r="G64" s="33">
        <v>0.67854597291518148</v>
      </c>
      <c r="H64" s="33">
        <v>0.33427817290564177</v>
      </c>
      <c r="I64" s="33">
        <v>0.30773018217626791</v>
      </c>
      <c r="J64" s="34">
        <v>2</v>
      </c>
      <c r="K64" s="54">
        <v>0</v>
      </c>
      <c r="L64" s="54">
        <v>1</v>
      </c>
      <c r="M64" s="54">
        <v>0</v>
      </c>
    </row>
    <row r="65" spans="1:14" x14ac:dyDescent="0.2">
      <c r="A65" s="33">
        <v>0.20189777175226808</v>
      </c>
      <c r="B65" s="34">
        <v>109</v>
      </c>
      <c r="C65" s="33">
        <v>0.88290840415486327</v>
      </c>
      <c r="D65" s="33">
        <v>0.93181818181818221</v>
      </c>
      <c r="E65" s="33">
        <v>0.60889292196007228</v>
      </c>
      <c r="F65" s="33">
        <v>1</v>
      </c>
      <c r="G65" s="33">
        <v>0.80755523877405533</v>
      </c>
      <c r="H65" s="33">
        <v>0.32335617417987494</v>
      </c>
      <c r="I65" s="33">
        <v>1</v>
      </c>
      <c r="J65" s="34">
        <v>2</v>
      </c>
      <c r="K65" s="54">
        <v>0</v>
      </c>
      <c r="L65" s="54">
        <v>1</v>
      </c>
      <c r="M65" s="54">
        <v>0</v>
      </c>
    </row>
    <row r="66" spans="1:14" x14ac:dyDescent="0.2">
      <c r="A66" s="33">
        <v>0.92003607382433938</v>
      </c>
      <c r="B66" s="34">
        <v>172</v>
      </c>
      <c r="C66" s="33">
        <v>9.0651558073654478E-2</v>
      </c>
      <c r="D66" s="33">
        <v>0.14256198347107429</v>
      </c>
      <c r="E66" s="33">
        <v>0.33938294010889292</v>
      </c>
      <c r="F66" s="33">
        <v>0.1509009009009008</v>
      </c>
      <c r="G66" s="33">
        <v>0.15324305060584478</v>
      </c>
      <c r="H66" s="33">
        <v>0.77362857402904739</v>
      </c>
      <c r="I66" s="33">
        <v>0.21516494337764666</v>
      </c>
      <c r="J66" s="34">
        <v>3</v>
      </c>
      <c r="K66" s="54">
        <v>0</v>
      </c>
      <c r="L66" s="54">
        <v>0</v>
      </c>
      <c r="M66" s="54">
        <v>1</v>
      </c>
    </row>
    <row r="67" spans="1:14" x14ac:dyDescent="0.2">
      <c r="A67" s="33">
        <v>0.23078605772574723</v>
      </c>
      <c r="B67" s="34">
        <v>61</v>
      </c>
      <c r="C67" s="33">
        <v>7.8375826251180364E-2</v>
      </c>
      <c r="D67" s="33">
        <v>9.2975206611570105E-2</v>
      </c>
      <c r="E67" s="33">
        <v>0.54627949183303026</v>
      </c>
      <c r="F67" s="33">
        <v>6.1373873873873871E-2</v>
      </c>
      <c r="G67" s="33">
        <v>0.15680684248039922</v>
      </c>
      <c r="H67" s="33">
        <v>0.2515830396962645</v>
      </c>
      <c r="I67" s="33">
        <v>4.3328409650418558E-2</v>
      </c>
      <c r="J67" s="34">
        <v>1</v>
      </c>
      <c r="K67" s="54">
        <v>1</v>
      </c>
      <c r="L67" s="54">
        <v>0</v>
      </c>
      <c r="M67" s="54">
        <v>0</v>
      </c>
    </row>
    <row r="68" spans="1:14" x14ac:dyDescent="0.2">
      <c r="A68" s="33">
        <v>0.79301582178611074</v>
      </c>
      <c r="B68" s="34">
        <v>135</v>
      </c>
      <c r="C68" s="33">
        <v>0.46931067044381497</v>
      </c>
      <c r="D68" s="33">
        <v>0.5123966942148761</v>
      </c>
      <c r="E68" s="33">
        <v>0.67332123411978184</v>
      </c>
      <c r="F68" s="33">
        <v>0.49380630630630623</v>
      </c>
      <c r="G68" s="33">
        <v>0.55452601568068405</v>
      </c>
      <c r="H68" s="33">
        <v>0.54699710046938599</v>
      </c>
      <c r="I68" s="33">
        <v>0.65386509108813418</v>
      </c>
      <c r="J68" s="34">
        <v>2</v>
      </c>
      <c r="K68" s="54">
        <v>0</v>
      </c>
      <c r="L68" s="54">
        <v>1</v>
      </c>
      <c r="M68" s="54">
        <v>0</v>
      </c>
    </row>
    <row r="69" spans="1:14" x14ac:dyDescent="0.2">
      <c r="A69" s="33"/>
      <c r="B69" s="34"/>
      <c r="C69" s="33"/>
      <c r="D69" s="33"/>
      <c r="E69" s="33"/>
      <c r="F69" s="33"/>
      <c r="G69" s="33"/>
      <c r="H69" s="33"/>
      <c r="I69" s="33"/>
      <c r="J69" s="34"/>
      <c r="K69" s="54"/>
      <c r="L69" s="54"/>
      <c r="M69" s="54"/>
    </row>
    <row r="70" spans="1:14" x14ac:dyDescent="0.2">
      <c r="A70" s="33"/>
      <c r="B70" s="34"/>
      <c r="C70" s="33"/>
      <c r="D70" s="33"/>
      <c r="E70" s="33"/>
      <c r="F70" s="33"/>
      <c r="G70" s="33"/>
      <c r="H70" s="33"/>
      <c r="I70" s="33"/>
      <c r="J70" s="34"/>
      <c r="K70" s="54"/>
      <c r="L70" s="54"/>
      <c r="M70" s="54"/>
    </row>
    <row r="71" spans="1:14" x14ac:dyDescent="0.2">
      <c r="A71" s="33">
        <v>2.7090605378120913E-2</v>
      </c>
      <c r="B71" s="34">
        <v>3</v>
      </c>
      <c r="C71" s="33">
        <v>0.34938621340887621</v>
      </c>
      <c r="D71" s="33">
        <v>0.34710743801652888</v>
      </c>
      <c r="E71" s="33">
        <v>0.87931034482758641</v>
      </c>
      <c r="F71" s="33">
        <v>0.22072072072072094</v>
      </c>
      <c r="G71" s="33">
        <v>0.50392017106201004</v>
      </c>
      <c r="H71" s="33">
        <v>0.25145301590191005</v>
      </c>
      <c r="I71" s="33">
        <v>0.15066469719350079</v>
      </c>
      <c r="J71" s="34">
        <v>1</v>
      </c>
      <c r="K71" s="54">
        <v>1</v>
      </c>
      <c r="L71" s="54">
        <v>0</v>
      </c>
      <c r="M71" s="54">
        <v>0</v>
      </c>
      <c r="N71" s="31"/>
    </row>
    <row r="72" spans="1:14" x14ac:dyDescent="0.2">
      <c r="A72" s="33">
        <v>0.16569279172608287</v>
      </c>
      <c r="B72" s="34">
        <v>155</v>
      </c>
      <c r="C72" s="33">
        <v>7.271010387157692E-2</v>
      </c>
      <c r="D72" s="33">
        <v>0.1322314049586778</v>
      </c>
      <c r="E72" s="33">
        <v>0.27313974591651463</v>
      </c>
      <c r="F72" s="33">
        <v>0.15540540540540532</v>
      </c>
      <c r="G72" s="33">
        <v>8.9094796863863124E-2</v>
      </c>
      <c r="H72" s="33">
        <v>0.42685511448595098</v>
      </c>
      <c r="I72" s="33">
        <v>0.36632200886262917</v>
      </c>
      <c r="J72" s="34">
        <v>3</v>
      </c>
      <c r="K72" s="54">
        <v>0</v>
      </c>
      <c r="L72" s="54">
        <v>0</v>
      </c>
      <c r="M72" s="54">
        <v>1</v>
      </c>
    </row>
    <row r="73" spans="1:14" x14ac:dyDescent="0.2">
      <c r="A73" s="33">
        <v>0.89850256729071787</v>
      </c>
      <c r="B73" s="34">
        <v>19</v>
      </c>
      <c r="C73" s="33">
        <v>0.38810198300283283</v>
      </c>
      <c r="D73" s="33">
        <v>0.37190082644628114</v>
      </c>
      <c r="E73" s="33">
        <v>0.97277676950998182</v>
      </c>
      <c r="F73" s="33">
        <v>0.17229729729729734</v>
      </c>
      <c r="G73" s="33">
        <v>0.59586600142551671</v>
      </c>
      <c r="H73" s="33">
        <v>0.13027083956364016</v>
      </c>
      <c r="I73" s="33">
        <v>6.400787789266367E-2</v>
      </c>
      <c r="J73" s="34">
        <v>1</v>
      </c>
      <c r="K73" s="54">
        <v>1</v>
      </c>
      <c r="L73" s="54">
        <v>0</v>
      </c>
      <c r="M73" s="54">
        <v>0</v>
      </c>
    </row>
    <row r="74" spans="1:14" x14ac:dyDescent="0.2">
      <c r="A74" s="33">
        <v>6.4258868492565901E-2</v>
      </c>
      <c r="B74" s="34">
        <v>159</v>
      </c>
      <c r="C74" s="33">
        <v>0.10953729933899907</v>
      </c>
      <c r="D74" s="33">
        <v>0.22933884297520651</v>
      </c>
      <c r="E74" s="33">
        <v>9.0744101633383862E-4</v>
      </c>
      <c r="F74" s="33">
        <v>0.30686936936936937</v>
      </c>
      <c r="G74" s="33">
        <v>3.4212401995723465E-2</v>
      </c>
      <c r="H74" s="33">
        <v>0.46976296662289208</v>
      </c>
      <c r="I74" s="33">
        <v>0.38946331856228439</v>
      </c>
      <c r="J74" s="34">
        <v>3</v>
      </c>
      <c r="K74" s="54">
        <v>0</v>
      </c>
      <c r="L74" s="54">
        <v>0</v>
      </c>
      <c r="M74" s="54">
        <v>1</v>
      </c>
    </row>
    <row r="75" spans="1:14" x14ac:dyDescent="0.2">
      <c r="A75" s="33">
        <v>0.81240196594378067</v>
      </c>
      <c r="B75" s="34">
        <v>51</v>
      </c>
      <c r="C75" s="33">
        <v>0.36260623229461758</v>
      </c>
      <c r="D75" s="33">
        <v>0.4111570247933885</v>
      </c>
      <c r="E75" s="33">
        <v>0.60798548094373839</v>
      </c>
      <c r="F75" s="33">
        <v>0.38626126126126126</v>
      </c>
      <c r="G75" s="33">
        <v>0.45759087669280091</v>
      </c>
      <c r="H75" s="33">
        <v>0.41736337749808222</v>
      </c>
      <c r="I75" s="33">
        <v>0.30773018217626791</v>
      </c>
      <c r="J75" s="34">
        <v>1</v>
      </c>
      <c r="K75" s="54">
        <v>1</v>
      </c>
      <c r="L75" s="54">
        <v>0</v>
      </c>
      <c r="M75" s="54">
        <v>0</v>
      </c>
    </row>
    <row r="76" spans="1:14" x14ac:dyDescent="0.2">
      <c r="A76" s="33">
        <v>0.95221709854140157</v>
      </c>
      <c r="B76" s="34">
        <v>9</v>
      </c>
      <c r="C76" s="33">
        <v>0.5703493862134088</v>
      </c>
      <c r="D76" s="33">
        <v>0.63016528925619852</v>
      </c>
      <c r="E76" s="33">
        <v>0.60435571687840306</v>
      </c>
      <c r="F76" s="33">
        <v>0.64977477477477485</v>
      </c>
      <c r="G76" s="33">
        <v>0.59515324305060557</v>
      </c>
      <c r="H76" s="33">
        <v>0.16576733542238234</v>
      </c>
      <c r="I76" s="33">
        <v>0.66863613983259473</v>
      </c>
      <c r="J76" s="34">
        <v>1</v>
      </c>
      <c r="K76" s="54">
        <v>1</v>
      </c>
      <c r="L76" s="54">
        <v>0</v>
      </c>
      <c r="M76" s="54">
        <v>0</v>
      </c>
    </row>
    <row r="77" spans="1:14" x14ac:dyDescent="0.2">
      <c r="A77" s="33">
        <v>0.96104493738655905</v>
      </c>
      <c r="B77" s="34">
        <v>97</v>
      </c>
      <c r="C77" s="33">
        <v>0.8234183191690273</v>
      </c>
      <c r="D77" s="33">
        <v>0.86363636363636365</v>
      </c>
      <c r="E77" s="33">
        <v>0.66606170598911008</v>
      </c>
      <c r="F77" s="33">
        <v>0.81193693693693714</v>
      </c>
      <c r="G77" s="33">
        <v>0.84105488239486792</v>
      </c>
      <c r="H77" s="33">
        <v>0.35261152790960748</v>
      </c>
      <c r="I77" s="33">
        <v>0.84638109305760734</v>
      </c>
      <c r="J77" s="34">
        <v>2</v>
      </c>
      <c r="K77" s="54">
        <v>0</v>
      </c>
      <c r="L77" s="54">
        <v>1</v>
      </c>
      <c r="M77" s="54">
        <v>0</v>
      </c>
    </row>
    <row r="78" spans="1:14" x14ac:dyDescent="0.2">
      <c r="A78" s="33">
        <v>0.98228836981363221</v>
      </c>
      <c r="B78" s="34">
        <v>56</v>
      </c>
      <c r="C78" s="33">
        <v>0.41926345609065152</v>
      </c>
      <c r="D78" s="33">
        <v>0.48760330578512384</v>
      </c>
      <c r="E78" s="33">
        <v>0.5235934664246823</v>
      </c>
      <c r="F78" s="33">
        <v>0.45213963963963966</v>
      </c>
      <c r="G78" s="33">
        <v>0.41482537419814691</v>
      </c>
      <c r="H78" s="33">
        <v>0.15185478942646505</v>
      </c>
      <c r="I78" s="33">
        <v>0.4529788281634663</v>
      </c>
      <c r="J78" s="34">
        <v>1</v>
      </c>
      <c r="K78" s="54">
        <v>1</v>
      </c>
      <c r="L78" s="54">
        <v>0</v>
      </c>
      <c r="M78" s="54">
        <v>0</v>
      </c>
    </row>
    <row r="79" spans="1:14" x14ac:dyDescent="0.2">
      <c r="A79" s="33">
        <v>0.9740699177248946</v>
      </c>
      <c r="B79" s="34">
        <v>99</v>
      </c>
      <c r="C79" s="33">
        <v>0.71576959395656303</v>
      </c>
      <c r="D79" s="33">
        <v>0.79545454545454575</v>
      </c>
      <c r="E79" s="33">
        <v>0.50453720508166966</v>
      </c>
      <c r="F79" s="33">
        <v>0.77252252252252251</v>
      </c>
      <c r="G79" s="33">
        <v>0.62865288667141828</v>
      </c>
      <c r="H79" s="33">
        <v>0.27147668023248261</v>
      </c>
      <c r="I79" s="33">
        <v>0.86361398325947802</v>
      </c>
      <c r="J79" s="34">
        <v>2</v>
      </c>
      <c r="K79" s="54">
        <v>0</v>
      </c>
      <c r="L79" s="54">
        <v>1</v>
      </c>
      <c r="M79" s="54">
        <v>0</v>
      </c>
    </row>
    <row r="80" spans="1:14" x14ac:dyDescent="0.2">
      <c r="A80" s="33">
        <v>0.66042290027063744</v>
      </c>
      <c r="B80" s="34">
        <v>178</v>
      </c>
      <c r="C80" s="33">
        <v>1.4164305949008532E-2</v>
      </c>
      <c r="D80" s="33">
        <v>6.61157024793389E-2</v>
      </c>
      <c r="E80" s="33">
        <v>0.22504537205081615</v>
      </c>
      <c r="F80" s="33">
        <v>0.13851351351351326</v>
      </c>
      <c r="G80" s="33">
        <v>8.5531004989308664E-3</v>
      </c>
      <c r="H80" s="33">
        <v>0.51189067599370686</v>
      </c>
      <c r="I80" s="33">
        <v>0.21861152141802068</v>
      </c>
      <c r="J80" s="34">
        <v>3</v>
      </c>
      <c r="K80" s="54">
        <v>0</v>
      </c>
      <c r="L80" s="54">
        <v>0</v>
      </c>
      <c r="M80" s="54">
        <v>1</v>
      </c>
    </row>
    <row r="81" spans="1:14" x14ac:dyDescent="0.2">
      <c r="A81" s="33">
        <v>0.31669076712052346</v>
      </c>
      <c r="B81" s="34">
        <v>49</v>
      </c>
      <c r="C81" s="33">
        <v>0.39660056657223791</v>
      </c>
      <c r="D81" s="33">
        <v>0.43595041322314038</v>
      </c>
      <c r="E81" s="33">
        <v>0.66969147005444651</v>
      </c>
      <c r="F81" s="33">
        <v>0.36373873873873874</v>
      </c>
      <c r="G81" s="33">
        <v>0.47113328581610819</v>
      </c>
      <c r="H81" s="33">
        <v>0.25210313487368197</v>
      </c>
      <c r="I81" s="33">
        <v>0.29148202855736077</v>
      </c>
      <c r="J81" s="34">
        <v>1</v>
      </c>
      <c r="K81" s="54">
        <v>1</v>
      </c>
      <c r="L81" s="54">
        <v>0</v>
      </c>
      <c r="M81" s="54">
        <v>0</v>
      </c>
    </row>
    <row r="82" spans="1:14" x14ac:dyDescent="0.2">
      <c r="A82" s="33">
        <v>0.61019951435424136</v>
      </c>
      <c r="B82" s="34">
        <v>54</v>
      </c>
      <c r="C82" s="33">
        <v>0.35316336166194523</v>
      </c>
      <c r="D82" s="33">
        <v>0.38636363636363619</v>
      </c>
      <c r="E82" s="33">
        <v>0.6805807622504535</v>
      </c>
      <c r="F82" s="33">
        <v>0.34065315315315292</v>
      </c>
      <c r="G82" s="33">
        <v>0.4055595153243049</v>
      </c>
      <c r="H82" s="33">
        <v>0.33323798255080683</v>
      </c>
      <c r="I82" s="33">
        <v>0.34711964549483021</v>
      </c>
      <c r="J82" s="34">
        <v>1</v>
      </c>
      <c r="K82" s="54">
        <v>1</v>
      </c>
      <c r="L82" s="54">
        <v>0</v>
      </c>
      <c r="M82" s="54">
        <v>0</v>
      </c>
    </row>
    <row r="83" spans="1:14" x14ac:dyDescent="0.2">
      <c r="A83" s="33">
        <v>0.85131278649669428</v>
      </c>
      <c r="B83" s="34">
        <v>43</v>
      </c>
      <c r="C83" s="33">
        <v>0.24268177525967896</v>
      </c>
      <c r="D83" s="33">
        <v>0.23553719008264476</v>
      </c>
      <c r="E83" s="33">
        <v>0.84210526315789491</v>
      </c>
      <c r="F83" s="33">
        <v>0.13457207207207203</v>
      </c>
      <c r="G83" s="33">
        <v>0.40698503207412684</v>
      </c>
      <c r="H83" s="33">
        <v>0.22050735284557077</v>
      </c>
      <c r="I83" s="33">
        <v>0.12998522895125567</v>
      </c>
      <c r="J83" s="34">
        <v>1</v>
      </c>
      <c r="K83" s="54">
        <v>1</v>
      </c>
      <c r="L83" s="54">
        <v>0</v>
      </c>
      <c r="M83" s="54">
        <v>0</v>
      </c>
    </row>
    <row r="84" spans="1:14" x14ac:dyDescent="0.2">
      <c r="A84" s="33">
        <v>0.23045012929783548</v>
      </c>
      <c r="B84" s="34">
        <v>153</v>
      </c>
      <c r="C84" s="33">
        <v>0.15769593956562794</v>
      </c>
      <c r="D84" s="33">
        <v>0.24586776859504123</v>
      </c>
      <c r="E84" s="33">
        <v>0.22867513611615253</v>
      </c>
      <c r="F84" s="33">
        <v>0.28659909909909931</v>
      </c>
      <c r="G84" s="33">
        <v>0.14468995010691391</v>
      </c>
      <c r="H84" s="33">
        <v>0.51891196088884273</v>
      </c>
      <c r="I84" s="33">
        <v>0.41408173313638619</v>
      </c>
      <c r="J84" s="34">
        <v>3</v>
      </c>
      <c r="K84" s="54">
        <v>0</v>
      </c>
      <c r="L84" s="54">
        <v>0</v>
      </c>
      <c r="M84" s="54">
        <v>1</v>
      </c>
    </row>
    <row r="85" spans="1:14" x14ac:dyDescent="0.2">
      <c r="A85" s="33">
        <v>0.42245455946841126</v>
      </c>
      <c r="B85" s="34">
        <v>164</v>
      </c>
      <c r="C85" s="33">
        <v>0.18508026440037781</v>
      </c>
      <c r="D85" s="33">
        <v>0.23966942148760334</v>
      </c>
      <c r="E85" s="33">
        <v>0.43284936479128838</v>
      </c>
      <c r="F85" s="33">
        <v>0.24436936936936948</v>
      </c>
      <c r="G85" s="33">
        <v>0.24091233071988594</v>
      </c>
      <c r="H85" s="33">
        <v>0.47509394219142104</v>
      </c>
      <c r="I85" s="33">
        <v>0.32348596750369285</v>
      </c>
      <c r="J85" s="34">
        <v>3</v>
      </c>
      <c r="K85" s="54">
        <v>0</v>
      </c>
      <c r="L85" s="54">
        <v>0</v>
      </c>
      <c r="M85" s="54">
        <v>1</v>
      </c>
    </row>
    <row r="86" spans="1:14" x14ac:dyDescent="0.2">
      <c r="A86" s="33">
        <v>0.68589918969432517</v>
      </c>
      <c r="B86" s="34">
        <v>83</v>
      </c>
      <c r="C86" s="33">
        <v>0.90745986779981114</v>
      </c>
      <c r="D86" s="33">
        <v>0.92561983471074394</v>
      </c>
      <c r="E86" s="33">
        <v>0.73774954627949141</v>
      </c>
      <c r="F86" s="33">
        <v>0.78040540540540559</v>
      </c>
      <c r="G86" s="33">
        <v>0.8795438346400567</v>
      </c>
      <c r="H86" s="33">
        <v>0.57313188313461361</v>
      </c>
      <c r="I86" s="33">
        <v>0.82127031019202379</v>
      </c>
      <c r="J86" s="34">
        <v>2</v>
      </c>
      <c r="K86" s="54">
        <v>0</v>
      </c>
      <c r="L86" s="54">
        <v>1</v>
      </c>
      <c r="M86" s="54">
        <v>0</v>
      </c>
    </row>
    <row r="87" spans="1:14" x14ac:dyDescent="0.2">
      <c r="A87" s="33">
        <v>0.97317904010306033</v>
      </c>
      <c r="B87" s="34">
        <v>205</v>
      </c>
      <c r="C87" s="34">
        <v>0.16808309726156745</v>
      </c>
      <c r="D87" s="34">
        <v>0.21900826446281002</v>
      </c>
      <c r="E87" s="34">
        <v>0.44101633393829393</v>
      </c>
      <c r="F87" s="34">
        <v>0.17173423423423409</v>
      </c>
      <c r="G87" s="34">
        <v>0.23521026372059869</v>
      </c>
      <c r="H87" s="34">
        <v>0.41008204501423767</v>
      </c>
      <c r="I87" s="34">
        <v>0.23732151649433791</v>
      </c>
      <c r="J87" s="34">
        <v>3</v>
      </c>
      <c r="K87" s="54">
        <v>0</v>
      </c>
      <c r="L87" s="54">
        <v>0</v>
      </c>
      <c r="M87" s="54">
        <v>1</v>
      </c>
    </row>
    <row r="88" spans="1:14" x14ac:dyDescent="0.2">
      <c r="A88" s="33">
        <v>0.51303695240527636</v>
      </c>
      <c r="B88" s="34">
        <v>108</v>
      </c>
      <c r="C88" s="33">
        <v>0.66477809254013209</v>
      </c>
      <c r="D88" s="33">
        <v>0.7128099173553718</v>
      </c>
      <c r="E88" s="33">
        <v>0.65245009074410154</v>
      </c>
      <c r="F88" s="33">
        <v>0.63851351351351382</v>
      </c>
      <c r="G88" s="33">
        <v>0.67213114754098346</v>
      </c>
      <c r="H88" s="33">
        <v>0.38771795238528656</v>
      </c>
      <c r="I88" s="33">
        <v>0.69423929098966042</v>
      </c>
      <c r="J88" s="34">
        <v>2</v>
      </c>
      <c r="K88" s="54">
        <v>0</v>
      </c>
      <c r="L88" s="54">
        <v>1</v>
      </c>
      <c r="M88" s="54">
        <v>0</v>
      </c>
    </row>
    <row r="89" spans="1:14" x14ac:dyDescent="0.2">
      <c r="A89" s="33">
        <v>0.75038716195306698</v>
      </c>
      <c r="B89" s="34">
        <v>36</v>
      </c>
      <c r="C89" s="33">
        <v>0.52219074598678006</v>
      </c>
      <c r="D89" s="33">
        <v>0.5351239669421487</v>
      </c>
      <c r="E89" s="33">
        <v>0.83393829401088937</v>
      </c>
      <c r="F89" s="33">
        <v>0.45608108108108092</v>
      </c>
      <c r="G89" s="33">
        <v>0.60940841054882378</v>
      </c>
      <c r="H89" s="33">
        <v>0.19567280812388671</v>
      </c>
      <c r="I89" s="33">
        <v>0.45494830132939418</v>
      </c>
      <c r="J89" s="34">
        <v>1</v>
      </c>
      <c r="K89" s="54">
        <v>1</v>
      </c>
      <c r="L89" s="54">
        <v>0</v>
      </c>
      <c r="M89" s="54">
        <v>0</v>
      </c>
    </row>
    <row r="90" spans="1:14" x14ac:dyDescent="0.2">
      <c r="A90" s="33">
        <v>0.25397661656837955</v>
      </c>
      <c r="B90" s="34">
        <v>188</v>
      </c>
      <c r="C90" s="33">
        <v>3.0217186024551489E-2</v>
      </c>
      <c r="D90" s="33">
        <v>8.0578512396694335E-2</v>
      </c>
      <c r="E90" s="33">
        <v>0.26406533575317626</v>
      </c>
      <c r="F90" s="33">
        <v>0.10641891891891896</v>
      </c>
      <c r="G90" s="33">
        <v>3.207412687099067E-2</v>
      </c>
      <c r="H90" s="33">
        <v>0.44388823154637308</v>
      </c>
      <c r="I90" s="33">
        <v>0.21516494337764666</v>
      </c>
      <c r="J90" s="34">
        <v>3</v>
      </c>
      <c r="K90" s="54">
        <v>0</v>
      </c>
      <c r="L90" s="54">
        <v>0</v>
      </c>
      <c r="M90" s="54">
        <v>1</v>
      </c>
    </row>
    <row r="91" spans="1:14" x14ac:dyDescent="0.2">
      <c r="A91" s="33">
        <v>0.79912901868533293</v>
      </c>
      <c r="B91" s="34">
        <v>62</v>
      </c>
      <c r="C91" s="33">
        <v>6.0434372049102979E-2</v>
      </c>
      <c r="D91" s="33">
        <v>4.5454545454545588E-2</v>
      </c>
      <c r="E91" s="33">
        <v>0.68874773139745904</v>
      </c>
      <c r="F91" s="33">
        <v>1.6891891891892535E-3</v>
      </c>
      <c r="G91" s="33">
        <v>0.17747683535281542</v>
      </c>
      <c r="H91" s="33">
        <v>0.19554278432953234</v>
      </c>
      <c r="I91" s="33">
        <v>9.0595765632693351E-2</v>
      </c>
      <c r="J91" s="34">
        <v>1</v>
      </c>
      <c r="K91" s="54">
        <v>1</v>
      </c>
      <c r="L91" s="54">
        <v>0</v>
      </c>
      <c r="M91" s="54">
        <v>0</v>
      </c>
    </row>
    <row r="92" spans="1:14" x14ac:dyDescent="0.2">
      <c r="A92" s="33"/>
      <c r="B92" s="34"/>
      <c r="C92" s="33"/>
      <c r="D92" s="33"/>
      <c r="E92" s="33"/>
      <c r="F92" s="33"/>
      <c r="G92" s="33"/>
      <c r="H92" s="33"/>
      <c r="I92" s="33"/>
      <c r="J92" s="34"/>
      <c r="K92" s="54"/>
      <c r="L92" s="54"/>
      <c r="M92" s="54"/>
    </row>
    <row r="93" spans="1:14" x14ac:dyDescent="0.2">
      <c r="A93" s="33"/>
      <c r="B93" s="34"/>
      <c r="C93" s="33"/>
      <c r="D93" s="33"/>
      <c r="E93" s="33"/>
      <c r="F93" s="33"/>
      <c r="G93" s="33"/>
      <c r="H93" s="33"/>
      <c r="I93" s="33"/>
      <c r="J93" s="34"/>
      <c r="K93" s="54"/>
      <c r="L93" s="54"/>
      <c r="M93" s="54"/>
    </row>
    <row r="94" spans="1:14" x14ac:dyDescent="0.2">
      <c r="A94" s="33">
        <v>0.79380994855265352</v>
      </c>
      <c r="B94" s="34">
        <v>175</v>
      </c>
      <c r="C94" s="33">
        <v>2.266288951841362E-2</v>
      </c>
      <c r="D94" s="33">
        <v>0.11363636363636379</v>
      </c>
      <c r="E94" s="33">
        <v>1.6333938294010104E-2</v>
      </c>
      <c r="F94" s="33">
        <v>0.21340090090090066</v>
      </c>
      <c r="G94" s="33">
        <v>7.8403421240200409E-3</v>
      </c>
      <c r="H94" s="33">
        <v>0.57430209728380299</v>
      </c>
      <c r="I94" s="33">
        <v>0.32791728212703081</v>
      </c>
      <c r="J94" s="34">
        <v>3</v>
      </c>
      <c r="K94" s="54">
        <v>0</v>
      </c>
      <c r="L94" s="54">
        <v>0</v>
      </c>
      <c r="M94" s="54">
        <v>1</v>
      </c>
      <c r="N94" s="31"/>
    </row>
    <row r="95" spans="1:14" x14ac:dyDescent="0.2">
      <c r="A95" s="33">
        <v>0.39610202443221898</v>
      </c>
      <c r="B95" s="34">
        <v>20</v>
      </c>
      <c r="C95" s="33">
        <v>0.20113314447592076</v>
      </c>
      <c r="D95" s="33">
        <v>0.23966942148760334</v>
      </c>
      <c r="E95" s="33">
        <v>0.54900181488203281</v>
      </c>
      <c r="F95" s="33">
        <v>0.18412162162162163</v>
      </c>
      <c r="G95" s="33">
        <v>0.29864575908766922</v>
      </c>
      <c r="H95" s="33">
        <v>0.43387639938108685</v>
      </c>
      <c r="I95" s="33">
        <v>0.1944854751354011</v>
      </c>
      <c r="J95" s="34">
        <v>1</v>
      </c>
      <c r="K95" s="54">
        <v>1</v>
      </c>
      <c r="L95" s="54">
        <v>0</v>
      </c>
      <c r="M95" s="54">
        <v>0</v>
      </c>
    </row>
    <row r="96" spans="1:14" x14ac:dyDescent="0.2">
      <c r="A96" s="33">
        <v>0.23343397771154351</v>
      </c>
      <c r="B96" s="34">
        <v>44</v>
      </c>
      <c r="C96" s="33">
        <v>0.46364494806421153</v>
      </c>
      <c r="D96" s="33">
        <v>0.50619834710743783</v>
      </c>
      <c r="E96" s="33">
        <v>0.67059891107078029</v>
      </c>
      <c r="F96" s="33">
        <v>0.55067567567567555</v>
      </c>
      <c r="G96" s="33">
        <v>0.54597291518175317</v>
      </c>
      <c r="H96" s="33">
        <v>0.51306089014289624</v>
      </c>
      <c r="I96" s="33">
        <v>0.49679960610536661</v>
      </c>
      <c r="J96" s="34">
        <v>1</v>
      </c>
      <c r="K96" s="54">
        <v>1</v>
      </c>
      <c r="L96" s="54">
        <v>0</v>
      </c>
      <c r="M96" s="54">
        <v>0</v>
      </c>
    </row>
    <row r="97" spans="1:13" x14ac:dyDescent="0.2">
      <c r="A97" s="33">
        <v>0.44752886793370394</v>
      </c>
      <c r="B97" s="34">
        <v>31</v>
      </c>
      <c r="C97" s="33">
        <v>0.24268177525967896</v>
      </c>
      <c r="D97" s="33">
        <v>0.29132231404958681</v>
      </c>
      <c r="E97" s="33">
        <v>0.52722323049001762</v>
      </c>
      <c r="F97" s="33">
        <v>0.31249999999999989</v>
      </c>
      <c r="G97" s="33">
        <v>0.24590163934426235</v>
      </c>
      <c r="H97" s="33">
        <v>1.1702141491893013E-2</v>
      </c>
      <c r="I97" s="33">
        <v>0.26440177252584934</v>
      </c>
      <c r="J97" s="34">
        <v>1</v>
      </c>
      <c r="K97" s="54">
        <v>1</v>
      </c>
      <c r="L97" s="54">
        <v>0</v>
      </c>
      <c r="M97" s="54">
        <v>0</v>
      </c>
    </row>
    <row r="98" spans="1:13" x14ac:dyDescent="0.2">
      <c r="A98" s="33">
        <v>0.34647549991607729</v>
      </c>
      <c r="B98" s="34">
        <v>186</v>
      </c>
      <c r="C98" s="33">
        <v>9.1595845136921691E-2</v>
      </c>
      <c r="D98" s="33">
        <v>0.18595041322314057</v>
      </c>
      <c r="E98" s="33">
        <v>0.10617059891107021</v>
      </c>
      <c r="F98" s="33">
        <v>0.26126126126126153</v>
      </c>
      <c r="G98" s="33">
        <v>3.7776193870277919E-2</v>
      </c>
      <c r="H98" s="33">
        <v>0.42867544760691217</v>
      </c>
      <c r="I98" s="33">
        <v>0.32644017725258512</v>
      </c>
      <c r="J98" s="34">
        <v>3</v>
      </c>
      <c r="K98" s="54">
        <v>0</v>
      </c>
      <c r="L98" s="54">
        <v>0</v>
      </c>
      <c r="M98" s="54">
        <v>1</v>
      </c>
    </row>
    <row r="99" spans="1:13" x14ac:dyDescent="0.2">
      <c r="A99" s="33">
        <v>0.20897505955694295</v>
      </c>
      <c r="B99" s="34">
        <v>144</v>
      </c>
      <c r="C99" s="33">
        <v>0.15391879131255909</v>
      </c>
      <c r="D99" s="33">
        <v>0.18801652892561987</v>
      </c>
      <c r="E99" s="33">
        <v>0.51814882032667831</v>
      </c>
      <c r="F99" s="33">
        <v>0.18299549549549562</v>
      </c>
      <c r="G99" s="33">
        <v>0.2401995723449751</v>
      </c>
      <c r="H99" s="33">
        <v>0.61161892626350634</v>
      </c>
      <c r="I99" s="33">
        <v>0.34564254062038408</v>
      </c>
      <c r="J99" s="34">
        <v>3</v>
      </c>
      <c r="K99" s="54">
        <v>0</v>
      </c>
      <c r="L99" s="54">
        <v>0</v>
      </c>
      <c r="M99" s="54">
        <v>1</v>
      </c>
    </row>
    <row r="100" spans="1:13" x14ac:dyDescent="0.2">
      <c r="A100" s="33">
        <v>8.1086933529418648E-2</v>
      </c>
      <c r="B100" s="34">
        <v>82</v>
      </c>
      <c r="C100" s="33">
        <v>0.76770538243626052</v>
      </c>
      <c r="D100" s="33">
        <v>0.78099173553719037</v>
      </c>
      <c r="E100" s="33">
        <v>0.81306715063520907</v>
      </c>
      <c r="F100" s="33">
        <v>0.62331081081081097</v>
      </c>
      <c r="G100" s="33">
        <v>0.87455452601568062</v>
      </c>
      <c r="H100" s="33">
        <v>0.59276547608212304</v>
      </c>
      <c r="I100" s="33">
        <v>0.66962087641555867</v>
      </c>
      <c r="J100" s="34">
        <v>2</v>
      </c>
      <c r="K100" s="54">
        <v>0</v>
      </c>
      <c r="L100" s="54">
        <v>1</v>
      </c>
      <c r="M100" s="54">
        <v>0</v>
      </c>
    </row>
    <row r="101" spans="1:13" x14ac:dyDescent="0.2">
      <c r="A101" s="33">
        <v>0.98147407165034117</v>
      </c>
      <c r="B101" s="34">
        <v>12</v>
      </c>
      <c r="C101" s="33">
        <v>0.32483474976392818</v>
      </c>
      <c r="D101" s="33">
        <v>0.36157024793388431</v>
      </c>
      <c r="E101" s="33">
        <v>0.64882032667876621</v>
      </c>
      <c r="F101" s="33">
        <v>0.30349099099099086</v>
      </c>
      <c r="G101" s="33">
        <v>0.40698503207412684</v>
      </c>
      <c r="H101" s="33">
        <v>0.12376964984592183</v>
      </c>
      <c r="I101" s="33">
        <v>0.23732151649433791</v>
      </c>
      <c r="J101" s="34">
        <v>1</v>
      </c>
      <c r="K101" s="54">
        <v>1</v>
      </c>
      <c r="L101" s="54">
        <v>0</v>
      </c>
      <c r="M101" s="54">
        <v>0</v>
      </c>
    </row>
    <row r="102" spans="1:13" x14ac:dyDescent="0.2">
      <c r="A102" s="33">
        <v>0.87525734941868527</v>
      </c>
      <c r="B102" s="34">
        <v>160</v>
      </c>
      <c r="C102" s="33">
        <v>8.4985835694051021E-2</v>
      </c>
      <c r="D102" s="33">
        <v>0.16735537190082656</v>
      </c>
      <c r="E102" s="33">
        <v>0.16515426497277677</v>
      </c>
      <c r="F102" s="33">
        <v>0.22804054054054071</v>
      </c>
      <c r="G102" s="33">
        <v>4.6329294369208782E-2</v>
      </c>
      <c r="H102" s="33">
        <v>0.60108699892080253</v>
      </c>
      <c r="I102" s="33">
        <v>0.38946331856228439</v>
      </c>
      <c r="J102" s="34">
        <v>3</v>
      </c>
      <c r="K102" s="54">
        <v>0</v>
      </c>
      <c r="L102" s="54">
        <v>0</v>
      </c>
      <c r="M102" s="54">
        <v>1</v>
      </c>
    </row>
    <row r="103" spans="1:13" x14ac:dyDescent="0.2">
      <c r="A103" s="33">
        <v>0.12038132193308304</v>
      </c>
      <c r="B103" s="34">
        <v>1</v>
      </c>
      <c r="C103" s="33">
        <v>0.44098205854579792</v>
      </c>
      <c r="D103" s="33">
        <v>0.50206611570247928</v>
      </c>
      <c r="E103" s="33">
        <v>0.570780399274047</v>
      </c>
      <c r="F103" s="33">
        <v>0.48648648648648646</v>
      </c>
      <c r="G103" s="33">
        <v>0.48610121168923714</v>
      </c>
      <c r="H103" s="33">
        <v>0.18930164220052273</v>
      </c>
      <c r="I103" s="33">
        <v>0.34515017232890188</v>
      </c>
      <c r="J103" s="34">
        <v>1</v>
      </c>
      <c r="K103" s="54">
        <v>1</v>
      </c>
      <c r="L103" s="54">
        <v>0</v>
      </c>
      <c r="M103" s="54">
        <v>0</v>
      </c>
    </row>
    <row r="104" spans="1:13" x14ac:dyDescent="0.2">
      <c r="A104" s="33">
        <v>0.47189169950733845</v>
      </c>
      <c r="B104" s="34">
        <v>63</v>
      </c>
      <c r="C104" s="33">
        <v>0.16713881019830024</v>
      </c>
      <c r="D104" s="33">
        <v>0.16115702479338831</v>
      </c>
      <c r="E104" s="33">
        <v>0.76406533575317581</v>
      </c>
      <c r="F104" s="33">
        <v>9.9662162162161949E-2</v>
      </c>
      <c r="G104" s="33">
        <v>0.29365645046329281</v>
      </c>
      <c r="H104" s="33">
        <v>0.31919541276053526</v>
      </c>
      <c r="I104" s="33">
        <v>4.234367306745461E-2</v>
      </c>
      <c r="J104" s="34">
        <v>1</v>
      </c>
      <c r="K104" s="54">
        <v>1</v>
      </c>
      <c r="L104" s="54">
        <v>0</v>
      </c>
      <c r="M104" s="54">
        <v>0</v>
      </c>
    </row>
    <row r="105" spans="1:13" x14ac:dyDescent="0.2">
      <c r="A105" s="33">
        <v>0.51377243846308918</v>
      </c>
      <c r="B105" s="34">
        <v>204</v>
      </c>
      <c r="C105" s="34">
        <v>0.19924457034938617</v>
      </c>
      <c r="D105" s="34">
        <v>0.20661157024793389</v>
      </c>
      <c r="E105" s="34">
        <v>0.71960072595281266</v>
      </c>
      <c r="F105" s="34">
        <v>0.15990990990990983</v>
      </c>
      <c r="G105" s="34">
        <v>0.3285816108339274</v>
      </c>
      <c r="H105" s="33">
        <v>1</v>
      </c>
      <c r="I105" s="34">
        <v>0.23682914820285572</v>
      </c>
      <c r="J105" s="34">
        <v>3</v>
      </c>
      <c r="K105" s="54">
        <v>0</v>
      </c>
      <c r="L105" s="54">
        <v>0</v>
      </c>
      <c r="M105" s="54">
        <v>1</v>
      </c>
    </row>
    <row r="106" spans="1:13" x14ac:dyDescent="0.2">
      <c r="A106" s="33">
        <v>0.2661855791366019</v>
      </c>
      <c r="B106" s="34">
        <v>32</v>
      </c>
      <c r="C106" s="33">
        <v>0.46270066100094431</v>
      </c>
      <c r="D106" s="33">
        <v>0.5227272727272726</v>
      </c>
      <c r="E106" s="33">
        <v>0.58348457350272176</v>
      </c>
      <c r="F106" s="33">
        <v>0.48310810810810795</v>
      </c>
      <c r="G106" s="33">
        <v>0.52815395580898061</v>
      </c>
      <c r="H106" s="33">
        <v>0.34415998127657366</v>
      </c>
      <c r="I106" s="33">
        <v>0.34908911866075809</v>
      </c>
      <c r="J106" s="34">
        <v>1</v>
      </c>
      <c r="K106" s="54">
        <v>1</v>
      </c>
      <c r="L106" s="54">
        <v>0</v>
      </c>
      <c r="M106" s="54">
        <v>0</v>
      </c>
    </row>
    <row r="107" spans="1:13" x14ac:dyDescent="0.2">
      <c r="A107" s="33">
        <v>0.74694203850061736</v>
      </c>
      <c r="B107" s="34">
        <v>46</v>
      </c>
      <c r="C107" s="33">
        <v>0.30311614730878195</v>
      </c>
      <c r="D107" s="33">
        <v>0.33677685950413205</v>
      </c>
      <c r="E107" s="33">
        <v>0.64700544464609744</v>
      </c>
      <c r="F107" s="33">
        <v>0.26858108108108131</v>
      </c>
      <c r="G107" s="33">
        <v>0.37419814682822505</v>
      </c>
      <c r="H107" s="33">
        <v>0.10335591413228623</v>
      </c>
      <c r="I107" s="33">
        <v>0.21762678483505674</v>
      </c>
      <c r="J107" s="34">
        <v>1</v>
      </c>
      <c r="K107" s="54">
        <v>1</v>
      </c>
      <c r="L107" s="54">
        <v>0</v>
      </c>
      <c r="M107" s="54">
        <v>0</v>
      </c>
    </row>
    <row r="108" spans="1:13" x14ac:dyDescent="0.2">
      <c r="A108" s="33">
        <v>0.18425267317756755</v>
      </c>
      <c r="B108" s="34">
        <v>137</v>
      </c>
      <c r="C108" s="33">
        <v>0.6392823418319169</v>
      </c>
      <c r="D108" s="33">
        <v>0.69214876033057848</v>
      </c>
      <c r="E108" s="33">
        <v>0.6388384754990919</v>
      </c>
      <c r="F108" s="33">
        <v>0.70157657657657635</v>
      </c>
      <c r="G108" s="33">
        <v>0.67284390591589427</v>
      </c>
      <c r="H108" s="33">
        <v>0.35898269383297143</v>
      </c>
      <c r="I108" s="33">
        <v>0.71491875923190551</v>
      </c>
      <c r="J108" s="34">
        <v>2</v>
      </c>
      <c r="K108" s="54">
        <v>0</v>
      </c>
      <c r="L108" s="54">
        <v>1</v>
      </c>
      <c r="M108" s="54">
        <v>0</v>
      </c>
    </row>
    <row r="109" spans="1:13" x14ac:dyDescent="0.2">
      <c r="A109" s="33">
        <v>0.30893910962325755</v>
      </c>
      <c r="B109" s="34">
        <v>4</v>
      </c>
      <c r="C109" s="33">
        <v>0.3068932955618508</v>
      </c>
      <c r="D109" s="33">
        <v>0.31611570247933873</v>
      </c>
      <c r="E109" s="33">
        <v>0.79310344827586166</v>
      </c>
      <c r="F109" s="33">
        <v>0.23930180180180172</v>
      </c>
      <c r="G109" s="33">
        <v>0.53385602280826794</v>
      </c>
      <c r="H109" s="33">
        <v>0.19424254638598865</v>
      </c>
      <c r="I109" s="33">
        <v>0.14081733136385999</v>
      </c>
      <c r="J109" s="34">
        <v>1</v>
      </c>
      <c r="K109" s="54">
        <v>1</v>
      </c>
      <c r="L109" s="54">
        <v>0</v>
      </c>
      <c r="M109" s="54">
        <v>0</v>
      </c>
    </row>
    <row r="110" spans="1:13" x14ac:dyDescent="0.2">
      <c r="A110" s="33">
        <v>0.2746834087526584</v>
      </c>
      <c r="B110" s="34">
        <v>139</v>
      </c>
      <c r="C110" s="33">
        <v>0.47308781869688382</v>
      </c>
      <c r="D110" s="33">
        <v>0.55785123966942141</v>
      </c>
      <c r="E110" s="33">
        <v>0.45281306715063485</v>
      </c>
      <c r="F110" s="33">
        <v>0.52533783783783783</v>
      </c>
      <c r="G110" s="33">
        <v>0.46756949394155378</v>
      </c>
      <c r="H110" s="33">
        <v>0.25483363455512364</v>
      </c>
      <c r="I110" s="33">
        <v>0.60709010339734115</v>
      </c>
      <c r="J110" s="34">
        <v>2</v>
      </c>
      <c r="K110" s="54">
        <v>0</v>
      </c>
      <c r="L110" s="54">
        <v>1</v>
      </c>
      <c r="M110" s="54">
        <v>0</v>
      </c>
    </row>
    <row r="111" spans="1:13" x14ac:dyDescent="0.2">
      <c r="A111" s="33">
        <v>0.79379936672543161</v>
      </c>
      <c r="B111" s="34">
        <v>193</v>
      </c>
      <c r="C111" s="33">
        <v>0.12086874409820579</v>
      </c>
      <c r="D111" s="33">
        <v>0.12603305785123955</v>
      </c>
      <c r="E111" s="33">
        <v>0.64791288566243133</v>
      </c>
      <c r="F111" s="33">
        <v>0.13119369369369352</v>
      </c>
      <c r="G111" s="33">
        <v>0.23022095509622226</v>
      </c>
      <c r="H111" s="33">
        <v>0.36821438323213151</v>
      </c>
      <c r="I111" s="33">
        <v>0.30182176267848332</v>
      </c>
      <c r="J111" s="34">
        <v>3</v>
      </c>
      <c r="K111" s="54">
        <v>0</v>
      </c>
      <c r="L111" s="54">
        <v>0</v>
      </c>
      <c r="M111" s="54">
        <v>1</v>
      </c>
    </row>
    <row r="112" spans="1:13" x14ac:dyDescent="0.2">
      <c r="A112" s="33">
        <v>0.93493477888925192</v>
      </c>
      <c r="B112" s="34">
        <v>123</v>
      </c>
      <c r="C112" s="33">
        <v>0.52691218130311634</v>
      </c>
      <c r="D112" s="33">
        <v>0.61363636363636376</v>
      </c>
      <c r="E112" s="33">
        <v>0.46007259528130656</v>
      </c>
      <c r="F112" s="33">
        <v>0.48592342342342321</v>
      </c>
      <c r="G112" s="33">
        <v>0.53955808980755515</v>
      </c>
      <c r="H112" s="33">
        <v>0.45780077754229026</v>
      </c>
      <c r="I112" s="33">
        <v>0.58296405711472199</v>
      </c>
      <c r="J112" s="34">
        <v>2</v>
      </c>
      <c r="K112" s="54">
        <v>0</v>
      </c>
      <c r="L112" s="54">
        <v>1</v>
      </c>
      <c r="M112" s="54">
        <v>0</v>
      </c>
    </row>
    <row r="113" spans="1:14" x14ac:dyDescent="0.2">
      <c r="A113" s="33">
        <v>0.46490369913720542</v>
      </c>
      <c r="B113" s="34">
        <v>174</v>
      </c>
      <c r="C113" s="33">
        <v>7.6487252124645938E-2</v>
      </c>
      <c r="D113" s="33">
        <v>0.13842975206611569</v>
      </c>
      <c r="E113" s="33">
        <v>0.26678765880217775</v>
      </c>
      <c r="F113" s="33">
        <v>0.13344594594594603</v>
      </c>
      <c r="G113" s="33">
        <v>9.4796863863150366E-2</v>
      </c>
      <c r="H113" s="33">
        <v>0.62709175779167592</v>
      </c>
      <c r="I113" s="33">
        <v>0.28064992614475648</v>
      </c>
      <c r="J113" s="34">
        <v>3</v>
      </c>
      <c r="K113" s="54">
        <v>0</v>
      </c>
      <c r="L113" s="54">
        <v>0</v>
      </c>
      <c r="M113" s="54">
        <v>1</v>
      </c>
    </row>
    <row r="114" spans="1:14" x14ac:dyDescent="0.2">
      <c r="A114" s="33">
        <v>0.81575047234003029</v>
      </c>
      <c r="B114" s="34">
        <v>208</v>
      </c>
      <c r="C114" s="34">
        <v>0.24645892351274781</v>
      </c>
      <c r="D114" s="34">
        <v>0.25826446280991738</v>
      </c>
      <c r="E114" s="34">
        <v>0.7277676950998182</v>
      </c>
      <c r="F114" s="34">
        <v>0.18975225225225212</v>
      </c>
      <c r="G114" s="34">
        <v>0.429080541696365</v>
      </c>
      <c r="H114" s="34">
        <v>0.98166664499603429</v>
      </c>
      <c r="I114" s="34">
        <v>0.26440177252584934</v>
      </c>
      <c r="J114" s="34">
        <v>3</v>
      </c>
      <c r="K114" s="54">
        <v>0</v>
      </c>
      <c r="L114" s="54">
        <v>0</v>
      </c>
      <c r="M114" s="54">
        <v>1</v>
      </c>
    </row>
    <row r="115" spans="1:14" x14ac:dyDescent="0.2">
      <c r="A115" s="33"/>
      <c r="B115" s="34"/>
      <c r="C115" s="34"/>
      <c r="D115" s="34"/>
      <c r="E115" s="34"/>
      <c r="F115" s="34"/>
      <c r="G115" s="34"/>
      <c r="H115" s="34"/>
      <c r="I115" s="34"/>
      <c r="J115" s="34"/>
      <c r="K115" s="54"/>
      <c r="L115" s="54"/>
      <c r="M115" s="54"/>
    </row>
    <row r="116" spans="1:14" x14ac:dyDescent="0.2">
      <c r="A116" s="33"/>
      <c r="B116" s="34"/>
      <c r="C116" s="34"/>
      <c r="D116" s="34"/>
      <c r="E116" s="34"/>
      <c r="F116" s="34"/>
      <c r="G116" s="34"/>
      <c r="H116" s="34"/>
      <c r="I116" s="34"/>
      <c r="J116" s="34"/>
      <c r="K116" s="54"/>
      <c r="L116" s="54"/>
      <c r="M116" s="54"/>
    </row>
    <row r="117" spans="1:14" x14ac:dyDescent="0.2">
      <c r="A117" s="33">
        <v>0.43955052775882208</v>
      </c>
      <c r="B117" s="34">
        <v>65</v>
      </c>
      <c r="C117" s="33">
        <v>0.20679886685552404</v>
      </c>
      <c r="D117" s="33">
        <v>0.23966942148760334</v>
      </c>
      <c r="E117" s="33">
        <v>0.57622504537205099</v>
      </c>
      <c r="F117" s="33">
        <v>0.20439189189189166</v>
      </c>
      <c r="G117" s="33">
        <v>0.28225231646471832</v>
      </c>
      <c r="H117" s="33">
        <v>5.3426777100209336E-2</v>
      </c>
      <c r="I117" s="33">
        <v>0.12949286065977347</v>
      </c>
      <c r="J117" s="34">
        <v>1</v>
      </c>
      <c r="K117" s="54">
        <v>1</v>
      </c>
      <c r="L117" s="54">
        <v>0</v>
      </c>
      <c r="M117" s="54">
        <v>0</v>
      </c>
      <c r="N117" s="31"/>
    </row>
    <row r="118" spans="1:14" x14ac:dyDescent="0.2">
      <c r="A118" s="33">
        <v>0.58860576018266308</v>
      </c>
      <c r="B118" s="34">
        <v>86</v>
      </c>
      <c r="C118" s="33">
        <v>0.72521246458923516</v>
      </c>
      <c r="D118" s="33">
        <v>0.7603305785123966</v>
      </c>
      <c r="E118" s="33">
        <v>0.71597096188747722</v>
      </c>
      <c r="F118" s="33">
        <v>0.7173423423423424</v>
      </c>
      <c r="G118" s="33">
        <v>0.72772630078403389</v>
      </c>
      <c r="H118" s="33">
        <v>0.21816692454719219</v>
      </c>
      <c r="I118" s="33">
        <v>0.82619399310684405</v>
      </c>
      <c r="J118" s="34">
        <v>2</v>
      </c>
      <c r="K118" s="54">
        <v>0</v>
      </c>
      <c r="L118" s="54">
        <v>1</v>
      </c>
      <c r="M118" s="54">
        <v>0</v>
      </c>
    </row>
    <row r="119" spans="1:14" x14ac:dyDescent="0.2">
      <c r="A119" s="33">
        <v>0.8550344626157651</v>
      </c>
      <c r="B119" s="34">
        <v>140</v>
      </c>
      <c r="C119" s="33">
        <v>0.53257790368271962</v>
      </c>
      <c r="D119" s="33">
        <v>0.57231404958677679</v>
      </c>
      <c r="E119" s="33">
        <v>0.69782214156079847</v>
      </c>
      <c r="F119" s="33">
        <v>0.54786036036036034</v>
      </c>
      <c r="G119" s="33">
        <v>0.60014255167498198</v>
      </c>
      <c r="H119" s="33">
        <v>0.39057847586108263</v>
      </c>
      <c r="I119" s="33">
        <v>0.69079271294928601</v>
      </c>
      <c r="J119" s="34">
        <v>2</v>
      </c>
      <c r="K119" s="54">
        <v>0</v>
      </c>
      <c r="L119" s="54">
        <v>1</v>
      </c>
      <c r="M119" s="54">
        <v>0</v>
      </c>
    </row>
    <row r="120" spans="1:14" x14ac:dyDescent="0.2">
      <c r="A120" s="33">
        <v>0.27143520134203181</v>
      </c>
      <c r="B120" s="34">
        <v>138</v>
      </c>
      <c r="C120" s="33">
        <v>0.47025495750708218</v>
      </c>
      <c r="D120" s="33">
        <v>0.56611570247933896</v>
      </c>
      <c r="E120" s="33">
        <v>0.40471869328493637</v>
      </c>
      <c r="F120" s="33">
        <v>0.57488738738738743</v>
      </c>
      <c r="G120" s="33">
        <v>0.42836778332145387</v>
      </c>
      <c r="H120" s="33">
        <v>0.24378161203500245</v>
      </c>
      <c r="I120" s="33">
        <v>0.66962087641555867</v>
      </c>
      <c r="J120" s="34">
        <v>2</v>
      </c>
      <c r="K120" s="54">
        <v>0</v>
      </c>
      <c r="L120" s="54">
        <v>1</v>
      </c>
      <c r="M120" s="54">
        <v>0</v>
      </c>
    </row>
    <row r="121" spans="1:14" x14ac:dyDescent="0.2">
      <c r="A121" s="33">
        <v>0.30649455478554866</v>
      </c>
      <c r="B121" s="34">
        <v>77</v>
      </c>
      <c r="C121" s="33">
        <v>0.63550519357884805</v>
      </c>
      <c r="D121" s="33">
        <v>0.72314049586776863</v>
      </c>
      <c r="E121" s="33">
        <v>0.47005444646097982</v>
      </c>
      <c r="F121" s="33">
        <v>0.65596846846846857</v>
      </c>
      <c r="G121" s="33">
        <v>0.55096222380612958</v>
      </c>
      <c r="H121" s="33">
        <v>0.39772978455057278</v>
      </c>
      <c r="I121" s="33">
        <v>0.69079271294928601</v>
      </c>
      <c r="J121" s="34">
        <v>2</v>
      </c>
      <c r="K121" s="54">
        <v>0</v>
      </c>
      <c r="L121" s="54">
        <v>1</v>
      </c>
      <c r="M121" s="54">
        <v>0</v>
      </c>
    </row>
    <row r="122" spans="1:14" x14ac:dyDescent="0.2">
      <c r="A122" s="33">
        <v>0.3457657112141107</v>
      </c>
      <c r="B122" s="34">
        <v>87</v>
      </c>
      <c r="C122" s="33">
        <v>0.78281397544853626</v>
      </c>
      <c r="D122" s="33">
        <v>0.79545454545454575</v>
      </c>
      <c r="E122" s="33">
        <v>0.80580762250453741</v>
      </c>
      <c r="F122" s="33">
        <v>0.6672297297297296</v>
      </c>
      <c r="G122" s="33">
        <v>0.80826799714896613</v>
      </c>
      <c r="H122" s="33">
        <v>0.11492803182982488</v>
      </c>
      <c r="I122" s="33">
        <v>0.78286558345642543</v>
      </c>
      <c r="J122" s="34">
        <v>2</v>
      </c>
      <c r="K122" s="54">
        <v>0</v>
      </c>
      <c r="L122" s="54">
        <v>1</v>
      </c>
      <c r="M122" s="54">
        <v>0</v>
      </c>
    </row>
    <row r="123" spans="1:14" x14ac:dyDescent="0.2">
      <c r="A123" s="33">
        <v>0.74124787120605884</v>
      </c>
      <c r="B123" s="34">
        <v>203</v>
      </c>
      <c r="C123" s="34">
        <v>5.5712936732766748E-2</v>
      </c>
      <c r="D123" s="34">
        <v>6.404958677685961E-2</v>
      </c>
      <c r="E123" s="34">
        <v>0.54355716878402882</v>
      </c>
      <c r="F123" s="34">
        <v>6.1936936936937123E-2</v>
      </c>
      <c r="G123" s="34">
        <v>0.12829650748396301</v>
      </c>
      <c r="H123" s="34">
        <v>0.42724518586901411</v>
      </c>
      <c r="I123" s="34">
        <v>0.15214180206794692</v>
      </c>
      <c r="J123" s="34">
        <v>3</v>
      </c>
      <c r="K123" s="54">
        <v>0</v>
      </c>
      <c r="L123" s="54">
        <v>0</v>
      </c>
      <c r="M123" s="54">
        <v>1</v>
      </c>
    </row>
    <row r="124" spans="1:14" x14ac:dyDescent="0.2">
      <c r="A124" s="33">
        <v>0.51959478622143551</v>
      </c>
      <c r="B124" s="34">
        <v>165</v>
      </c>
      <c r="C124" s="33">
        <v>5.1935788479697896E-2</v>
      </c>
      <c r="D124" s="33">
        <v>7.851239669421467E-2</v>
      </c>
      <c r="E124" s="33">
        <v>0.43284936479128838</v>
      </c>
      <c r="F124" s="33">
        <v>6.3063063063063127E-2</v>
      </c>
      <c r="G124" s="33">
        <v>0.11689237348538851</v>
      </c>
      <c r="H124" s="33">
        <v>0.73111079327516937</v>
      </c>
      <c r="I124" s="33">
        <v>0.26095519448547527</v>
      </c>
      <c r="J124" s="34">
        <v>3</v>
      </c>
      <c r="K124" s="54">
        <v>0</v>
      </c>
      <c r="L124" s="54">
        <v>0</v>
      </c>
      <c r="M124" s="54">
        <v>1</v>
      </c>
    </row>
    <row r="125" spans="1:14" x14ac:dyDescent="0.2">
      <c r="A125" s="33">
        <v>0.17416043474822196</v>
      </c>
      <c r="B125" s="34">
        <v>143</v>
      </c>
      <c r="C125" s="33">
        <v>0.25967894239848915</v>
      </c>
      <c r="D125" s="33">
        <v>0.31818181818181801</v>
      </c>
      <c r="E125" s="33">
        <v>0.48911070780399241</v>
      </c>
      <c r="F125" s="33">
        <v>0.27590090090090102</v>
      </c>
      <c r="G125" s="33">
        <v>0.31646471846044177</v>
      </c>
      <c r="H125" s="33">
        <v>0.68001144209390318</v>
      </c>
      <c r="I125" s="33">
        <v>0.3879862136878387</v>
      </c>
      <c r="J125" s="34">
        <v>3</v>
      </c>
      <c r="K125" s="54">
        <v>0</v>
      </c>
      <c r="L125" s="54">
        <v>0</v>
      </c>
      <c r="M125" s="54">
        <v>1</v>
      </c>
    </row>
    <row r="126" spans="1:14" x14ac:dyDescent="0.2">
      <c r="A126" s="33">
        <v>7.0902867598755637E-2</v>
      </c>
      <c r="B126" s="34">
        <v>173</v>
      </c>
      <c r="C126" s="33">
        <v>6.4211520302171837E-2</v>
      </c>
      <c r="D126" s="33">
        <v>0.11570247933884308</v>
      </c>
      <c r="E126" s="33">
        <v>0.30671506352087069</v>
      </c>
      <c r="F126" s="33">
        <v>0.10641891891891896</v>
      </c>
      <c r="G126" s="33">
        <v>9.4796863863150366E-2</v>
      </c>
      <c r="H126" s="33">
        <v>0.46079132481244078</v>
      </c>
      <c r="I126" s="33">
        <v>0.23682914820285572</v>
      </c>
      <c r="J126" s="34">
        <v>3</v>
      </c>
      <c r="K126" s="54">
        <v>0</v>
      </c>
      <c r="L126" s="54">
        <v>0</v>
      </c>
      <c r="M126" s="54">
        <v>1</v>
      </c>
    </row>
    <row r="127" spans="1:14" x14ac:dyDescent="0.2">
      <c r="A127" s="33">
        <v>0.35032410954779514</v>
      </c>
      <c r="B127" s="34">
        <v>52</v>
      </c>
      <c r="C127" s="33">
        <v>0.49008498583569399</v>
      </c>
      <c r="D127" s="33">
        <v>0.51652892561983477</v>
      </c>
      <c r="E127" s="33">
        <v>0.76406533575317581</v>
      </c>
      <c r="F127" s="33">
        <v>0.43637387387387411</v>
      </c>
      <c r="G127" s="33">
        <v>0.57305773342836774</v>
      </c>
      <c r="H127" s="33">
        <v>0.62774187676344773</v>
      </c>
      <c r="I127" s="33">
        <v>0.30379123584441164</v>
      </c>
      <c r="J127" s="34">
        <v>1</v>
      </c>
      <c r="K127" s="54">
        <v>1</v>
      </c>
      <c r="L127" s="54">
        <v>0</v>
      </c>
      <c r="M127" s="54">
        <v>0</v>
      </c>
    </row>
    <row r="128" spans="1:14" x14ac:dyDescent="0.2">
      <c r="A128" s="33">
        <v>0.90509574072398413</v>
      </c>
      <c r="B128" s="34">
        <v>73</v>
      </c>
      <c r="C128" s="33">
        <v>0.62983947119924477</v>
      </c>
      <c r="D128" s="33">
        <v>0.68595041322314054</v>
      </c>
      <c r="E128" s="33">
        <v>0.61887477313974548</v>
      </c>
      <c r="F128" s="33">
        <v>0.60754504504504492</v>
      </c>
      <c r="G128" s="33">
        <v>0.68709907341411236</v>
      </c>
      <c r="H128" s="33">
        <v>0.49069679751394507</v>
      </c>
      <c r="I128" s="33">
        <v>0.6262924667651405</v>
      </c>
      <c r="J128" s="34">
        <v>2</v>
      </c>
      <c r="K128" s="54">
        <v>0</v>
      </c>
      <c r="L128" s="54">
        <v>1</v>
      </c>
      <c r="M128" s="54">
        <v>0</v>
      </c>
    </row>
    <row r="129" spans="1:14" x14ac:dyDescent="0.2">
      <c r="A129" s="33">
        <v>0.61859536604289622</v>
      </c>
      <c r="B129" s="34">
        <v>89</v>
      </c>
      <c r="C129" s="33">
        <v>1</v>
      </c>
      <c r="D129" s="33">
        <v>0.99173553719008278</v>
      </c>
      <c r="E129" s="33">
        <v>0.82395644283121616</v>
      </c>
      <c r="F129" s="33">
        <v>0.94256756756756788</v>
      </c>
      <c r="G129" s="33">
        <v>1</v>
      </c>
      <c r="H129" s="33">
        <v>0.65205632630771437</v>
      </c>
      <c r="I129" s="33">
        <v>0.84293451501723293</v>
      </c>
      <c r="J129" s="34">
        <v>2</v>
      </c>
      <c r="K129" s="54">
        <v>0</v>
      </c>
      <c r="L129" s="54">
        <v>1</v>
      </c>
      <c r="M129" s="54">
        <v>0</v>
      </c>
    </row>
    <row r="130" spans="1:14" x14ac:dyDescent="0.2">
      <c r="A130" s="33">
        <v>7.4622815587567337E-2</v>
      </c>
      <c r="B130" s="34">
        <v>53</v>
      </c>
      <c r="C130" s="33">
        <v>0.36827195467422102</v>
      </c>
      <c r="D130" s="33">
        <v>0.45454545454545442</v>
      </c>
      <c r="E130" s="33">
        <v>0.41470054446460958</v>
      </c>
      <c r="F130" s="33">
        <v>0.45945945945945943</v>
      </c>
      <c r="G130" s="33">
        <v>0.34426229508196715</v>
      </c>
      <c r="H130" s="33">
        <v>0.43569673250204788</v>
      </c>
      <c r="I130" s="33">
        <v>0.43180699162973901</v>
      </c>
      <c r="J130" s="34">
        <v>1</v>
      </c>
      <c r="K130" s="54">
        <v>1</v>
      </c>
      <c r="L130" s="54">
        <v>0</v>
      </c>
      <c r="M130" s="54">
        <v>0</v>
      </c>
    </row>
    <row r="131" spans="1:14" x14ac:dyDescent="0.2">
      <c r="A131" s="33">
        <v>0.38461549801339401</v>
      </c>
      <c r="B131" s="34">
        <v>90</v>
      </c>
      <c r="C131" s="33">
        <v>0.97167138810198295</v>
      </c>
      <c r="D131" s="33">
        <v>0.95867768595041336</v>
      </c>
      <c r="E131" s="33">
        <v>0.86206896551724144</v>
      </c>
      <c r="F131" s="33">
        <v>0.87331081081081097</v>
      </c>
      <c r="G131" s="33">
        <v>0.99928724162508886</v>
      </c>
      <c r="H131" s="33">
        <v>0.55271814742097802</v>
      </c>
      <c r="I131" s="33">
        <v>0.88724766125061538</v>
      </c>
      <c r="J131" s="34">
        <v>2</v>
      </c>
      <c r="K131" s="54">
        <v>0</v>
      </c>
      <c r="L131" s="54">
        <v>1</v>
      </c>
      <c r="M131" s="54">
        <v>0</v>
      </c>
    </row>
    <row r="132" spans="1:14" x14ac:dyDescent="0.2">
      <c r="A132" s="33">
        <v>0.55511893147826952</v>
      </c>
      <c r="B132" s="34">
        <v>79</v>
      </c>
      <c r="C132" s="33">
        <v>0.78847969782813987</v>
      </c>
      <c r="D132" s="33">
        <v>0.84297520661156988</v>
      </c>
      <c r="E132" s="33">
        <v>0.6070780399274045</v>
      </c>
      <c r="F132" s="33">
        <v>0.87049549549549576</v>
      </c>
      <c r="G132" s="33">
        <v>0.71917320028510301</v>
      </c>
      <c r="H132" s="33">
        <v>0.55895928954998764</v>
      </c>
      <c r="I132" s="33">
        <v>0.90743476120137878</v>
      </c>
      <c r="J132" s="34">
        <v>2</v>
      </c>
      <c r="K132" s="54">
        <v>0</v>
      </c>
      <c r="L132" s="54">
        <v>1</v>
      </c>
      <c r="M132" s="54">
        <v>0</v>
      </c>
    </row>
    <row r="133" spans="1:14" x14ac:dyDescent="0.2">
      <c r="A133" s="33">
        <v>3.0231873912761387E-2</v>
      </c>
      <c r="B133" s="34">
        <v>6</v>
      </c>
      <c r="C133" s="33">
        <v>0.35788479697828152</v>
      </c>
      <c r="D133" s="33">
        <v>0.37190082644628114</v>
      </c>
      <c r="E133" s="33">
        <v>0.78947368421052622</v>
      </c>
      <c r="F133" s="33">
        <v>0.27421171171171183</v>
      </c>
      <c r="G133" s="33">
        <v>0.48610121168923714</v>
      </c>
      <c r="H133" s="33">
        <v>0.22063737663992516</v>
      </c>
      <c r="I133" s="33">
        <v>0.21516494337764666</v>
      </c>
      <c r="J133" s="34">
        <v>1</v>
      </c>
      <c r="K133" s="54">
        <v>1</v>
      </c>
      <c r="L133" s="54">
        <v>0</v>
      </c>
      <c r="M133" s="54">
        <v>0</v>
      </c>
    </row>
    <row r="134" spans="1:14" x14ac:dyDescent="0.2">
      <c r="A134" s="33">
        <v>0.35220738393985229</v>
      </c>
      <c r="B134" s="34">
        <v>201</v>
      </c>
      <c r="C134" s="34">
        <v>0.16902738432483483</v>
      </c>
      <c r="D134" s="34">
        <v>0.21280991735537177</v>
      </c>
      <c r="E134" s="34">
        <v>0.4791288566243192</v>
      </c>
      <c r="F134" s="34">
        <v>0.18018018018018037</v>
      </c>
      <c r="G134" s="34">
        <v>0.25588025659301489</v>
      </c>
      <c r="H134" s="34">
        <v>0.61200899764656935</v>
      </c>
      <c r="I134" s="34">
        <v>0.25898572131954695</v>
      </c>
      <c r="J134" s="34">
        <v>3</v>
      </c>
      <c r="K134" s="54">
        <v>0</v>
      </c>
      <c r="L134" s="54">
        <v>0</v>
      </c>
      <c r="M134" s="54">
        <v>1</v>
      </c>
    </row>
    <row r="135" spans="1:14" x14ac:dyDescent="0.2">
      <c r="A135" s="33">
        <v>0.12584285195246225</v>
      </c>
      <c r="B135" s="34">
        <v>40</v>
      </c>
      <c r="C135" s="33">
        <v>0.348441926345609</v>
      </c>
      <c r="D135" s="33">
        <v>0.36363636363636359</v>
      </c>
      <c r="E135" s="33">
        <v>0.78312159709618834</v>
      </c>
      <c r="F135" s="33">
        <v>0.28040540540540554</v>
      </c>
      <c r="G135" s="33">
        <v>0.4761225944404846</v>
      </c>
      <c r="H135" s="33">
        <v>0.76972786019841632</v>
      </c>
      <c r="I135" s="33">
        <v>0.23732151649433791</v>
      </c>
      <c r="J135" s="34">
        <v>1</v>
      </c>
      <c r="K135" s="54">
        <v>1</v>
      </c>
      <c r="L135" s="54">
        <v>0</v>
      </c>
      <c r="M135" s="54">
        <v>0</v>
      </c>
    </row>
    <row r="136" spans="1:14" x14ac:dyDescent="0.2">
      <c r="A136" s="33">
        <v>7.593841746564256E-2</v>
      </c>
      <c r="B136" s="34">
        <v>92</v>
      </c>
      <c r="C136" s="33">
        <v>0.7714825306893297</v>
      </c>
      <c r="D136" s="33">
        <v>0.78305785123966931</v>
      </c>
      <c r="E136" s="33">
        <v>0.81941923774954595</v>
      </c>
      <c r="F136" s="33">
        <v>0.7167792792792792</v>
      </c>
      <c r="G136" s="33">
        <v>0.8310762651461151</v>
      </c>
      <c r="H136" s="33">
        <v>0.30619303332509856</v>
      </c>
      <c r="I136" s="33">
        <v>0.75529295913343186</v>
      </c>
      <c r="J136" s="34">
        <v>2</v>
      </c>
      <c r="K136" s="54">
        <v>0</v>
      </c>
      <c r="L136" s="54">
        <v>1</v>
      </c>
      <c r="M136" s="54">
        <v>0</v>
      </c>
    </row>
    <row r="137" spans="1:14" x14ac:dyDescent="0.2">
      <c r="A137" s="33">
        <v>0.63864598846823561</v>
      </c>
      <c r="B137" s="34">
        <v>131</v>
      </c>
      <c r="C137" s="33">
        <v>0.72804532577903691</v>
      </c>
      <c r="D137" s="33">
        <v>0.71900826446281008</v>
      </c>
      <c r="E137" s="33">
        <v>0.93194192377495499</v>
      </c>
      <c r="F137" s="33">
        <v>0.60810810810810823</v>
      </c>
      <c r="G137" s="33">
        <v>0.80185317177476811</v>
      </c>
      <c r="H137" s="33">
        <v>0.26939629952281274</v>
      </c>
      <c r="I137" s="33">
        <v>0.71048744460856716</v>
      </c>
      <c r="J137" s="34">
        <v>2</v>
      </c>
      <c r="K137" s="54">
        <v>0</v>
      </c>
      <c r="L137" s="54">
        <v>1</v>
      </c>
      <c r="M137" s="54">
        <v>0</v>
      </c>
    </row>
    <row r="138" spans="1:14" x14ac:dyDescent="0.2">
      <c r="A138" s="33"/>
      <c r="B138" s="34"/>
      <c r="C138" s="33"/>
      <c r="D138" s="33"/>
      <c r="E138" s="33"/>
      <c r="F138" s="33"/>
      <c r="G138" s="33"/>
      <c r="H138" s="33"/>
      <c r="I138" s="33"/>
      <c r="J138" s="34"/>
      <c r="K138" s="54"/>
      <c r="L138" s="54"/>
      <c r="M138" s="54"/>
    </row>
    <row r="139" spans="1:14" x14ac:dyDescent="0.2">
      <c r="A139" s="33"/>
      <c r="B139" s="34"/>
      <c r="C139" s="33"/>
      <c r="D139" s="33"/>
      <c r="E139" s="33"/>
      <c r="F139" s="33"/>
      <c r="G139" s="33"/>
      <c r="H139" s="33"/>
      <c r="I139" s="33"/>
      <c r="J139" s="34"/>
      <c r="K139" s="54"/>
      <c r="L139" s="54"/>
      <c r="M139" s="54"/>
    </row>
    <row r="140" spans="1:14" x14ac:dyDescent="0.2">
      <c r="A140" s="33">
        <v>0.65708800499798381</v>
      </c>
      <c r="B140" s="34">
        <v>119</v>
      </c>
      <c r="C140" s="33">
        <v>0.78375826251180369</v>
      </c>
      <c r="D140" s="33">
        <v>0.78925619834710747</v>
      </c>
      <c r="E140" s="33">
        <v>0.84119782214156114</v>
      </c>
      <c r="F140" s="33">
        <v>0.74774774774774799</v>
      </c>
      <c r="G140" s="33">
        <v>0.81183178902352093</v>
      </c>
      <c r="H140" s="33">
        <v>0.37367538259501493</v>
      </c>
      <c r="I140" s="33">
        <v>0.71245691777449549</v>
      </c>
      <c r="J140" s="34">
        <v>2</v>
      </c>
      <c r="K140" s="54">
        <v>0</v>
      </c>
      <c r="L140" s="54">
        <v>1</v>
      </c>
      <c r="M140" s="54">
        <v>0</v>
      </c>
      <c r="N140" s="31"/>
    </row>
    <row r="141" spans="1:14" x14ac:dyDescent="0.2">
      <c r="A141" s="33">
        <v>0.86462478684001853</v>
      </c>
      <c r="B141" s="34">
        <v>50</v>
      </c>
      <c r="C141" s="33">
        <v>0.40321057601510857</v>
      </c>
      <c r="D141" s="33">
        <v>0.46694214876033052</v>
      </c>
      <c r="E141" s="33">
        <v>0.53992740471869338</v>
      </c>
      <c r="F141" s="33">
        <v>0.43862612612612611</v>
      </c>
      <c r="G141" s="33">
        <v>0.44761225944404842</v>
      </c>
      <c r="H141" s="33">
        <v>0.17733945311992097</v>
      </c>
      <c r="I141" s="33">
        <v>0.40965041851304773</v>
      </c>
      <c r="J141" s="34">
        <v>1</v>
      </c>
      <c r="K141" s="54">
        <v>1</v>
      </c>
      <c r="L141" s="54">
        <v>0</v>
      </c>
      <c r="M141" s="54">
        <v>0</v>
      </c>
    </row>
    <row r="142" spans="1:14" x14ac:dyDescent="0.2">
      <c r="A142" s="33">
        <v>0.96788880487494067</v>
      </c>
      <c r="B142" s="34">
        <v>151</v>
      </c>
      <c r="C142" s="33">
        <v>0.11709159584513694</v>
      </c>
      <c r="D142" s="33">
        <v>0.16942148760330586</v>
      </c>
      <c r="E142" s="33">
        <v>0.37658802177858436</v>
      </c>
      <c r="F142" s="33">
        <v>0.20495495495495492</v>
      </c>
      <c r="G142" s="33">
        <v>0.14967925873129001</v>
      </c>
      <c r="H142" s="33">
        <v>0.57599240661040974</v>
      </c>
      <c r="I142" s="33">
        <v>0.3879862136878387</v>
      </c>
      <c r="J142" s="34">
        <v>3</v>
      </c>
      <c r="K142" s="54">
        <v>0</v>
      </c>
      <c r="L142" s="54">
        <v>0</v>
      </c>
      <c r="M142" s="54">
        <v>1</v>
      </c>
    </row>
    <row r="143" spans="1:14" x14ac:dyDescent="0.2">
      <c r="A143" s="33">
        <v>0.95420950007899963</v>
      </c>
      <c r="B143" s="34">
        <v>120</v>
      </c>
      <c r="C143" s="33">
        <v>0.8914069877242683</v>
      </c>
      <c r="D143" s="33">
        <v>0.92768595041322288</v>
      </c>
      <c r="E143" s="33">
        <v>0.66243194192377475</v>
      </c>
      <c r="F143" s="33">
        <v>0.89752252252252285</v>
      </c>
      <c r="G143" s="33">
        <v>0.87455452601568062</v>
      </c>
      <c r="H143" s="33">
        <v>0.29878167704689967</v>
      </c>
      <c r="I143" s="33">
        <v>0.88675529295913369</v>
      </c>
      <c r="J143" s="34">
        <v>2</v>
      </c>
      <c r="K143" s="54">
        <v>0</v>
      </c>
      <c r="L143" s="54">
        <v>1</v>
      </c>
      <c r="M143" s="54">
        <v>0</v>
      </c>
    </row>
    <row r="144" spans="1:14" x14ac:dyDescent="0.2">
      <c r="A144" s="33">
        <v>0.13847989259510907</v>
      </c>
      <c r="B144" s="34">
        <v>190</v>
      </c>
      <c r="C144" s="33">
        <v>0</v>
      </c>
      <c r="D144" s="33">
        <v>0</v>
      </c>
      <c r="E144" s="33">
        <v>0.51451905626134298</v>
      </c>
      <c r="F144" s="33">
        <v>0</v>
      </c>
      <c r="G144" s="33">
        <v>0.11190306486101211</v>
      </c>
      <c r="H144" s="33">
        <v>0.54738717185244901</v>
      </c>
      <c r="I144" s="33">
        <v>0.13540128015755762</v>
      </c>
      <c r="J144" s="34">
        <v>3</v>
      </c>
      <c r="K144" s="54">
        <v>0</v>
      </c>
      <c r="L144" s="54">
        <v>0</v>
      </c>
      <c r="M144" s="54">
        <v>1</v>
      </c>
    </row>
    <row r="145" spans="1:13" x14ac:dyDescent="0.2">
      <c r="A145" s="33">
        <v>0.12164259566536773</v>
      </c>
      <c r="B145" s="34">
        <v>106</v>
      </c>
      <c r="C145" s="33">
        <v>0.77809254013220008</v>
      </c>
      <c r="D145" s="33">
        <v>0.80165289256198324</v>
      </c>
      <c r="E145" s="33">
        <v>0.75862068965517271</v>
      </c>
      <c r="F145" s="33">
        <v>0.64076576576576583</v>
      </c>
      <c r="G145" s="33">
        <v>0.82394868139700628</v>
      </c>
      <c r="H145" s="33">
        <v>0.23246954192617253</v>
      </c>
      <c r="I145" s="33">
        <v>0.66962087641555867</v>
      </c>
      <c r="J145" s="34">
        <v>2</v>
      </c>
      <c r="K145" s="54">
        <v>0</v>
      </c>
      <c r="L145" s="54">
        <v>1</v>
      </c>
      <c r="M145" s="54">
        <v>0</v>
      </c>
    </row>
    <row r="146" spans="1:13" x14ac:dyDescent="0.2">
      <c r="A146" s="33">
        <v>0.54407379466625927</v>
      </c>
      <c r="B146" s="34">
        <v>18</v>
      </c>
      <c r="C146" s="33">
        <v>0.4815864022662889</v>
      </c>
      <c r="D146" s="33">
        <v>0.48347107438016529</v>
      </c>
      <c r="E146" s="33">
        <v>0.88656987295825807</v>
      </c>
      <c r="F146" s="33">
        <v>0.35360360360360371</v>
      </c>
      <c r="G146" s="33">
        <v>0.63007840342123989</v>
      </c>
      <c r="H146" s="33">
        <v>0.10842684211210653</v>
      </c>
      <c r="I146" s="33">
        <v>0.25947808961102914</v>
      </c>
      <c r="J146" s="34">
        <v>1</v>
      </c>
      <c r="K146" s="54">
        <v>1</v>
      </c>
      <c r="L146" s="54">
        <v>0</v>
      </c>
      <c r="M146" s="54">
        <v>0</v>
      </c>
    </row>
    <row r="147" spans="1:13" x14ac:dyDescent="0.2">
      <c r="A147" s="33">
        <v>0.81497841663644655</v>
      </c>
      <c r="B147" s="34">
        <v>163</v>
      </c>
      <c r="C147" s="33">
        <v>0.13786591123701614</v>
      </c>
      <c r="D147" s="33">
        <v>0.20661157024793389</v>
      </c>
      <c r="E147" s="33">
        <v>0.30399274047186919</v>
      </c>
      <c r="F147" s="33">
        <v>0.20720720720720742</v>
      </c>
      <c r="G147" s="33">
        <v>0.15466856735566645</v>
      </c>
      <c r="H147" s="33">
        <v>0.54907748117905586</v>
      </c>
      <c r="I147" s="33">
        <v>0.25947808961102914</v>
      </c>
      <c r="J147" s="34">
        <v>3</v>
      </c>
      <c r="K147" s="54">
        <v>0</v>
      </c>
      <c r="L147" s="54">
        <v>0</v>
      </c>
      <c r="M147" s="54">
        <v>1</v>
      </c>
    </row>
    <row r="148" spans="1:13" x14ac:dyDescent="0.2">
      <c r="A148" s="33">
        <v>0.20020313861825312</v>
      </c>
      <c r="B148" s="34">
        <v>64</v>
      </c>
      <c r="C148" s="33">
        <v>0.24834749763928241</v>
      </c>
      <c r="D148" s="33">
        <v>0.29545454545454541</v>
      </c>
      <c r="E148" s="33">
        <v>0.54355716878402882</v>
      </c>
      <c r="F148" s="33">
        <v>0.27927927927927904</v>
      </c>
      <c r="G148" s="33">
        <v>0.31361368496079817</v>
      </c>
      <c r="H148" s="33">
        <v>0.44102770807057701</v>
      </c>
      <c r="I148" s="33">
        <v>0.28015755785327429</v>
      </c>
      <c r="J148" s="34">
        <v>1</v>
      </c>
      <c r="K148" s="54">
        <v>1</v>
      </c>
      <c r="L148" s="54">
        <v>0</v>
      </c>
      <c r="M148" s="54">
        <v>0</v>
      </c>
    </row>
    <row r="149" spans="1:13" x14ac:dyDescent="0.2">
      <c r="A149" s="33">
        <v>0.36816781957295552</v>
      </c>
      <c r="B149" s="34">
        <v>107</v>
      </c>
      <c r="C149" s="33">
        <v>0.77998111425873484</v>
      </c>
      <c r="D149" s="33">
        <v>0.7768595041322317</v>
      </c>
      <c r="E149" s="33">
        <v>0.8847549909255894</v>
      </c>
      <c r="F149" s="33">
        <v>0.70551801801801817</v>
      </c>
      <c r="G149" s="33">
        <v>0.83820384889522437</v>
      </c>
      <c r="H149" s="33">
        <v>0.27017644228893889</v>
      </c>
      <c r="I149" s="33">
        <v>0.82767109798129013</v>
      </c>
      <c r="J149" s="34">
        <v>2</v>
      </c>
      <c r="K149" s="54">
        <v>0</v>
      </c>
      <c r="L149" s="54">
        <v>1</v>
      </c>
      <c r="M149" s="54">
        <v>0</v>
      </c>
    </row>
    <row r="150" spans="1:13" x14ac:dyDescent="0.2">
      <c r="A150" s="33">
        <v>0.54657836712019958</v>
      </c>
      <c r="B150" s="34">
        <v>142</v>
      </c>
      <c r="C150" s="33">
        <v>0.25779036827195473</v>
      </c>
      <c r="D150" s="33">
        <v>0.31611570247933873</v>
      </c>
      <c r="E150" s="33">
        <v>0.48275862068965453</v>
      </c>
      <c r="F150" s="33">
        <v>0.36148648648648674</v>
      </c>
      <c r="G150" s="33">
        <v>0.31575196008553097</v>
      </c>
      <c r="H150" s="33">
        <v>0.81523618822244481</v>
      </c>
      <c r="I150" s="33">
        <v>0.45347119645494849</v>
      </c>
      <c r="J150" s="34">
        <v>3</v>
      </c>
      <c r="K150" s="54">
        <v>0</v>
      </c>
      <c r="L150" s="54">
        <v>0</v>
      </c>
      <c r="M150" s="54">
        <v>1</v>
      </c>
    </row>
    <row r="151" spans="1:13" x14ac:dyDescent="0.2">
      <c r="A151" s="33">
        <v>0.61213154617202359</v>
      </c>
      <c r="B151" s="34">
        <v>25</v>
      </c>
      <c r="C151" s="33">
        <v>0.41737488196411709</v>
      </c>
      <c r="D151" s="33">
        <v>0.48553719008264457</v>
      </c>
      <c r="E151" s="33">
        <v>0.52268602540834852</v>
      </c>
      <c r="F151" s="33">
        <v>0.50112612612612595</v>
      </c>
      <c r="G151" s="33">
        <v>0.43834640057020668</v>
      </c>
      <c r="H151" s="33">
        <v>0.13339141062814497</v>
      </c>
      <c r="I151" s="33">
        <v>0.23732151649433791</v>
      </c>
      <c r="J151" s="34">
        <v>1</v>
      </c>
      <c r="K151" s="54">
        <v>1</v>
      </c>
      <c r="L151" s="54">
        <v>0</v>
      </c>
      <c r="M151" s="54">
        <v>0</v>
      </c>
    </row>
    <row r="152" spans="1:13" x14ac:dyDescent="0.2">
      <c r="A152" s="33">
        <v>0.630571722313922</v>
      </c>
      <c r="B152" s="34">
        <v>37</v>
      </c>
      <c r="C152" s="33">
        <v>0.52974504249291776</v>
      </c>
      <c r="D152" s="33">
        <v>0.59090909090909083</v>
      </c>
      <c r="E152" s="33">
        <v>0.59255898366606108</v>
      </c>
      <c r="F152" s="33">
        <v>0.52195945945945932</v>
      </c>
      <c r="G152" s="33">
        <v>0.59444048467569477</v>
      </c>
      <c r="H152" s="33">
        <v>0.26757596640185155</v>
      </c>
      <c r="I152" s="33">
        <v>0.49630723781388486</v>
      </c>
      <c r="J152" s="34">
        <v>1</v>
      </c>
      <c r="K152" s="54">
        <v>1</v>
      </c>
      <c r="L152" s="54">
        <v>0</v>
      </c>
      <c r="M152" s="54">
        <v>0</v>
      </c>
    </row>
    <row r="153" spans="1:13" x14ac:dyDescent="0.2">
      <c r="A153" s="33">
        <v>0.90876117087504449</v>
      </c>
      <c r="B153" s="34">
        <v>21</v>
      </c>
      <c r="C153" s="33">
        <v>0.33711048158640228</v>
      </c>
      <c r="D153" s="33">
        <v>0.4111570247933885</v>
      </c>
      <c r="E153" s="33">
        <v>0.45644283121597123</v>
      </c>
      <c r="F153" s="33">
        <v>0.42736486486486508</v>
      </c>
      <c r="G153" s="33">
        <v>0.35566642908054164</v>
      </c>
      <c r="H153" s="33">
        <v>0.29995189119608895</v>
      </c>
      <c r="I153" s="33">
        <v>0.32348596750369285</v>
      </c>
      <c r="J153" s="34">
        <v>1</v>
      </c>
      <c r="K153" s="54">
        <v>1</v>
      </c>
      <c r="L153" s="54">
        <v>0</v>
      </c>
      <c r="M153" s="54">
        <v>0</v>
      </c>
    </row>
    <row r="154" spans="1:13" x14ac:dyDescent="0.2">
      <c r="A154" s="33">
        <v>0.15126040675570951</v>
      </c>
      <c r="B154" s="34">
        <v>88</v>
      </c>
      <c r="C154" s="33">
        <v>0.79225684608120872</v>
      </c>
      <c r="D154" s="33">
        <v>0.87809917355371903</v>
      </c>
      <c r="E154" s="33">
        <v>0.46188747731397423</v>
      </c>
      <c r="F154" s="33">
        <v>0.92905405405405439</v>
      </c>
      <c r="G154" s="33">
        <v>0.74126870990734117</v>
      </c>
      <c r="H154" s="33">
        <v>0.38043661990144201</v>
      </c>
      <c r="I154" s="33">
        <v>0.97439684884293476</v>
      </c>
      <c r="J154" s="34">
        <v>2</v>
      </c>
      <c r="K154" s="54">
        <v>0</v>
      </c>
      <c r="L154" s="54">
        <v>1</v>
      </c>
      <c r="M154" s="54">
        <v>0</v>
      </c>
    </row>
    <row r="155" spans="1:13" x14ac:dyDescent="0.2">
      <c r="A155" s="33">
        <v>0.91167513377569798</v>
      </c>
      <c r="B155" s="34">
        <v>111</v>
      </c>
      <c r="C155" s="33">
        <v>0.74220963172804533</v>
      </c>
      <c r="D155" s="33">
        <v>0.76652892561983488</v>
      </c>
      <c r="E155" s="33">
        <v>0.76225045372050804</v>
      </c>
      <c r="F155" s="33">
        <v>0.68018018018018034</v>
      </c>
      <c r="G155" s="33">
        <v>0.81183178902352093</v>
      </c>
      <c r="H155" s="33">
        <v>0.19112197532148384</v>
      </c>
      <c r="I155" s="33">
        <v>0.62776957163958624</v>
      </c>
      <c r="J155" s="34">
        <v>2</v>
      </c>
      <c r="K155" s="54">
        <v>0</v>
      </c>
      <c r="L155" s="54">
        <v>1</v>
      </c>
      <c r="M155" s="54">
        <v>0</v>
      </c>
    </row>
    <row r="156" spans="1:13" x14ac:dyDescent="0.2">
      <c r="A156" s="33">
        <v>0.2918680235628025</v>
      </c>
      <c r="B156" s="34">
        <v>176</v>
      </c>
      <c r="C156" s="33">
        <v>1.9830028328611977E-2</v>
      </c>
      <c r="D156" s="33">
        <v>3.305785123966945E-2</v>
      </c>
      <c r="E156" s="33">
        <v>0.46188747731397423</v>
      </c>
      <c r="F156" s="33">
        <v>4.6171171171171095E-2</v>
      </c>
      <c r="G156" s="33">
        <v>0.13613684960798306</v>
      </c>
      <c r="H156" s="33">
        <v>0.52112236539286683</v>
      </c>
      <c r="I156" s="33">
        <v>0.26784835056622336</v>
      </c>
      <c r="J156" s="34">
        <v>3</v>
      </c>
      <c r="K156" s="54">
        <v>0</v>
      </c>
      <c r="L156" s="54">
        <v>0</v>
      </c>
      <c r="M156" s="54">
        <v>1</v>
      </c>
    </row>
    <row r="157" spans="1:13" x14ac:dyDescent="0.2">
      <c r="A157" s="33">
        <v>0.69675912344683921</v>
      </c>
      <c r="B157" s="34">
        <v>7</v>
      </c>
      <c r="C157" s="33">
        <v>0.38715769593956562</v>
      </c>
      <c r="D157" s="33">
        <v>0.42975206611570249</v>
      </c>
      <c r="E157" s="33">
        <v>0.65154264972776765</v>
      </c>
      <c r="F157" s="33">
        <v>0.37387387387387377</v>
      </c>
      <c r="G157" s="33">
        <v>0.44832501781895923</v>
      </c>
      <c r="H157" s="33">
        <v>0.36678412149423351</v>
      </c>
      <c r="I157" s="33">
        <v>0.34465780403742013</v>
      </c>
      <c r="J157" s="34">
        <v>1</v>
      </c>
      <c r="K157" s="54">
        <v>1</v>
      </c>
      <c r="L157" s="54">
        <v>0</v>
      </c>
      <c r="M157" s="54">
        <v>0</v>
      </c>
    </row>
    <row r="158" spans="1:13" x14ac:dyDescent="0.2">
      <c r="A158" s="33">
        <v>0.90971280165924884</v>
      </c>
      <c r="B158" s="34">
        <v>105</v>
      </c>
      <c r="C158" s="33">
        <v>0.78942398489140697</v>
      </c>
      <c r="D158" s="33">
        <v>0.82851239669421517</v>
      </c>
      <c r="E158" s="33">
        <v>0.67876588021778583</v>
      </c>
      <c r="F158" s="33">
        <v>0.75957207207207222</v>
      </c>
      <c r="G158" s="33">
        <v>0.80185317177476811</v>
      </c>
      <c r="H158" s="33">
        <v>0.33843893432498151</v>
      </c>
      <c r="I158" s="33">
        <v>0.80206794682422444</v>
      </c>
      <c r="J158" s="34">
        <v>2</v>
      </c>
      <c r="K158" s="54">
        <v>0</v>
      </c>
      <c r="L158" s="54">
        <v>1</v>
      </c>
      <c r="M158" s="54">
        <v>0</v>
      </c>
    </row>
    <row r="159" spans="1:13" x14ac:dyDescent="0.2">
      <c r="A159" s="33">
        <v>0.55705709374481782</v>
      </c>
      <c r="B159" s="34">
        <v>104</v>
      </c>
      <c r="C159" s="33">
        <v>0.81114258734655331</v>
      </c>
      <c r="D159" s="33">
        <v>0.87190082644628075</v>
      </c>
      <c r="E159" s="33">
        <v>0.57713248638838488</v>
      </c>
      <c r="F159" s="33">
        <v>0.82770270270270263</v>
      </c>
      <c r="G159" s="33">
        <v>0.74910905203136124</v>
      </c>
      <c r="H159" s="33">
        <v>0.3370086725870835</v>
      </c>
      <c r="I159" s="33">
        <v>0.84194977843426899</v>
      </c>
      <c r="J159" s="34">
        <v>2</v>
      </c>
      <c r="K159" s="54">
        <v>0</v>
      </c>
      <c r="L159" s="54">
        <v>1</v>
      </c>
      <c r="M159" s="54">
        <v>0</v>
      </c>
    </row>
    <row r="160" spans="1:13" x14ac:dyDescent="0.2">
      <c r="A160" s="33">
        <v>0.408160321622411</v>
      </c>
      <c r="B160" s="34">
        <v>91</v>
      </c>
      <c r="C160" s="33">
        <v>0.89801699716713901</v>
      </c>
      <c r="D160" s="33">
        <v>0.94628099173553681</v>
      </c>
      <c r="E160" s="33">
        <v>0.60344827586206917</v>
      </c>
      <c r="F160" s="33">
        <v>0.94707207207207245</v>
      </c>
      <c r="G160" s="33">
        <v>0.82323592302209536</v>
      </c>
      <c r="H160" s="33">
        <v>0.15471531290226115</v>
      </c>
      <c r="I160" s="33">
        <v>0.95027080256031515</v>
      </c>
      <c r="J160" s="34">
        <v>2</v>
      </c>
      <c r="K160" s="54">
        <v>0</v>
      </c>
      <c r="L160" s="54">
        <v>1</v>
      </c>
      <c r="M160" s="54">
        <v>0</v>
      </c>
    </row>
    <row r="161" spans="1:14" x14ac:dyDescent="0.2">
      <c r="A161" s="33"/>
      <c r="B161" s="34"/>
      <c r="C161" s="33"/>
      <c r="D161" s="33"/>
      <c r="E161" s="33"/>
      <c r="F161" s="33"/>
      <c r="G161" s="33"/>
      <c r="H161" s="33"/>
      <c r="I161" s="33"/>
      <c r="J161" s="34"/>
      <c r="K161" s="54"/>
      <c r="L161" s="54"/>
      <c r="M161" s="54"/>
    </row>
    <row r="162" spans="1:14" x14ac:dyDescent="0.2">
      <c r="A162" s="33"/>
      <c r="B162" s="34"/>
      <c r="C162" s="33"/>
      <c r="D162" s="33"/>
      <c r="E162" s="33"/>
      <c r="F162" s="33"/>
      <c r="G162" s="33"/>
      <c r="H162" s="33"/>
      <c r="I162" s="33"/>
      <c r="J162" s="34"/>
      <c r="K162" s="54"/>
      <c r="L162" s="54"/>
      <c r="M162" s="54"/>
    </row>
    <row r="163" spans="1:14" x14ac:dyDescent="0.2">
      <c r="A163" s="33">
        <v>0.5641827501645118</v>
      </c>
      <c r="B163" s="34">
        <v>180</v>
      </c>
      <c r="C163" s="33">
        <v>0.15297450424929188</v>
      </c>
      <c r="D163" s="33">
        <v>0.21900826446281002</v>
      </c>
      <c r="E163" s="33">
        <v>0.33756805807622525</v>
      </c>
      <c r="F163" s="33">
        <v>0.25788288288288302</v>
      </c>
      <c r="G163" s="33">
        <v>0.18745545260156793</v>
      </c>
      <c r="H163" s="33">
        <v>0.11648831736207728</v>
      </c>
      <c r="I163" s="33">
        <v>0.32447070408665679</v>
      </c>
      <c r="J163" s="34">
        <v>3</v>
      </c>
      <c r="K163" s="54">
        <v>0</v>
      </c>
      <c r="L163" s="54">
        <v>0</v>
      </c>
      <c r="M163" s="54">
        <v>1</v>
      </c>
      <c r="N163" s="31"/>
    </row>
    <row r="164" spans="1:14" x14ac:dyDescent="0.2">
      <c r="A164" s="33">
        <v>0.54370327431286047</v>
      </c>
      <c r="B164" s="34">
        <v>168</v>
      </c>
      <c r="C164" s="33">
        <v>0.14730878186968843</v>
      </c>
      <c r="D164" s="33">
        <v>0.21487603305785108</v>
      </c>
      <c r="E164" s="33">
        <v>0.32849364791288588</v>
      </c>
      <c r="F164" s="33">
        <v>0.29166666666666657</v>
      </c>
      <c r="G164" s="33">
        <v>0.14754098360655754</v>
      </c>
      <c r="H164" s="33">
        <v>0.37354535880066059</v>
      </c>
      <c r="I164" s="33">
        <v>0.40324963072378145</v>
      </c>
      <c r="J164" s="34">
        <v>3</v>
      </c>
      <c r="K164" s="54">
        <v>0</v>
      </c>
      <c r="L164" s="54">
        <v>0</v>
      </c>
      <c r="M164" s="54">
        <v>1</v>
      </c>
    </row>
    <row r="165" spans="1:14" x14ac:dyDescent="0.2">
      <c r="A165" s="33">
        <v>5.0248359907336893E-2</v>
      </c>
      <c r="B165" s="34">
        <v>95</v>
      </c>
      <c r="C165" s="33">
        <v>0.73371104815864019</v>
      </c>
      <c r="D165" s="33">
        <v>0.84917355371900816</v>
      </c>
      <c r="E165" s="33">
        <v>0.33666061705989042</v>
      </c>
      <c r="F165" s="33">
        <v>0.99493243243243279</v>
      </c>
      <c r="G165" s="33">
        <v>0.60940841054882378</v>
      </c>
      <c r="H165" s="33">
        <v>0.54192617248956554</v>
      </c>
      <c r="I165" s="33">
        <v>0.94977843426883335</v>
      </c>
      <c r="J165" s="34">
        <v>2</v>
      </c>
      <c r="K165" s="54">
        <v>0</v>
      </c>
      <c r="L165" s="54">
        <v>1</v>
      </c>
      <c r="M165" s="54">
        <v>0</v>
      </c>
    </row>
    <row r="166" spans="1:14" x14ac:dyDescent="0.2">
      <c r="A166" s="33">
        <v>0.67776130161953296</v>
      </c>
      <c r="B166" s="34">
        <v>196</v>
      </c>
      <c r="C166" s="34">
        <v>0.20868744098205863</v>
      </c>
      <c r="D166" s="34">
        <v>0.21900826446281002</v>
      </c>
      <c r="E166" s="34">
        <v>0.7068965517241379</v>
      </c>
      <c r="F166" s="34">
        <v>0.14695945945945954</v>
      </c>
      <c r="G166" s="34">
        <v>0.35352815395580883</v>
      </c>
      <c r="H166" s="34">
        <v>0.53412474482830363</v>
      </c>
      <c r="I166" s="34">
        <v>0.1944854751354011</v>
      </c>
      <c r="J166" s="34">
        <v>3</v>
      </c>
      <c r="K166" s="54">
        <v>0</v>
      </c>
      <c r="L166" s="54">
        <v>0</v>
      </c>
      <c r="M166" s="54">
        <v>1</v>
      </c>
    </row>
    <row r="167" spans="1:14" x14ac:dyDescent="0.2">
      <c r="A167" s="33">
        <v>0.87822755707580091</v>
      </c>
      <c r="B167" s="34">
        <v>85</v>
      </c>
      <c r="C167" s="33">
        <v>0.84230406043437223</v>
      </c>
      <c r="D167" s="33">
        <v>0.88842975206611585</v>
      </c>
      <c r="E167" s="33">
        <v>0.63430127041742268</v>
      </c>
      <c r="F167" s="33">
        <v>0.82601351351351338</v>
      </c>
      <c r="G167" s="33">
        <v>0.8346400570206699</v>
      </c>
      <c r="H167" s="33">
        <v>0.28564927381710858</v>
      </c>
      <c r="I167" s="33">
        <v>0.8202855736090594</v>
      </c>
      <c r="J167" s="34">
        <v>2</v>
      </c>
      <c r="K167" s="54">
        <v>0</v>
      </c>
      <c r="L167" s="54">
        <v>1</v>
      </c>
      <c r="M167" s="54">
        <v>0</v>
      </c>
    </row>
    <row r="168" spans="1:14" x14ac:dyDescent="0.2">
      <c r="A168" s="33">
        <v>0.4920298440063946</v>
      </c>
      <c r="B168" s="34">
        <v>198</v>
      </c>
      <c r="C168" s="34">
        <v>0.26251180358829079</v>
      </c>
      <c r="D168" s="34">
        <v>0.28305785123966926</v>
      </c>
      <c r="E168" s="34">
        <v>0.69691470054446469</v>
      </c>
      <c r="F168" s="34">
        <v>0.23704954954954974</v>
      </c>
      <c r="G168" s="34">
        <v>0.35495367070563083</v>
      </c>
      <c r="H168" s="34">
        <v>0.50772991457436711</v>
      </c>
      <c r="I168" s="34">
        <v>0.28163466272772042</v>
      </c>
      <c r="J168" s="34">
        <v>3</v>
      </c>
      <c r="K168" s="54">
        <v>0</v>
      </c>
      <c r="L168" s="54">
        <v>0</v>
      </c>
      <c r="M168" s="54">
        <v>1</v>
      </c>
    </row>
    <row r="169" spans="1:14" x14ac:dyDescent="0.2">
      <c r="A169" s="33">
        <v>0.95905177305190192</v>
      </c>
      <c r="B169" s="34">
        <v>154</v>
      </c>
      <c r="C169" s="33">
        <v>5.5712936732766748E-2</v>
      </c>
      <c r="D169" s="33">
        <v>0.13016528925619814</v>
      </c>
      <c r="E169" s="33">
        <v>0.16787658802177829</v>
      </c>
      <c r="F169" s="33">
        <v>0.18074324324324312</v>
      </c>
      <c r="G169" s="33">
        <v>4.4903777619387131E-2</v>
      </c>
      <c r="H169" s="33">
        <v>0.3337580777282243</v>
      </c>
      <c r="I169" s="33">
        <v>0.23732151649433791</v>
      </c>
      <c r="J169" s="34">
        <v>3</v>
      </c>
      <c r="K169" s="54">
        <v>0</v>
      </c>
      <c r="L169" s="54">
        <v>0</v>
      </c>
      <c r="M169" s="54">
        <v>1</v>
      </c>
    </row>
    <row r="170" spans="1:14" x14ac:dyDescent="0.2">
      <c r="A170" s="33">
        <v>0.36030679562111867</v>
      </c>
      <c r="B170" s="34">
        <v>184</v>
      </c>
      <c r="C170" s="33">
        <v>0.10009442870632677</v>
      </c>
      <c r="D170" s="33">
        <v>0.13636363636363641</v>
      </c>
      <c r="E170" s="33">
        <v>0.44827586206896564</v>
      </c>
      <c r="F170" s="33">
        <v>0.11768018018017999</v>
      </c>
      <c r="G170" s="33">
        <v>0.15680684248039922</v>
      </c>
      <c r="H170" s="33">
        <v>0.57781273973137082</v>
      </c>
      <c r="I170" s="33">
        <v>0.30329886755292945</v>
      </c>
      <c r="J170" s="34">
        <v>3</v>
      </c>
      <c r="K170" s="54">
        <v>0</v>
      </c>
      <c r="L170" s="54">
        <v>0</v>
      </c>
      <c r="M170" s="54">
        <v>1</v>
      </c>
    </row>
    <row r="171" spans="1:14" x14ac:dyDescent="0.2">
      <c r="A171" s="33">
        <v>0.42811206555780013</v>
      </c>
      <c r="B171" s="34">
        <v>148</v>
      </c>
      <c r="C171" s="33">
        <v>0.17941454202077436</v>
      </c>
      <c r="D171" s="33">
        <v>0.21694214876033074</v>
      </c>
      <c r="E171" s="33">
        <v>0.5235934664246823</v>
      </c>
      <c r="F171" s="33">
        <v>0.20720720720720742</v>
      </c>
      <c r="G171" s="33">
        <v>0.2401995723449751</v>
      </c>
      <c r="H171" s="33">
        <v>0.47535398978012988</v>
      </c>
      <c r="I171" s="33">
        <v>0.23781388478581966</v>
      </c>
      <c r="J171" s="34">
        <v>3</v>
      </c>
      <c r="K171" s="54">
        <v>0</v>
      </c>
      <c r="L171" s="54">
        <v>0</v>
      </c>
      <c r="M171" s="54">
        <v>1</v>
      </c>
    </row>
    <row r="172" spans="1:14" x14ac:dyDescent="0.2">
      <c r="A172" s="33">
        <v>0.10080913845859241</v>
      </c>
      <c r="B172" s="34">
        <v>167</v>
      </c>
      <c r="C172" s="33">
        <v>0.17469310670443811</v>
      </c>
      <c r="D172" s="33">
        <v>0.24380165289256192</v>
      </c>
      <c r="E172" s="33">
        <v>0.3457350272232298</v>
      </c>
      <c r="F172" s="33">
        <v>0.23648648648648649</v>
      </c>
      <c r="G172" s="33">
        <v>0.19030648610121156</v>
      </c>
      <c r="H172" s="33">
        <v>0.54075595834037637</v>
      </c>
      <c r="I172" s="33">
        <v>0.36976858690300324</v>
      </c>
      <c r="J172" s="34">
        <v>3</v>
      </c>
      <c r="K172" s="54">
        <v>0</v>
      </c>
      <c r="L172" s="54">
        <v>0</v>
      </c>
      <c r="M172" s="54">
        <v>1</v>
      </c>
    </row>
    <row r="173" spans="1:14" x14ac:dyDescent="0.2">
      <c r="A173" s="33">
        <v>0.69484470945705956</v>
      </c>
      <c r="B173" s="34">
        <v>98</v>
      </c>
      <c r="C173" s="33">
        <v>0.79225684608120872</v>
      </c>
      <c r="D173" s="33">
        <v>0.85950413223140498</v>
      </c>
      <c r="E173" s="33">
        <v>0.5499092558983667</v>
      </c>
      <c r="F173" s="33">
        <v>0.87274774774774777</v>
      </c>
      <c r="G173" s="33">
        <v>0.65716322166785446</v>
      </c>
      <c r="H173" s="33">
        <v>0.1792898100352365</v>
      </c>
      <c r="I173" s="33">
        <v>0.95224027572624348</v>
      </c>
      <c r="J173" s="34">
        <v>2</v>
      </c>
      <c r="K173" s="54">
        <v>0</v>
      </c>
      <c r="L173" s="54">
        <v>1</v>
      </c>
      <c r="M173" s="54">
        <v>0</v>
      </c>
    </row>
    <row r="174" spans="1:14" x14ac:dyDescent="0.2">
      <c r="A174" s="33">
        <v>0.2316647777650106</v>
      </c>
      <c r="B174" s="34">
        <v>84</v>
      </c>
      <c r="C174" s="33">
        <v>0.8479697828139755</v>
      </c>
      <c r="D174" s="33">
        <v>0.89462809917355335</v>
      </c>
      <c r="E174" s="33">
        <v>0.6333938294010889</v>
      </c>
      <c r="F174" s="33">
        <v>0.83614864864864891</v>
      </c>
      <c r="G174" s="33">
        <v>0.81397006414825335</v>
      </c>
      <c r="H174" s="33">
        <v>9.1913820229101925E-2</v>
      </c>
      <c r="I174" s="33">
        <v>0.86361398325947802</v>
      </c>
      <c r="J174" s="34">
        <v>2</v>
      </c>
      <c r="K174" s="54">
        <v>0</v>
      </c>
      <c r="L174" s="54">
        <v>1</v>
      </c>
      <c r="M174" s="54">
        <v>0</v>
      </c>
    </row>
    <row r="175" spans="1:14" x14ac:dyDescent="0.2">
      <c r="A175" s="33">
        <v>0.89457139189208279</v>
      </c>
      <c r="B175" s="34">
        <v>187</v>
      </c>
      <c r="C175" s="33">
        <v>0.11520302171860251</v>
      </c>
      <c r="D175" s="33">
        <v>0.21487603305785108</v>
      </c>
      <c r="E175" s="33">
        <v>0.10617059891107021</v>
      </c>
      <c r="F175" s="33">
        <v>0.28941441441441457</v>
      </c>
      <c r="G175" s="33">
        <v>6.1297220242338038E-2</v>
      </c>
      <c r="H175" s="33">
        <v>0.53737533968716278</v>
      </c>
      <c r="I175" s="33">
        <v>0.41014278680452992</v>
      </c>
      <c r="J175" s="34">
        <v>3</v>
      </c>
      <c r="K175" s="54">
        <v>0</v>
      </c>
      <c r="L175" s="54">
        <v>0</v>
      </c>
      <c r="M175" s="54">
        <v>1</v>
      </c>
    </row>
    <row r="176" spans="1:14" x14ac:dyDescent="0.2">
      <c r="A176" s="33">
        <v>7.8527520584630972E-2</v>
      </c>
      <c r="B176" s="34">
        <v>209</v>
      </c>
      <c r="C176" s="34">
        <v>0.11803588290840415</v>
      </c>
      <c r="D176" s="34">
        <v>0.16528925619834725</v>
      </c>
      <c r="E176" s="34">
        <v>0.39927404718693232</v>
      </c>
      <c r="F176" s="34">
        <v>0.15540540540540532</v>
      </c>
      <c r="G176" s="34">
        <v>0.1468282252316464</v>
      </c>
      <c r="H176" s="34">
        <v>0.36834440702648591</v>
      </c>
      <c r="I176" s="34">
        <v>0.25849335302806475</v>
      </c>
      <c r="J176" s="34">
        <v>3</v>
      </c>
      <c r="K176" s="54">
        <v>0</v>
      </c>
      <c r="L176" s="54">
        <v>0</v>
      </c>
      <c r="M176" s="54">
        <v>1</v>
      </c>
    </row>
    <row r="177" spans="1:14" x14ac:dyDescent="0.2">
      <c r="A177" s="33">
        <v>0.40475281322571244</v>
      </c>
      <c r="B177" s="34">
        <v>161</v>
      </c>
      <c r="C177" s="33">
        <v>0.18413597733711043</v>
      </c>
      <c r="D177" s="33">
        <v>0.26033057851239666</v>
      </c>
      <c r="E177" s="33">
        <v>0.31215970961887474</v>
      </c>
      <c r="F177" s="33">
        <v>0.31081081081081063</v>
      </c>
      <c r="G177" s="33">
        <v>0.17747683535281542</v>
      </c>
      <c r="H177" s="33">
        <v>0.30125212913963256</v>
      </c>
      <c r="I177" s="33">
        <v>0.47858197932053159</v>
      </c>
      <c r="J177" s="34">
        <v>3</v>
      </c>
      <c r="K177" s="54">
        <v>0</v>
      </c>
      <c r="L177" s="54">
        <v>0</v>
      </c>
      <c r="M177" s="54">
        <v>1</v>
      </c>
    </row>
    <row r="178" spans="1:14" x14ac:dyDescent="0.2">
      <c r="A178" s="33">
        <v>0.90192989956065639</v>
      </c>
      <c r="B178" s="34">
        <v>30</v>
      </c>
      <c r="C178" s="33">
        <v>0.27006610009442866</v>
      </c>
      <c r="D178" s="33">
        <v>0.33264462809917344</v>
      </c>
      <c r="E178" s="33">
        <v>0.47459165154264998</v>
      </c>
      <c r="F178" s="33">
        <v>0.34740990990990994</v>
      </c>
      <c r="G178" s="33">
        <v>0.3100498930862437</v>
      </c>
      <c r="H178" s="33">
        <v>0.35963281280474335</v>
      </c>
      <c r="I178" s="33">
        <v>0.28458887247661269</v>
      </c>
      <c r="J178" s="34">
        <v>1</v>
      </c>
      <c r="K178" s="54">
        <v>1</v>
      </c>
      <c r="L178" s="54">
        <v>0</v>
      </c>
      <c r="M178" s="54">
        <v>0</v>
      </c>
    </row>
    <row r="179" spans="1:14" x14ac:dyDescent="0.2">
      <c r="A179" s="33">
        <v>0.64279259153766422</v>
      </c>
      <c r="B179" s="34">
        <v>206</v>
      </c>
      <c r="C179" s="34">
        <v>0.15108593012275728</v>
      </c>
      <c r="D179" s="34">
        <v>0.16322314049586759</v>
      </c>
      <c r="E179" s="34">
        <v>0.63702359346642423</v>
      </c>
      <c r="F179" s="34">
        <v>0.13400900900900878</v>
      </c>
      <c r="G179" s="34">
        <v>0.25017818959372762</v>
      </c>
      <c r="H179" s="34">
        <v>0.37263519224017999</v>
      </c>
      <c r="I179" s="34">
        <v>0.17282127031019204</v>
      </c>
      <c r="J179" s="34">
        <v>3</v>
      </c>
      <c r="K179" s="54">
        <v>0</v>
      </c>
      <c r="L179" s="54">
        <v>0</v>
      </c>
      <c r="M179" s="54">
        <v>1</v>
      </c>
    </row>
    <row r="180" spans="1:14" x14ac:dyDescent="0.2">
      <c r="A180" s="33">
        <v>5.6489185813116571E-2</v>
      </c>
      <c r="B180" s="34">
        <v>197</v>
      </c>
      <c r="C180" s="34">
        <v>0.20774315391879125</v>
      </c>
      <c r="D180" s="34">
        <v>0.23140495867768579</v>
      </c>
      <c r="E180" s="34">
        <v>0.63974591651542678</v>
      </c>
      <c r="F180" s="34">
        <v>0.18299549549549562</v>
      </c>
      <c r="G180" s="34">
        <v>0.30220955096222368</v>
      </c>
      <c r="H180" s="34">
        <v>0.61343925938446731</v>
      </c>
      <c r="I180" s="34">
        <v>0.2161496799606106</v>
      </c>
      <c r="J180" s="34">
        <v>3</v>
      </c>
      <c r="K180" s="54">
        <v>0</v>
      </c>
      <c r="L180" s="54">
        <v>0</v>
      </c>
      <c r="M180" s="54">
        <v>1</v>
      </c>
    </row>
    <row r="181" spans="1:14" x14ac:dyDescent="0.2">
      <c r="A181" s="33">
        <v>0.49005236570823218</v>
      </c>
      <c r="B181" s="34">
        <v>129</v>
      </c>
      <c r="C181" s="33">
        <v>0.90368271954674229</v>
      </c>
      <c r="D181" s="33">
        <v>0.95454545454545481</v>
      </c>
      <c r="E181" s="33">
        <v>0.59346642468239597</v>
      </c>
      <c r="F181" s="33">
        <v>0.90878378378378377</v>
      </c>
      <c r="G181" s="33">
        <v>0.8146828225231646</v>
      </c>
      <c r="H181" s="33">
        <v>0.14886424215631461</v>
      </c>
      <c r="I181" s="33">
        <v>0.8202855736090594</v>
      </c>
      <c r="J181" s="34">
        <v>2</v>
      </c>
      <c r="K181" s="54">
        <v>0</v>
      </c>
      <c r="L181" s="54">
        <v>1</v>
      </c>
      <c r="M181" s="54">
        <v>0</v>
      </c>
    </row>
    <row r="182" spans="1:14" x14ac:dyDescent="0.2">
      <c r="A182" s="33">
        <v>0.49884085372355835</v>
      </c>
      <c r="B182" s="34">
        <v>10</v>
      </c>
      <c r="C182" s="33">
        <v>0.55240793201133154</v>
      </c>
      <c r="D182" s="33">
        <v>0.58677685950413216</v>
      </c>
      <c r="E182" s="33">
        <v>0.72504537205081665</v>
      </c>
      <c r="F182" s="33">
        <v>0.55461711711711736</v>
      </c>
      <c r="G182" s="33">
        <v>0.62366357804704187</v>
      </c>
      <c r="H182" s="33">
        <v>0.15653564602322226</v>
      </c>
      <c r="I182" s="33">
        <v>0.49926144756277713</v>
      </c>
      <c r="J182" s="34">
        <v>1</v>
      </c>
      <c r="K182" s="54">
        <v>1</v>
      </c>
      <c r="L182" s="54">
        <v>0</v>
      </c>
      <c r="M182" s="54">
        <v>0</v>
      </c>
    </row>
    <row r="183" spans="1:14" x14ac:dyDescent="0.2">
      <c r="A183" s="33">
        <v>0.49219892423523137</v>
      </c>
      <c r="B183" s="34">
        <v>27</v>
      </c>
      <c r="C183" s="33">
        <v>0.22946175637393765</v>
      </c>
      <c r="D183" s="33">
        <v>0.2789256198347107</v>
      </c>
      <c r="E183" s="33">
        <v>0.5081669691470051</v>
      </c>
      <c r="F183" s="33">
        <v>0.27927927927927904</v>
      </c>
      <c r="G183" s="33">
        <v>0.28225231646471832</v>
      </c>
      <c r="H183" s="33">
        <v>0.33908905329675337</v>
      </c>
      <c r="I183" s="33">
        <v>0.15066469719350079</v>
      </c>
      <c r="J183" s="34">
        <v>1</v>
      </c>
      <c r="K183" s="54">
        <v>1</v>
      </c>
      <c r="L183" s="54">
        <v>0</v>
      </c>
      <c r="M183" s="54">
        <v>0</v>
      </c>
    </row>
    <row r="184" spans="1:14" x14ac:dyDescent="0.2">
      <c r="A184" s="33"/>
      <c r="B184" s="34"/>
      <c r="C184" s="33"/>
      <c r="D184" s="33"/>
      <c r="E184" s="33"/>
      <c r="F184" s="33"/>
      <c r="G184" s="33"/>
      <c r="H184" s="33"/>
      <c r="I184" s="33"/>
      <c r="J184" s="34"/>
      <c r="K184" s="54"/>
      <c r="L184" s="54"/>
      <c r="M184" s="54"/>
    </row>
    <row r="185" spans="1:14" x14ac:dyDescent="0.2">
      <c r="A185" s="33"/>
      <c r="B185" s="34"/>
      <c r="C185" s="33"/>
      <c r="D185" s="33"/>
      <c r="E185" s="33"/>
      <c r="F185" s="33"/>
      <c r="G185" s="33"/>
      <c r="H185" s="33"/>
      <c r="I185" s="33"/>
      <c r="J185" s="34"/>
      <c r="K185" s="54"/>
      <c r="L185" s="54"/>
      <c r="M185" s="54"/>
    </row>
    <row r="186" spans="1:14" x14ac:dyDescent="0.2">
      <c r="A186" s="33">
        <v>0.39347625310718637</v>
      </c>
      <c r="B186" s="34">
        <v>67</v>
      </c>
      <c r="C186" s="33">
        <v>0.35410764872521244</v>
      </c>
      <c r="D186" s="33">
        <v>0.40495867768595023</v>
      </c>
      <c r="E186" s="33">
        <v>0.58529945553539042</v>
      </c>
      <c r="F186" s="33">
        <v>0.41159909909909909</v>
      </c>
      <c r="G186" s="33">
        <v>0.39914468995010682</v>
      </c>
      <c r="H186" s="33">
        <v>7.1240036926757594E-2</v>
      </c>
      <c r="I186" s="33">
        <v>0.31068439192516017</v>
      </c>
      <c r="J186" s="34">
        <v>1</v>
      </c>
      <c r="K186" s="54">
        <v>1</v>
      </c>
      <c r="L186" s="54">
        <v>0</v>
      </c>
      <c r="M186" s="54">
        <v>0</v>
      </c>
      <c r="N186" s="31"/>
    </row>
    <row r="187" spans="1:14" x14ac:dyDescent="0.2">
      <c r="A187" s="33">
        <v>0.64475754546689756</v>
      </c>
      <c r="B187" s="34">
        <v>132</v>
      </c>
      <c r="C187" s="33">
        <v>0.78847969782813987</v>
      </c>
      <c r="D187" s="33">
        <v>0.80785123966942152</v>
      </c>
      <c r="E187" s="33">
        <v>0.78130671506352067</v>
      </c>
      <c r="F187" s="33">
        <v>0.7010135135135136</v>
      </c>
      <c r="G187" s="33">
        <v>0.85174625801853165</v>
      </c>
      <c r="H187" s="33">
        <v>0.27862798892197277</v>
      </c>
      <c r="I187" s="33">
        <v>0.70408665681930083</v>
      </c>
      <c r="J187" s="34">
        <v>2</v>
      </c>
      <c r="K187" s="54">
        <v>0</v>
      </c>
      <c r="L187" s="54">
        <v>1</v>
      </c>
      <c r="M187" s="54">
        <v>0</v>
      </c>
    </row>
    <row r="188" spans="1:14" x14ac:dyDescent="0.2">
      <c r="A188" s="33">
        <v>0.6892486365625754</v>
      </c>
      <c r="B188" s="34">
        <v>117</v>
      </c>
      <c r="C188" s="33">
        <v>0.7903682719546743</v>
      </c>
      <c r="D188" s="33">
        <v>0.78305785123966931</v>
      </c>
      <c r="E188" s="33">
        <v>0.90381125226860204</v>
      </c>
      <c r="F188" s="33">
        <v>0.6486486486486488</v>
      </c>
      <c r="G188" s="33">
        <v>0.90306486101211647</v>
      </c>
      <c r="H188" s="33">
        <v>0.46404191967129987</v>
      </c>
      <c r="I188" s="33">
        <v>0.60610536681437721</v>
      </c>
      <c r="J188" s="34">
        <v>2</v>
      </c>
      <c r="K188" s="54">
        <v>0</v>
      </c>
      <c r="L188" s="54">
        <v>1</v>
      </c>
      <c r="M188" s="54">
        <v>0</v>
      </c>
    </row>
    <row r="189" spans="1:14" x14ac:dyDescent="0.2">
      <c r="A189" s="33">
        <v>0.13646627867206884</v>
      </c>
      <c r="B189" s="34">
        <v>16</v>
      </c>
      <c r="C189" s="33">
        <v>0.37771482530689332</v>
      </c>
      <c r="D189" s="33">
        <v>0.38636363636363619</v>
      </c>
      <c r="E189" s="33">
        <v>0.82758620689655149</v>
      </c>
      <c r="F189" s="33">
        <v>0.25450450450450451</v>
      </c>
      <c r="G189" s="33">
        <v>0.50106913756236637</v>
      </c>
      <c r="H189" s="33">
        <v>0.44466837431249917</v>
      </c>
      <c r="I189" s="33">
        <v>0.12900049236829128</v>
      </c>
      <c r="J189" s="34">
        <v>1</v>
      </c>
      <c r="K189" s="54">
        <v>1</v>
      </c>
      <c r="L189" s="54">
        <v>0</v>
      </c>
      <c r="M189" s="54">
        <v>0</v>
      </c>
    </row>
    <row r="190" spans="1:14" x14ac:dyDescent="0.2">
      <c r="A190" s="33">
        <v>0.14814888084166755</v>
      </c>
      <c r="B190" s="34">
        <v>118</v>
      </c>
      <c r="C190" s="33">
        <v>0.80830972615675156</v>
      </c>
      <c r="D190" s="33">
        <v>0.83471074380165278</v>
      </c>
      <c r="E190" s="33">
        <v>0.73411978221415608</v>
      </c>
      <c r="F190" s="33">
        <v>0.75788288288288297</v>
      </c>
      <c r="G190" s="33">
        <v>0.84461867426942239</v>
      </c>
      <c r="H190" s="33">
        <v>0.30151217672834135</v>
      </c>
      <c r="I190" s="33">
        <v>0.8202855736090594</v>
      </c>
      <c r="J190" s="34">
        <v>2</v>
      </c>
      <c r="K190" s="54">
        <v>0</v>
      </c>
      <c r="L190" s="54">
        <v>1</v>
      </c>
      <c r="M190" s="54">
        <v>0</v>
      </c>
    </row>
    <row r="191" spans="1:14" x14ac:dyDescent="0.2">
      <c r="A191" s="33">
        <v>2.1334075173751188E-2</v>
      </c>
      <c r="B191" s="34">
        <v>13</v>
      </c>
      <c r="C191" s="33">
        <v>0.31161473087818703</v>
      </c>
      <c r="D191" s="33">
        <v>0.33264462809917344</v>
      </c>
      <c r="E191" s="33">
        <v>0.72504537205081665</v>
      </c>
      <c r="F191" s="33">
        <v>0.30405405405405411</v>
      </c>
      <c r="G191" s="33">
        <v>0.4055595153243049</v>
      </c>
      <c r="H191" s="33">
        <v>0.41879363923598029</v>
      </c>
      <c r="I191" s="33">
        <v>0.10782865583456443</v>
      </c>
      <c r="J191" s="34">
        <v>1</v>
      </c>
      <c r="K191" s="54">
        <v>1</v>
      </c>
      <c r="L191" s="54">
        <v>0</v>
      </c>
      <c r="M191" s="54">
        <v>0</v>
      </c>
    </row>
    <row r="192" spans="1:14" x14ac:dyDescent="0.2">
      <c r="A192" s="33">
        <v>0.67592190007292596</v>
      </c>
      <c r="B192" s="34">
        <v>114</v>
      </c>
      <c r="C192" s="33">
        <v>0.80736543909348446</v>
      </c>
      <c r="D192" s="33">
        <v>0.8677685950413222</v>
      </c>
      <c r="E192" s="33">
        <v>0.5816696914700541</v>
      </c>
      <c r="F192" s="33">
        <v>0.76576576576576605</v>
      </c>
      <c r="G192" s="33">
        <v>0.78902352102637197</v>
      </c>
      <c r="H192" s="33">
        <v>0.76933778881535331</v>
      </c>
      <c r="I192" s="33">
        <v>0.75529295913343186</v>
      </c>
      <c r="J192" s="34">
        <v>2</v>
      </c>
      <c r="K192" s="54">
        <v>0</v>
      </c>
      <c r="L192" s="54">
        <v>1</v>
      </c>
      <c r="M192" s="54">
        <v>0</v>
      </c>
    </row>
    <row r="193" spans="1:13" x14ac:dyDescent="0.2">
      <c r="A193" s="33">
        <v>0.483095711352579</v>
      </c>
      <c r="B193" s="34">
        <v>166</v>
      </c>
      <c r="C193" s="33">
        <v>0.1425873465533522</v>
      </c>
      <c r="D193" s="33">
        <v>0.15289256198347112</v>
      </c>
      <c r="E193" s="33">
        <v>0.64609800362976366</v>
      </c>
      <c r="F193" s="33">
        <v>0.11599099099099124</v>
      </c>
      <c r="G193" s="33">
        <v>0.22166785459729141</v>
      </c>
      <c r="H193" s="33">
        <v>0.18670116631343539</v>
      </c>
      <c r="I193" s="33">
        <v>0.26440177252584934</v>
      </c>
      <c r="J193" s="34">
        <v>3</v>
      </c>
      <c r="K193" s="54">
        <v>0</v>
      </c>
      <c r="L193" s="54">
        <v>0</v>
      </c>
      <c r="M193" s="54">
        <v>1</v>
      </c>
    </row>
    <row r="194" spans="1:13" x14ac:dyDescent="0.2">
      <c r="A194" s="33">
        <v>8.1672757478213898E-2</v>
      </c>
      <c r="B194" s="34">
        <v>115</v>
      </c>
      <c r="C194" s="33">
        <v>0.98016997167138797</v>
      </c>
      <c r="D194" s="33">
        <v>1</v>
      </c>
      <c r="E194" s="33">
        <v>0.70598911070780401</v>
      </c>
      <c r="F194" s="33">
        <v>0.93693693693693691</v>
      </c>
      <c r="G194" s="33">
        <v>0.97006414825374176</v>
      </c>
      <c r="H194" s="33">
        <v>0.50864008113484771</v>
      </c>
      <c r="I194" s="33">
        <v>0.88478581979320525</v>
      </c>
      <c r="J194" s="34">
        <v>2</v>
      </c>
      <c r="K194" s="54">
        <v>0</v>
      </c>
      <c r="L194" s="54">
        <v>1</v>
      </c>
      <c r="M194" s="54">
        <v>0</v>
      </c>
    </row>
    <row r="195" spans="1:13" x14ac:dyDescent="0.2">
      <c r="A195" s="33">
        <v>0.74039278004455011</v>
      </c>
      <c r="B195" s="34">
        <v>72</v>
      </c>
      <c r="C195" s="33">
        <v>0.59017941454202083</v>
      </c>
      <c r="D195" s="33">
        <v>0.67355371900826444</v>
      </c>
      <c r="E195" s="33">
        <v>0.49183303085299396</v>
      </c>
      <c r="F195" s="33">
        <v>0.61880630630630651</v>
      </c>
      <c r="G195" s="33">
        <v>0.60869565217391286</v>
      </c>
      <c r="H195" s="33">
        <v>0.50838003354613903</v>
      </c>
      <c r="I195" s="33">
        <v>0.66863613983259473</v>
      </c>
      <c r="J195" s="34">
        <v>2</v>
      </c>
      <c r="K195" s="54">
        <v>0</v>
      </c>
      <c r="L195" s="54">
        <v>1</v>
      </c>
      <c r="M195" s="54">
        <v>0</v>
      </c>
    </row>
    <row r="196" spans="1:13" x14ac:dyDescent="0.2">
      <c r="A196" s="33">
        <v>2.3412925450542521E-2</v>
      </c>
      <c r="B196" s="34">
        <v>147</v>
      </c>
      <c r="C196" s="33">
        <v>7.9320113314447577E-2</v>
      </c>
      <c r="D196" s="33">
        <v>0.14876033057851254</v>
      </c>
      <c r="E196" s="33">
        <v>0.2304900181488202</v>
      </c>
      <c r="F196" s="33">
        <v>0.15596846846846857</v>
      </c>
      <c r="G196" s="33">
        <v>6.3435495367070521E-2</v>
      </c>
      <c r="H196" s="33">
        <v>0.18930164220052273</v>
      </c>
      <c r="I196" s="33">
        <v>0.30182176267848332</v>
      </c>
      <c r="J196" s="34">
        <v>3</v>
      </c>
      <c r="K196" s="54">
        <v>0</v>
      </c>
      <c r="L196" s="54">
        <v>0</v>
      </c>
      <c r="M196" s="54">
        <v>1</v>
      </c>
    </row>
    <row r="197" spans="1:13" x14ac:dyDescent="0.2">
      <c r="A197" s="33">
        <v>0.59246426314513501</v>
      </c>
      <c r="B197" s="34">
        <v>41</v>
      </c>
      <c r="C197" s="33">
        <v>0.27856468366383375</v>
      </c>
      <c r="D197" s="33">
        <v>0.29752066115702469</v>
      </c>
      <c r="E197" s="33">
        <v>0.71687840290381111</v>
      </c>
      <c r="F197" s="33">
        <v>0.25281531531531526</v>
      </c>
      <c r="G197" s="33">
        <v>0.37491090520313619</v>
      </c>
      <c r="H197" s="33">
        <v>0.23689035093422103</v>
      </c>
      <c r="I197" s="33">
        <v>0.32447070408665679</v>
      </c>
      <c r="J197" s="34">
        <v>1</v>
      </c>
      <c r="K197" s="54">
        <v>1</v>
      </c>
      <c r="L197" s="54">
        <v>0</v>
      </c>
      <c r="M197" s="54">
        <v>0</v>
      </c>
    </row>
    <row r="198" spans="1:13" x14ac:dyDescent="0.2">
      <c r="A198" s="33">
        <v>0.29599223658344298</v>
      </c>
      <c r="B198" s="34">
        <v>103</v>
      </c>
      <c r="C198" s="33">
        <v>0.83758262511803594</v>
      </c>
      <c r="D198" s="33">
        <v>0.8450413223140496</v>
      </c>
      <c r="E198" s="33">
        <v>0.82032667876587984</v>
      </c>
      <c r="F198" s="33">
        <v>0.68355855855855885</v>
      </c>
      <c r="G198" s="33">
        <v>0.89950106913756211</v>
      </c>
      <c r="H198" s="33">
        <v>0.46066130101808633</v>
      </c>
      <c r="I198" s="33">
        <v>0.73362875430822272</v>
      </c>
      <c r="J198" s="34">
        <v>2</v>
      </c>
      <c r="K198" s="54">
        <v>0</v>
      </c>
      <c r="L198" s="54">
        <v>1</v>
      </c>
      <c r="M198" s="54">
        <v>0</v>
      </c>
    </row>
    <row r="199" spans="1:13" x14ac:dyDescent="0.2">
      <c r="A199" s="33">
        <v>0.21153395286287779</v>
      </c>
      <c r="B199" s="34">
        <v>22</v>
      </c>
      <c r="C199" s="33">
        <v>0.33238904627006605</v>
      </c>
      <c r="D199" s="33">
        <v>0.38223140495867763</v>
      </c>
      <c r="E199" s="33">
        <v>0.5816696914700541</v>
      </c>
      <c r="F199" s="33">
        <v>0.34966216216216195</v>
      </c>
      <c r="G199" s="33">
        <v>0.38346400570206707</v>
      </c>
      <c r="H199" s="33">
        <v>0.2500227541640121</v>
      </c>
      <c r="I199" s="33">
        <v>0.34465780403742013</v>
      </c>
      <c r="J199" s="34">
        <v>1</v>
      </c>
      <c r="K199" s="54">
        <v>1</v>
      </c>
      <c r="L199" s="54">
        <v>0</v>
      </c>
      <c r="M199" s="54">
        <v>0</v>
      </c>
    </row>
    <row r="200" spans="1:13" x14ac:dyDescent="0.2">
      <c r="A200" s="33">
        <v>0.90043757907945854</v>
      </c>
      <c r="B200" s="34">
        <v>200</v>
      </c>
      <c r="C200" s="34">
        <v>0.20491029272898961</v>
      </c>
      <c r="D200" s="34">
        <v>0.20041322314049601</v>
      </c>
      <c r="E200" s="34">
        <v>0.8012704174228672</v>
      </c>
      <c r="F200" s="34">
        <v>9.7972972972973194E-2</v>
      </c>
      <c r="G200" s="34">
        <v>0.37419814682822505</v>
      </c>
      <c r="H200" s="34">
        <v>0.26822608537362341</v>
      </c>
      <c r="I200" s="34">
        <v>0.15312653865091089</v>
      </c>
      <c r="J200" s="34">
        <v>3</v>
      </c>
      <c r="K200" s="54">
        <v>0</v>
      </c>
      <c r="L200" s="54">
        <v>0</v>
      </c>
      <c r="M200" s="54">
        <v>1</v>
      </c>
    </row>
    <row r="201" spans="1:13" x14ac:dyDescent="0.2">
      <c r="A201" s="33">
        <v>0.60589452136016364</v>
      </c>
      <c r="B201" s="34">
        <v>202</v>
      </c>
      <c r="C201" s="34">
        <v>0.19641170915958453</v>
      </c>
      <c r="D201" s="34">
        <v>0.18801652892561987</v>
      </c>
      <c r="E201" s="34">
        <v>0.81306715063520907</v>
      </c>
      <c r="F201" s="34">
        <v>4.7860360360360343E-2</v>
      </c>
      <c r="G201" s="34">
        <v>0.35994297933000691</v>
      </c>
      <c r="H201" s="34">
        <v>0.19957352195451769</v>
      </c>
      <c r="I201" s="34">
        <v>0.11127523387493846</v>
      </c>
      <c r="J201" s="34">
        <v>3</v>
      </c>
      <c r="K201" s="54">
        <v>0</v>
      </c>
      <c r="L201" s="54">
        <v>0</v>
      </c>
      <c r="M201" s="54">
        <v>1</v>
      </c>
    </row>
    <row r="202" spans="1:13" x14ac:dyDescent="0.2">
      <c r="A202" s="33">
        <v>0.90542329357364082</v>
      </c>
      <c r="B202" s="34">
        <v>8</v>
      </c>
      <c r="C202" s="33">
        <v>0.33238904627006605</v>
      </c>
      <c r="D202" s="33">
        <v>0.34917355371900816</v>
      </c>
      <c r="E202" s="33">
        <v>0.75317604355716872</v>
      </c>
      <c r="F202" s="33">
        <v>0.29335585585585583</v>
      </c>
      <c r="G202" s="33">
        <v>0.47897362794012827</v>
      </c>
      <c r="H202" s="33">
        <v>0.2515830396962645</v>
      </c>
      <c r="I202" s="33">
        <v>0.23682914820285572</v>
      </c>
      <c r="J202" s="34">
        <v>1</v>
      </c>
      <c r="K202" s="54">
        <v>1</v>
      </c>
      <c r="L202" s="54">
        <v>0</v>
      </c>
      <c r="M202" s="54">
        <v>0</v>
      </c>
    </row>
    <row r="203" spans="1:13" x14ac:dyDescent="0.2">
      <c r="A203" s="33">
        <v>0.25875268789737127</v>
      </c>
      <c r="B203" s="34">
        <v>35</v>
      </c>
      <c r="C203" s="33">
        <v>0.42115203021718611</v>
      </c>
      <c r="D203" s="33">
        <v>0.46900826446280985</v>
      </c>
      <c r="E203" s="33">
        <v>0.6333938294010889</v>
      </c>
      <c r="F203" s="33">
        <v>0.45777027027027017</v>
      </c>
      <c r="G203" s="33">
        <v>0.49750534568781163</v>
      </c>
      <c r="H203" s="33">
        <v>0.17733945311992097</v>
      </c>
      <c r="I203" s="33">
        <v>0.41408173313638619</v>
      </c>
      <c r="J203" s="34">
        <v>1</v>
      </c>
      <c r="K203" s="54">
        <v>1</v>
      </c>
      <c r="L203" s="54">
        <v>0</v>
      </c>
      <c r="M203" s="54">
        <v>0</v>
      </c>
    </row>
    <row r="204" spans="1:13" x14ac:dyDescent="0.2">
      <c r="A204" s="33">
        <v>0.89183329291513969</v>
      </c>
      <c r="B204" s="34">
        <v>94</v>
      </c>
      <c r="C204" s="33">
        <v>0.75542965061378664</v>
      </c>
      <c r="D204" s="33">
        <v>0.7520661157024795</v>
      </c>
      <c r="E204" s="33">
        <v>0.89382940108892883</v>
      </c>
      <c r="F204" s="33">
        <v>0.64076576576576583</v>
      </c>
      <c r="G204" s="33">
        <v>0.87669280114041315</v>
      </c>
      <c r="H204" s="33">
        <v>0.68079158486002944</v>
      </c>
      <c r="I204" s="33">
        <v>0.66863613983259473</v>
      </c>
      <c r="J204" s="34">
        <v>2</v>
      </c>
      <c r="K204" s="54">
        <v>0</v>
      </c>
      <c r="L204" s="54">
        <v>1</v>
      </c>
      <c r="M204" s="54">
        <v>0</v>
      </c>
    </row>
    <row r="205" spans="1:13" x14ac:dyDescent="0.2">
      <c r="A205" s="33">
        <v>4.2940097660504106E-2</v>
      </c>
      <c r="B205" s="34">
        <v>2</v>
      </c>
      <c r="C205" s="33">
        <v>0.40509915014164316</v>
      </c>
      <c r="D205" s="33">
        <v>0.44628099173553726</v>
      </c>
      <c r="E205" s="33">
        <v>0.66243194192377475</v>
      </c>
      <c r="F205" s="33">
        <v>0.36880630630630651</v>
      </c>
      <c r="G205" s="33">
        <v>0.50106913756236637</v>
      </c>
      <c r="H205" s="33">
        <v>3.2883017592219378E-2</v>
      </c>
      <c r="I205" s="33">
        <v>0.21516494337764666</v>
      </c>
      <c r="J205" s="34">
        <v>1</v>
      </c>
      <c r="K205" s="54">
        <v>1</v>
      </c>
      <c r="L205" s="54">
        <v>0</v>
      </c>
      <c r="M205" s="54">
        <v>0</v>
      </c>
    </row>
    <row r="206" spans="1:13" x14ac:dyDescent="0.2">
      <c r="A206" s="33">
        <v>0.59997422638174736</v>
      </c>
      <c r="B206" s="34">
        <v>199</v>
      </c>
      <c r="C206" s="34">
        <v>0.1916902738432483</v>
      </c>
      <c r="D206" s="34">
        <v>0.26033057851239666</v>
      </c>
      <c r="E206" s="34">
        <v>0.36297640653357477</v>
      </c>
      <c r="F206" s="34">
        <v>0.28772522522522531</v>
      </c>
      <c r="G206" s="34">
        <v>0.20028510334996438</v>
      </c>
      <c r="H206" s="34">
        <v>0.33037745907501076</v>
      </c>
      <c r="I206" s="34">
        <v>0.35056622353520428</v>
      </c>
      <c r="J206" s="34">
        <v>3</v>
      </c>
      <c r="K206" s="54">
        <v>0</v>
      </c>
      <c r="L206" s="54">
        <v>0</v>
      </c>
      <c r="M206" s="54">
        <v>1</v>
      </c>
    </row>
    <row r="207" spans="1:13" x14ac:dyDescent="0.2">
      <c r="A207" s="33"/>
      <c r="B207" s="34"/>
      <c r="K207" s="54"/>
      <c r="L207" s="54"/>
      <c r="M207" s="54"/>
    </row>
    <row r="208" spans="1:13" x14ac:dyDescent="0.2">
      <c r="A208" s="33"/>
      <c r="B208" s="34"/>
      <c r="K208" s="54"/>
      <c r="L208" s="54"/>
      <c r="M208" s="54"/>
    </row>
    <row r="209" spans="1:15" x14ac:dyDescent="0.2">
      <c r="A209" s="33"/>
      <c r="B209" s="34"/>
      <c r="C209" s="33"/>
      <c r="D209" s="33"/>
      <c r="E209" s="33"/>
      <c r="F209" s="33"/>
      <c r="G209" s="33"/>
      <c r="H209" s="33"/>
      <c r="I209" s="33"/>
      <c r="J209" s="34"/>
      <c r="K209" s="54"/>
      <c r="L209" s="54"/>
      <c r="M209" s="54"/>
      <c r="N209" s="34"/>
      <c r="O209" s="34"/>
    </row>
    <row r="210" spans="1:15" x14ac:dyDescent="0.2">
      <c r="A210" s="33"/>
      <c r="B210" s="34"/>
      <c r="C210" s="33"/>
      <c r="D210" s="33"/>
      <c r="E210" s="33"/>
      <c r="F210" s="33"/>
      <c r="G210" s="33"/>
      <c r="H210" s="33"/>
      <c r="I210" s="33"/>
      <c r="J210" s="34"/>
      <c r="K210" s="54"/>
      <c r="L210" s="54"/>
      <c r="M210" s="54"/>
      <c r="N210" s="34"/>
      <c r="O210" s="34"/>
    </row>
    <row r="211" spans="1:15" x14ac:dyDescent="0.2">
      <c r="A211" s="33"/>
      <c r="B211" s="34"/>
      <c r="C211" s="33"/>
      <c r="D211" s="33"/>
      <c r="E211" s="33"/>
      <c r="F211" s="33"/>
      <c r="G211" s="33"/>
      <c r="H211" s="33"/>
      <c r="I211" s="33"/>
      <c r="J211" s="34"/>
      <c r="K211" s="54"/>
      <c r="L211" s="54"/>
      <c r="M211" s="54"/>
      <c r="N211" s="34"/>
      <c r="O211" s="34"/>
    </row>
    <row r="212" spans="1:15" x14ac:dyDescent="0.2">
      <c r="A212" s="33"/>
      <c r="B212" s="34"/>
      <c r="C212" s="34"/>
      <c r="D212" s="34"/>
      <c r="E212" s="34"/>
      <c r="F212" s="34"/>
      <c r="G212" s="34"/>
      <c r="H212" s="34"/>
      <c r="I212" s="34"/>
      <c r="J212" s="34"/>
      <c r="K212" s="54"/>
      <c r="L212" s="54"/>
      <c r="M212" s="54"/>
      <c r="N212" s="34"/>
      <c r="O212" s="34"/>
    </row>
    <row r="213" spans="1:15" x14ac:dyDescent="0.2">
      <c r="A213" s="33"/>
      <c r="B213" s="34"/>
      <c r="C213" s="33"/>
      <c r="D213" s="33"/>
      <c r="E213" s="33"/>
      <c r="F213" s="33"/>
      <c r="G213" s="33"/>
      <c r="H213" s="33"/>
      <c r="I213" s="33"/>
      <c r="J213" s="34"/>
      <c r="K213" s="54"/>
      <c r="L213" s="54"/>
      <c r="M213" s="54"/>
      <c r="N213" s="34"/>
      <c r="O213" s="34"/>
    </row>
    <row r="214" spans="1:15" x14ac:dyDescent="0.2">
      <c r="A214" s="33"/>
      <c r="B214" s="34"/>
      <c r="C214" s="33"/>
      <c r="D214" s="33"/>
      <c r="E214" s="33"/>
      <c r="F214" s="33"/>
      <c r="G214" s="33"/>
      <c r="H214" s="33"/>
      <c r="I214" s="33"/>
      <c r="J214" s="34"/>
      <c r="K214" s="54"/>
      <c r="L214" s="54"/>
      <c r="M214" s="54"/>
      <c r="N214" s="34"/>
      <c r="O214" s="34"/>
    </row>
    <row r="215" spans="1:15" x14ac:dyDescent="0.2">
      <c r="A215" s="33"/>
      <c r="B215" s="34"/>
      <c r="C215" s="33"/>
      <c r="D215" s="33"/>
      <c r="E215" s="33"/>
      <c r="F215" s="33"/>
      <c r="G215" s="33"/>
      <c r="H215" s="33"/>
      <c r="I215" s="33"/>
      <c r="J215" s="34"/>
      <c r="K215" s="54"/>
      <c r="L215" s="54"/>
      <c r="M215" s="54"/>
      <c r="N215" s="34"/>
      <c r="O215" s="34"/>
    </row>
    <row r="216" spans="1:15" x14ac:dyDescent="0.2">
      <c r="A216" s="33"/>
      <c r="B216" s="34"/>
      <c r="C216" s="33"/>
      <c r="D216" s="33"/>
      <c r="E216" s="33"/>
      <c r="F216" s="33"/>
      <c r="G216" s="33"/>
      <c r="H216" s="33"/>
      <c r="I216" s="33"/>
      <c r="J216" s="34"/>
      <c r="K216" s="54"/>
      <c r="L216" s="54"/>
      <c r="M216" s="54"/>
      <c r="N216" s="34"/>
      <c r="O216" s="34"/>
    </row>
    <row r="217" spans="1:15" x14ac:dyDescent="0.2">
      <c r="A217" s="33"/>
      <c r="B217" s="34"/>
      <c r="C217" s="33"/>
      <c r="D217" s="33"/>
      <c r="E217" s="33"/>
      <c r="F217" s="33"/>
      <c r="G217" s="33"/>
      <c r="H217" s="33"/>
      <c r="I217" s="33"/>
      <c r="J217" s="34"/>
      <c r="K217" s="54"/>
      <c r="L217" s="54"/>
      <c r="M217" s="54"/>
      <c r="N217" s="34"/>
      <c r="O217" s="34"/>
    </row>
    <row r="218" spans="1:15" x14ac:dyDescent="0.2">
      <c r="A218" s="33"/>
      <c r="B218" s="34"/>
      <c r="C218" s="33"/>
      <c r="D218" s="33"/>
      <c r="E218" s="33"/>
      <c r="F218" s="33"/>
      <c r="G218" s="33"/>
      <c r="H218" s="33"/>
      <c r="I218" s="33"/>
      <c r="J218" s="34"/>
      <c r="K218" s="54"/>
      <c r="L218" s="54"/>
      <c r="M218" s="54"/>
      <c r="N218" s="34"/>
      <c r="O218" s="34"/>
    </row>
    <row r="219" spans="1:15" x14ac:dyDescent="0.2">
      <c r="A219" s="33"/>
      <c r="B219" s="34"/>
      <c r="C219" s="33"/>
      <c r="D219" s="33"/>
      <c r="E219" s="33"/>
      <c r="F219" s="33"/>
      <c r="G219" s="33"/>
      <c r="H219" s="33"/>
      <c r="I219" s="33"/>
      <c r="J219" s="34"/>
      <c r="K219" s="54"/>
      <c r="L219" s="54"/>
      <c r="M219" s="54"/>
      <c r="N219" s="34"/>
      <c r="O219" s="34"/>
    </row>
    <row r="220" spans="1:15" x14ac:dyDescent="0.2">
      <c r="A220" s="33"/>
      <c r="B220" s="34"/>
      <c r="C220" s="33"/>
      <c r="D220" s="33"/>
      <c r="E220" s="33"/>
      <c r="F220" s="33"/>
      <c r="G220" s="33"/>
      <c r="H220" s="33"/>
      <c r="I220" s="33"/>
      <c r="J220" s="34"/>
      <c r="K220" s="54"/>
      <c r="L220" s="54"/>
      <c r="M220" s="54"/>
      <c r="N220" s="34"/>
      <c r="O220" s="34"/>
    </row>
    <row r="221" spans="1:15" x14ac:dyDescent="0.2">
      <c r="A221" s="33"/>
      <c r="B221" s="34"/>
      <c r="C221" s="33"/>
      <c r="D221" s="33"/>
      <c r="E221" s="33"/>
      <c r="F221" s="33"/>
      <c r="G221" s="33"/>
      <c r="H221" s="33"/>
      <c r="I221" s="33"/>
      <c r="J221" s="34"/>
      <c r="K221" s="54"/>
      <c r="L221" s="54"/>
      <c r="M221" s="54"/>
      <c r="N221" s="34"/>
      <c r="O221" s="34"/>
    </row>
    <row r="222" spans="1:15" x14ac:dyDescent="0.2">
      <c r="A222" s="33"/>
      <c r="B222" s="34"/>
      <c r="C222" s="33"/>
      <c r="D222" s="33"/>
      <c r="E222" s="33"/>
      <c r="F222" s="33"/>
      <c r="G222" s="33"/>
      <c r="H222" s="33"/>
      <c r="I222" s="33"/>
      <c r="J222" s="34"/>
      <c r="K222" s="54"/>
      <c r="L222" s="54"/>
      <c r="M222" s="54"/>
      <c r="N222" s="34"/>
      <c r="O222" s="34"/>
    </row>
    <row r="223" spans="1:15" x14ac:dyDescent="0.2">
      <c r="A223" s="33"/>
      <c r="B223" s="34"/>
      <c r="C223" s="33"/>
      <c r="D223" s="33"/>
      <c r="E223" s="33"/>
      <c r="F223" s="33"/>
      <c r="G223" s="33"/>
      <c r="H223" s="33"/>
      <c r="I223" s="33"/>
      <c r="J223" s="34"/>
      <c r="K223" s="54"/>
      <c r="L223" s="54"/>
      <c r="M223" s="54"/>
      <c r="N223" s="34"/>
      <c r="O223" s="34"/>
    </row>
    <row r="224" spans="1:15" x14ac:dyDescent="0.2">
      <c r="A224" s="33"/>
      <c r="B224" s="34"/>
      <c r="C224" s="33"/>
      <c r="D224" s="33"/>
      <c r="E224" s="33"/>
      <c r="F224" s="33"/>
      <c r="G224" s="33"/>
      <c r="H224" s="33"/>
      <c r="I224" s="33"/>
      <c r="J224" s="34"/>
      <c r="K224" s="54"/>
      <c r="L224" s="54"/>
      <c r="M224" s="54"/>
      <c r="N224" s="34"/>
      <c r="O224" s="34"/>
    </row>
    <row r="225" spans="1:15" x14ac:dyDescent="0.2">
      <c r="A225" s="33"/>
      <c r="B225" s="34"/>
      <c r="C225" s="33"/>
      <c r="D225" s="33"/>
      <c r="E225" s="33"/>
      <c r="F225" s="33"/>
      <c r="G225" s="33"/>
      <c r="H225" s="33"/>
      <c r="I225" s="33"/>
      <c r="J225" s="34"/>
      <c r="K225" s="54"/>
      <c r="L225" s="54"/>
      <c r="M225" s="54"/>
      <c r="N225" s="34"/>
      <c r="O225" s="34"/>
    </row>
    <row r="226" spans="1:15" x14ac:dyDescent="0.2">
      <c r="A226" s="33"/>
      <c r="B226" s="34"/>
      <c r="C226" s="34"/>
      <c r="D226" s="34"/>
      <c r="E226" s="34"/>
      <c r="F226" s="34"/>
      <c r="G226" s="34"/>
      <c r="H226" s="34"/>
      <c r="I226" s="34"/>
      <c r="J226" s="34"/>
      <c r="K226" s="54"/>
      <c r="L226" s="54"/>
      <c r="M226" s="54"/>
      <c r="N226" s="34"/>
      <c r="O226" s="34"/>
    </row>
    <row r="227" spans="1:15" x14ac:dyDescent="0.2">
      <c r="A227" s="33"/>
      <c r="B227" s="34"/>
      <c r="C227" s="33"/>
      <c r="D227" s="33"/>
      <c r="E227" s="33"/>
      <c r="F227" s="33"/>
      <c r="G227" s="33"/>
      <c r="H227" s="33"/>
      <c r="I227" s="33"/>
      <c r="J227" s="34"/>
      <c r="K227" s="54"/>
      <c r="L227" s="54"/>
      <c r="M227" s="54"/>
      <c r="N227" s="34"/>
      <c r="O227" s="34"/>
    </row>
    <row r="228" spans="1:15" x14ac:dyDescent="0.2">
      <c r="A228" s="33"/>
      <c r="B228" s="34"/>
      <c r="C228" s="33"/>
      <c r="D228" s="33"/>
      <c r="E228" s="33"/>
      <c r="F228" s="33"/>
      <c r="G228" s="33"/>
      <c r="H228" s="33"/>
      <c r="I228" s="33"/>
      <c r="J228" s="34"/>
      <c r="K228" s="54"/>
      <c r="L228" s="54"/>
      <c r="M228" s="54"/>
      <c r="N228" s="34"/>
      <c r="O228" s="34"/>
    </row>
    <row r="229" spans="1:15" x14ac:dyDescent="0.2">
      <c r="A229" s="33"/>
      <c r="B229" s="34"/>
      <c r="C229" s="33"/>
      <c r="D229" s="33"/>
      <c r="E229" s="33"/>
      <c r="F229" s="33"/>
      <c r="G229" s="33"/>
      <c r="H229" s="33"/>
      <c r="I229" s="33"/>
      <c r="J229" s="34"/>
      <c r="K229" s="54"/>
      <c r="L229" s="54"/>
      <c r="M229" s="54"/>
      <c r="N229" s="34"/>
      <c r="O229" s="34"/>
    </row>
    <row r="230" spans="1:15" x14ac:dyDescent="0.2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</row>
  </sheetData>
  <autoFilter ref="A1:M229"/>
  <sortState ref="A2:K211">
    <sortCondition ref="A2:A211"/>
  </sortState>
  <mergeCells count="1">
    <mergeCell ref="S2:Y2"/>
  </mergeCell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O213"/>
  <sheetViews>
    <sheetView showGridLines="0" workbookViewId="0">
      <selection activeCell="B4" sqref="B4:E4"/>
    </sheetView>
  </sheetViews>
  <sheetFormatPr defaultRowHeight="12.75" x14ac:dyDescent="0.2"/>
  <cols>
    <col min="3" max="3" width="9.5703125" bestFit="1" customWidth="1"/>
    <col min="10" max="15" width="9.5703125" bestFit="1" customWidth="1"/>
  </cols>
  <sheetData>
    <row r="2" spans="1:15" x14ac:dyDescent="0.2">
      <c r="B2" s="79" t="s">
        <v>231</v>
      </c>
    </row>
    <row r="3" spans="1:15" ht="15" x14ac:dyDescent="0.25">
      <c r="E3" s="24"/>
      <c r="F3" s="24"/>
      <c r="G3" s="24"/>
      <c r="H3" s="24"/>
      <c r="J3" s="28"/>
      <c r="K3" s="28"/>
      <c r="L3" s="28"/>
      <c r="M3" s="28"/>
      <c r="N3" s="28"/>
      <c r="O3" s="28"/>
    </row>
    <row r="4" spans="1:15" ht="17.25" x14ac:dyDescent="0.25">
      <c r="A4" s="24"/>
      <c r="B4" s="95" t="s">
        <v>73</v>
      </c>
      <c r="C4" s="95"/>
      <c r="D4" s="95"/>
      <c r="E4" s="95"/>
      <c r="F4" s="24"/>
      <c r="G4" s="24"/>
      <c r="H4" s="24"/>
      <c r="J4" s="27"/>
      <c r="K4" s="27"/>
      <c r="L4" s="27"/>
      <c r="M4" s="27"/>
      <c r="N4" s="27"/>
      <c r="O4" s="27"/>
    </row>
    <row r="5" spans="1:15" ht="15" x14ac:dyDescent="0.25">
      <c r="A5" s="24"/>
      <c r="B5" s="24"/>
      <c r="C5" s="24"/>
      <c r="D5" s="24"/>
      <c r="E5" s="24"/>
      <c r="F5" s="24"/>
      <c r="G5" s="24"/>
      <c r="H5" s="24"/>
      <c r="L5" s="29"/>
    </row>
    <row r="6" spans="1:15" ht="15" x14ac:dyDescent="0.25">
      <c r="A6" s="24"/>
      <c r="B6" s="24"/>
      <c r="C6" s="24"/>
      <c r="D6" s="24"/>
      <c r="E6" s="24"/>
      <c r="F6" s="24"/>
      <c r="G6" s="24"/>
      <c r="H6" s="24"/>
    </row>
    <row r="7" spans="1:15" ht="15" x14ac:dyDescent="0.25">
      <c r="A7" s="24"/>
      <c r="B7" s="24"/>
      <c r="C7" s="24"/>
      <c r="D7" s="24"/>
      <c r="E7" s="24"/>
      <c r="F7" s="24"/>
      <c r="G7" s="24"/>
      <c r="H7" s="24"/>
    </row>
    <row r="8" spans="1:15" ht="15" x14ac:dyDescent="0.25">
      <c r="A8" s="24"/>
      <c r="B8" s="24"/>
      <c r="C8" s="24"/>
      <c r="D8" s="24"/>
      <c r="E8" s="24"/>
      <c r="F8" s="24"/>
      <c r="G8" s="24"/>
      <c r="H8" s="24"/>
    </row>
    <row r="9" spans="1:15" ht="15" x14ac:dyDescent="0.25">
      <c r="A9" s="24"/>
      <c r="B9" s="24"/>
      <c r="C9" s="24"/>
      <c r="D9" s="24"/>
      <c r="E9" s="24"/>
      <c r="F9" s="24"/>
      <c r="G9" s="24"/>
      <c r="H9" s="24"/>
    </row>
    <row r="10" spans="1:15" ht="15" x14ac:dyDescent="0.25">
      <c r="A10" s="24"/>
      <c r="B10" s="24"/>
      <c r="C10" s="24"/>
      <c r="D10" s="24"/>
      <c r="E10" s="24"/>
      <c r="F10" s="24"/>
      <c r="G10" s="24"/>
      <c r="H10" s="24"/>
    </row>
    <row r="11" spans="1:15" ht="15" x14ac:dyDescent="0.25">
      <c r="A11" s="24"/>
      <c r="B11" s="24"/>
      <c r="C11" s="24"/>
      <c r="D11" s="24"/>
      <c r="E11" s="24"/>
      <c r="F11" s="24"/>
      <c r="G11" s="24"/>
      <c r="H11" s="24"/>
    </row>
    <row r="12" spans="1:15" ht="15" x14ac:dyDescent="0.25">
      <c r="A12" s="24"/>
      <c r="B12" s="56"/>
      <c r="C12" s="57"/>
      <c r="D12" s="57"/>
      <c r="E12" s="57"/>
      <c r="F12" s="24"/>
      <c r="G12" s="24"/>
      <c r="H12" s="24"/>
    </row>
    <row r="13" spans="1:15" ht="15" x14ac:dyDescent="0.25">
      <c r="A13" s="24"/>
      <c r="B13" s="56"/>
      <c r="C13" s="57"/>
      <c r="D13" s="57"/>
      <c r="E13" s="57"/>
      <c r="F13" s="24"/>
      <c r="G13" s="24"/>
      <c r="H13" s="24"/>
    </row>
    <row r="14" spans="1:15" ht="15" x14ac:dyDescent="0.25">
      <c r="A14" s="24"/>
      <c r="B14" s="56"/>
      <c r="C14" s="57"/>
      <c r="D14" s="57"/>
      <c r="E14" s="57"/>
      <c r="F14" s="24"/>
      <c r="G14" s="24"/>
      <c r="H14" s="24"/>
    </row>
    <row r="15" spans="1:15" ht="15" x14ac:dyDescent="0.25">
      <c r="A15" s="24"/>
      <c r="B15" s="56"/>
      <c r="C15" s="57"/>
      <c r="D15" s="57"/>
      <c r="E15" s="57"/>
      <c r="F15" s="24"/>
      <c r="G15" s="24"/>
      <c r="H15" s="24"/>
    </row>
    <row r="16" spans="1:15" ht="15" x14ac:dyDescent="0.25">
      <c r="A16" s="24"/>
      <c r="B16" s="56"/>
      <c r="C16" s="57"/>
      <c r="D16" s="57"/>
      <c r="E16" s="57"/>
      <c r="F16" s="24"/>
      <c r="G16" s="24"/>
      <c r="H16" s="24"/>
    </row>
    <row r="17" spans="1:8" ht="15" x14ac:dyDescent="0.25">
      <c r="A17" s="24"/>
      <c r="B17" s="56"/>
      <c r="C17" s="57"/>
      <c r="D17" s="57"/>
      <c r="E17" s="57"/>
      <c r="F17" s="24"/>
      <c r="G17" s="24"/>
      <c r="H17" s="24"/>
    </row>
    <row r="18" spans="1:8" ht="15" x14ac:dyDescent="0.25">
      <c r="A18" s="24"/>
      <c r="B18" s="56"/>
      <c r="C18" s="57"/>
      <c r="D18" s="57"/>
      <c r="E18" s="57"/>
      <c r="F18" s="24"/>
      <c r="G18" s="24"/>
      <c r="H18" s="24"/>
    </row>
    <row r="19" spans="1:8" ht="15" x14ac:dyDescent="0.25">
      <c r="A19" s="24"/>
      <c r="B19" s="56"/>
      <c r="C19" s="57"/>
      <c r="D19" s="57"/>
      <c r="E19" s="57"/>
      <c r="F19" s="24"/>
      <c r="G19" s="24"/>
      <c r="H19" s="24"/>
    </row>
    <row r="20" spans="1:8" ht="15" x14ac:dyDescent="0.25">
      <c r="A20" s="24"/>
      <c r="B20" s="56"/>
      <c r="C20" s="57"/>
      <c r="D20" s="57"/>
      <c r="E20" s="57"/>
      <c r="F20" s="24"/>
      <c r="G20" s="24"/>
      <c r="H20" s="24"/>
    </row>
    <row r="21" spans="1:8" ht="15" x14ac:dyDescent="0.25">
      <c r="A21" s="24"/>
      <c r="B21" s="56"/>
      <c r="C21" s="57"/>
      <c r="D21" s="57"/>
      <c r="E21" s="57"/>
      <c r="F21" s="24"/>
      <c r="G21" s="24"/>
      <c r="H21" s="24"/>
    </row>
    <row r="22" spans="1:8" ht="15" x14ac:dyDescent="0.25">
      <c r="A22" s="24"/>
      <c r="B22" s="56"/>
      <c r="C22" s="57"/>
      <c r="D22" s="57"/>
      <c r="E22" s="57"/>
      <c r="F22" s="24"/>
      <c r="G22" s="24"/>
      <c r="H22" s="24"/>
    </row>
    <row r="23" spans="1:8" ht="15" x14ac:dyDescent="0.25">
      <c r="A23" s="24"/>
      <c r="B23" s="56"/>
      <c r="C23" s="57"/>
      <c r="D23" s="57"/>
      <c r="E23" s="57"/>
      <c r="F23" s="24"/>
      <c r="G23" s="24"/>
      <c r="H23" s="24"/>
    </row>
    <row r="24" spans="1:8" ht="15" x14ac:dyDescent="0.25">
      <c r="A24" s="24"/>
      <c r="B24" s="56"/>
      <c r="C24" s="57"/>
      <c r="D24" s="57"/>
      <c r="E24" s="57"/>
      <c r="F24" s="24"/>
      <c r="G24" s="24"/>
      <c r="H24" s="24"/>
    </row>
    <row r="25" spans="1:8" ht="15" x14ac:dyDescent="0.25">
      <c r="A25" s="24"/>
      <c r="B25" s="56"/>
      <c r="C25" s="57"/>
      <c r="D25" s="57"/>
      <c r="E25" s="57"/>
      <c r="F25" s="24"/>
      <c r="G25" s="24"/>
      <c r="H25" s="24"/>
    </row>
    <row r="26" spans="1:8" ht="15" x14ac:dyDescent="0.25">
      <c r="A26" s="24"/>
      <c r="B26" s="56"/>
      <c r="C26" s="57"/>
      <c r="D26" s="57"/>
      <c r="E26" s="57"/>
      <c r="F26" s="24"/>
      <c r="G26" s="24"/>
      <c r="H26" s="24"/>
    </row>
    <row r="27" spans="1:8" ht="15" x14ac:dyDescent="0.25">
      <c r="A27" s="24"/>
      <c r="B27" s="56"/>
      <c r="C27" s="57"/>
      <c r="D27" s="57"/>
      <c r="E27" s="57"/>
      <c r="F27" s="24"/>
      <c r="G27" s="24"/>
      <c r="H27" s="24"/>
    </row>
    <row r="28" spans="1:8" ht="15" x14ac:dyDescent="0.25">
      <c r="A28" s="24"/>
      <c r="B28" s="56"/>
      <c r="C28" s="57"/>
      <c r="D28" s="57"/>
      <c r="E28" s="57"/>
      <c r="F28" s="24"/>
      <c r="G28" s="24"/>
      <c r="H28" s="24"/>
    </row>
    <row r="29" spans="1:8" ht="15" x14ac:dyDescent="0.25">
      <c r="A29" s="24"/>
      <c r="B29" s="56"/>
      <c r="C29" s="57"/>
      <c r="D29" s="57"/>
      <c r="E29" s="57"/>
      <c r="F29" s="24"/>
      <c r="G29" s="24"/>
      <c r="H29" s="24"/>
    </row>
    <row r="30" spans="1:8" ht="15" x14ac:dyDescent="0.25">
      <c r="A30" s="24"/>
      <c r="B30" s="56"/>
      <c r="C30" s="57"/>
      <c r="D30" s="57"/>
      <c r="E30" s="57"/>
      <c r="F30" s="24"/>
      <c r="G30" s="24"/>
      <c r="H30" s="24"/>
    </row>
    <row r="31" spans="1:8" ht="15" x14ac:dyDescent="0.25">
      <c r="A31" s="24"/>
      <c r="B31" s="56"/>
      <c r="C31" s="57"/>
      <c r="D31" s="57"/>
      <c r="E31" s="57"/>
      <c r="F31" s="24"/>
      <c r="G31" s="24"/>
      <c r="H31" s="24"/>
    </row>
    <row r="32" spans="1:8" ht="15" x14ac:dyDescent="0.25">
      <c r="A32" s="24"/>
      <c r="B32" s="56"/>
      <c r="C32" s="57"/>
      <c r="D32" s="57"/>
      <c r="E32" s="57"/>
      <c r="F32" s="24"/>
      <c r="G32" s="24"/>
      <c r="H32" s="24"/>
    </row>
    <row r="33" spans="1:8" ht="15" x14ac:dyDescent="0.25">
      <c r="A33" s="24"/>
      <c r="B33" s="56"/>
      <c r="C33" s="57"/>
      <c r="D33" s="57"/>
      <c r="E33" s="57"/>
      <c r="F33" s="24"/>
      <c r="G33" s="24"/>
      <c r="H33" s="24"/>
    </row>
    <row r="34" spans="1:8" ht="15" x14ac:dyDescent="0.25">
      <c r="A34" s="24"/>
      <c r="B34" s="56"/>
      <c r="C34" s="57"/>
      <c r="D34" s="57"/>
      <c r="E34" s="57"/>
      <c r="F34" s="24"/>
      <c r="G34" s="24"/>
      <c r="H34" s="24"/>
    </row>
    <row r="35" spans="1:8" ht="15" x14ac:dyDescent="0.25">
      <c r="A35" s="24"/>
      <c r="B35" s="56"/>
      <c r="C35" s="57"/>
      <c r="D35" s="57"/>
      <c r="E35" s="57"/>
      <c r="F35" s="24"/>
      <c r="G35" s="24"/>
      <c r="H35" s="24"/>
    </row>
    <row r="36" spans="1:8" ht="15" x14ac:dyDescent="0.25">
      <c r="A36" s="24"/>
      <c r="B36" s="56"/>
      <c r="C36" s="57"/>
      <c r="D36" s="57"/>
      <c r="E36" s="57"/>
      <c r="F36" s="24"/>
      <c r="G36" s="24"/>
      <c r="H36" s="24"/>
    </row>
    <row r="37" spans="1:8" ht="15" x14ac:dyDescent="0.25">
      <c r="A37" s="24"/>
      <c r="B37" s="56"/>
      <c r="C37" s="57"/>
      <c r="D37" s="57"/>
      <c r="E37" s="57"/>
      <c r="F37" s="24"/>
      <c r="G37" s="24"/>
      <c r="H37" s="24"/>
    </row>
    <row r="38" spans="1:8" ht="15" x14ac:dyDescent="0.25">
      <c r="A38" s="24"/>
      <c r="B38" s="56"/>
      <c r="C38" s="57"/>
      <c r="D38" s="57"/>
      <c r="E38" s="57"/>
      <c r="F38" s="24"/>
      <c r="G38" s="24"/>
      <c r="H38" s="24"/>
    </row>
    <row r="39" spans="1:8" ht="15" x14ac:dyDescent="0.25">
      <c r="A39" s="24"/>
      <c r="B39" s="56"/>
      <c r="C39" s="57"/>
      <c r="D39" s="57"/>
      <c r="E39" s="57"/>
      <c r="F39" s="24"/>
      <c r="G39" s="24"/>
      <c r="H39" s="24"/>
    </row>
    <row r="40" spans="1:8" ht="15" x14ac:dyDescent="0.25">
      <c r="A40" s="24"/>
      <c r="B40" s="24"/>
      <c r="C40" s="24"/>
      <c r="D40" s="24"/>
      <c r="E40" s="24"/>
      <c r="F40" s="24"/>
      <c r="G40" s="24"/>
      <c r="H40" s="24"/>
    </row>
    <row r="41" spans="1:8" ht="15" x14ac:dyDescent="0.25">
      <c r="A41" s="24"/>
      <c r="B41" s="24"/>
      <c r="C41" s="24"/>
      <c r="D41" s="24"/>
      <c r="E41" s="24"/>
      <c r="F41" s="24"/>
      <c r="G41" s="24"/>
      <c r="H41" s="24"/>
    </row>
    <row r="42" spans="1:8" ht="15" x14ac:dyDescent="0.25">
      <c r="F42" s="24"/>
      <c r="G42" s="24"/>
      <c r="H42" s="24"/>
    </row>
    <row r="43" spans="1:8" ht="15" x14ac:dyDescent="0.25">
      <c r="F43" s="24"/>
      <c r="G43" s="24"/>
      <c r="H43" s="24"/>
    </row>
    <row r="44" spans="1:8" ht="15" x14ac:dyDescent="0.25">
      <c r="F44" s="24"/>
      <c r="G44" s="24"/>
      <c r="H44" s="24"/>
    </row>
    <row r="45" spans="1:8" ht="15" x14ac:dyDescent="0.25">
      <c r="F45" s="24"/>
      <c r="G45" s="24"/>
      <c r="H45" s="24"/>
    </row>
    <row r="46" spans="1:8" ht="15" x14ac:dyDescent="0.25">
      <c r="F46" s="24"/>
      <c r="G46" s="24"/>
      <c r="H46" s="24"/>
    </row>
    <row r="47" spans="1:8" ht="15" x14ac:dyDescent="0.25">
      <c r="F47" s="24"/>
      <c r="G47" s="24"/>
      <c r="H47" s="24"/>
    </row>
    <row r="48" spans="1:8" ht="15" x14ac:dyDescent="0.25">
      <c r="F48" s="24"/>
      <c r="G48" s="24"/>
      <c r="H48" s="24"/>
    </row>
    <row r="49" spans="1:8" ht="15" x14ac:dyDescent="0.25">
      <c r="F49" s="24"/>
      <c r="G49" s="24"/>
      <c r="H49" s="24"/>
    </row>
    <row r="50" spans="1:8" ht="15" x14ac:dyDescent="0.25">
      <c r="F50" s="24"/>
      <c r="G50" s="24"/>
      <c r="H50" s="24"/>
    </row>
    <row r="51" spans="1:8" ht="15" x14ac:dyDescent="0.25">
      <c r="A51" s="24"/>
      <c r="B51" s="24"/>
      <c r="C51" s="24"/>
      <c r="D51" s="24"/>
      <c r="E51" s="24"/>
      <c r="F51" s="24"/>
      <c r="G51" s="24"/>
      <c r="H51" s="24"/>
    </row>
    <row r="52" spans="1:8" ht="15" x14ac:dyDescent="0.25">
      <c r="A52" s="24"/>
      <c r="B52" s="24"/>
      <c r="C52" s="24"/>
      <c r="D52" s="24"/>
      <c r="E52" s="24"/>
      <c r="F52" s="24"/>
      <c r="G52" s="24"/>
      <c r="H52" s="24"/>
    </row>
    <row r="53" spans="1:8" ht="15" x14ac:dyDescent="0.25">
      <c r="A53" s="24"/>
      <c r="B53" s="24"/>
      <c r="C53" s="24"/>
      <c r="D53" s="24"/>
      <c r="E53" s="24"/>
      <c r="F53" s="24"/>
      <c r="G53" s="24"/>
      <c r="H53" s="24"/>
    </row>
    <row r="54" spans="1:8" ht="15" x14ac:dyDescent="0.25">
      <c r="A54" s="24"/>
      <c r="B54" s="24"/>
      <c r="C54" s="24"/>
      <c r="D54" s="24"/>
      <c r="E54" s="24"/>
      <c r="F54" s="24"/>
      <c r="G54" s="24"/>
      <c r="H54" s="24"/>
    </row>
    <row r="55" spans="1:8" ht="15" x14ac:dyDescent="0.25">
      <c r="A55" s="24"/>
      <c r="B55" s="24"/>
      <c r="C55" s="24"/>
      <c r="D55" s="24"/>
      <c r="E55" s="24"/>
      <c r="F55" s="24"/>
      <c r="G55" s="24"/>
      <c r="H55" s="24"/>
    </row>
    <row r="56" spans="1:8" ht="15" x14ac:dyDescent="0.25">
      <c r="A56" s="24"/>
      <c r="B56" s="24"/>
      <c r="C56" s="24"/>
      <c r="D56" s="24"/>
      <c r="E56" s="24"/>
      <c r="F56" s="24"/>
      <c r="G56" s="24"/>
      <c r="H56" s="24"/>
    </row>
    <row r="57" spans="1:8" ht="15" x14ac:dyDescent="0.25">
      <c r="A57" s="24"/>
      <c r="B57" s="24"/>
      <c r="C57" s="24"/>
      <c r="D57" s="24"/>
      <c r="E57" s="24"/>
      <c r="F57" s="24"/>
      <c r="G57" s="24"/>
      <c r="H57" s="24"/>
    </row>
    <row r="58" spans="1:8" ht="15" x14ac:dyDescent="0.25">
      <c r="A58" s="24"/>
      <c r="B58" s="24"/>
      <c r="C58" s="24"/>
      <c r="D58" s="24"/>
      <c r="E58" s="24"/>
      <c r="F58" s="24"/>
      <c r="G58" s="24"/>
      <c r="H58" s="24"/>
    </row>
    <row r="59" spans="1:8" ht="15" x14ac:dyDescent="0.25">
      <c r="A59" s="24"/>
      <c r="B59" s="24"/>
      <c r="C59" s="24"/>
      <c r="D59" s="24"/>
      <c r="E59" s="24"/>
      <c r="F59" s="24"/>
      <c r="G59" s="24"/>
      <c r="H59" s="24"/>
    </row>
    <row r="60" spans="1:8" ht="15" x14ac:dyDescent="0.25">
      <c r="A60" s="24"/>
      <c r="B60" s="24"/>
      <c r="C60" s="24"/>
      <c r="D60" s="24"/>
      <c r="E60" s="24"/>
      <c r="F60" s="24"/>
      <c r="G60" s="24"/>
      <c r="H60" s="24"/>
    </row>
    <row r="61" spans="1:8" ht="15" x14ac:dyDescent="0.25">
      <c r="A61" s="24"/>
      <c r="B61" s="24"/>
      <c r="C61" s="24"/>
      <c r="D61" s="24"/>
      <c r="E61" s="24"/>
      <c r="F61" s="24"/>
      <c r="G61" s="24"/>
      <c r="H61" s="24"/>
    </row>
    <row r="62" spans="1:8" ht="15" x14ac:dyDescent="0.25">
      <c r="A62" s="24"/>
      <c r="B62" s="24"/>
      <c r="C62" s="24"/>
      <c r="D62" s="24"/>
      <c r="E62" s="24"/>
      <c r="F62" s="24"/>
      <c r="G62" s="24"/>
      <c r="H62" s="24"/>
    </row>
    <row r="63" spans="1:8" ht="15" x14ac:dyDescent="0.25">
      <c r="A63" s="24"/>
      <c r="B63" s="24"/>
      <c r="C63" s="24"/>
      <c r="D63" s="24"/>
      <c r="E63" s="24"/>
      <c r="F63" s="24"/>
      <c r="G63" s="24"/>
      <c r="H63" s="24"/>
    </row>
    <row r="64" spans="1:8" ht="15" x14ac:dyDescent="0.25">
      <c r="A64" s="7"/>
      <c r="B64" s="24"/>
      <c r="C64" s="24"/>
      <c r="D64" s="24"/>
      <c r="E64" s="24"/>
      <c r="F64" s="24"/>
      <c r="G64" s="24"/>
      <c r="H64" s="24"/>
    </row>
    <row r="65" spans="1:8" ht="15" x14ac:dyDescent="0.25">
      <c r="A65" s="7"/>
      <c r="B65" s="24"/>
      <c r="C65" s="24"/>
      <c r="D65" s="24"/>
      <c r="E65" s="24"/>
      <c r="F65" s="24"/>
      <c r="G65" s="24"/>
      <c r="H65" s="24"/>
    </row>
    <row r="66" spans="1:8" ht="15" x14ac:dyDescent="0.25">
      <c r="A66" s="7"/>
      <c r="B66" s="24"/>
      <c r="C66" s="24"/>
      <c r="D66" s="24"/>
      <c r="E66" s="24"/>
      <c r="F66" s="24"/>
      <c r="G66" s="24"/>
      <c r="H66" s="24"/>
    </row>
    <row r="67" spans="1:8" ht="15" x14ac:dyDescent="0.25">
      <c r="A67" s="7"/>
      <c r="B67" s="24"/>
      <c r="C67" s="24"/>
      <c r="D67" s="24"/>
      <c r="E67" s="24"/>
      <c r="F67" s="24"/>
      <c r="G67" s="24"/>
      <c r="H67" s="24"/>
    </row>
    <row r="68" spans="1:8" ht="15" x14ac:dyDescent="0.25">
      <c r="A68" s="7"/>
      <c r="B68" s="24"/>
      <c r="C68" s="24"/>
      <c r="D68" s="24"/>
      <c r="E68" s="24"/>
      <c r="F68" s="24"/>
      <c r="G68" s="24"/>
      <c r="H68" s="24"/>
    </row>
    <row r="69" spans="1:8" ht="15" x14ac:dyDescent="0.25">
      <c r="A69" s="7"/>
      <c r="B69" s="24"/>
      <c r="C69" s="24"/>
      <c r="D69" s="24"/>
      <c r="E69" s="24"/>
      <c r="F69" s="24"/>
      <c r="G69" s="24"/>
      <c r="H69" s="24"/>
    </row>
    <row r="70" spans="1:8" ht="15" x14ac:dyDescent="0.25">
      <c r="A70" s="7"/>
      <c r="B70" s="24"/>
      <c r="C70" s="24"/>
      <c r="D70" s="24"/>
      <c r="E70" s="24"/>
      <c r="F70" s="24"/>
      <c r="G70" s="24"/>
      <c r="H70" s="24"/>
    </row>
    <row r="71" spans="1:8" ht="15" x14ac:dyDescent="0.25">
      <c r="A71" s="7"/>
      <c r="B71" s="24"/>
      <c r="C71" s="24"/>
      <c r="D71" s="24"/>
      <c r="E71" s="24"/>
      <c r="F71" s="24"/>
      <c r="G71" s="24"/>
      <c r="H71" s="24"/>
    </row>
    <row r="72" spans="1:8" ht="15" x14ac:dyDescent="0.25">
      <c r="A72" s="7"/>
      <c r="B72" s="24"/>
      <c r="C72" s="24"/>
      <c r="D72" s="24"/>
      <c r="E72" s="24"/>
      <c r="F72" s="24"/>
      <c r="G72" s="24"/>
      <c r="H72" s="24"/>
    </row>
    <row r="73" spans="1:8" ht="15" x14ac:dyDescent="0.25">
      <c r="A73" s="7"/>
      <c r="B73" s="24"/>
      <c r="C73" s="24"/>
      <c r="D73" s="24"/>
      <c r="E73" s="24"/>
      <c r="F73" s="24"/>
      <c r="G73" s="24"/>
      <c r="H73" s="24"/>
    </row>
    <row r="74" spans="1:8" ht="15" x14ac:dyDescent="0.25">
      <c r="A74" s="7"/>
      <c r="B74" s="24"/>
      <c r="C74" s="24"/>
      <c r="D74" s="24"/>
      <c r="E74" s="24"/>
      <c r="F74" s="24"/>
      <c r="G74" s="24"/>
      <c r="H74" s="24"/>
    </row>
    <row r="75" spans="1:8" ht="15" x14ac:dyDescent="0.25">
      <c r="A75" s="7"/>
      <c r="B75" s="24"/>
      <c r="C75" s="24"/>
      <c r="D75" s="24"/>
      <c r="E75" s="24"/>
      <c r="F75" s="24"/>
      <c r="G75" s="24"/>
      <c r="H75" s="24"/>
    </row>
    <row r="76" spans="1:8" ht="15" x14ac:dyDescent="0.25">
      <c r="A76" s="7"/>
      <c r="B76" s="24"/>
      <c r="C76" s="24"/>
      <c r="D76" s="24"/>
      <c r="E76" s="24"/>
      <c r="F76" s="24"/>
      <c r="G76" s="24"/>
      <c r="H76" s="24"/>
    </row>
    <row r="77" spans="1:8" ht="15" x14ac:dyDescent="0.25">
      <c r="A77" s="7"/>
      <c r="B77" s="24"/>
      <c r="C77" s="24"/>
      <c r="D77" s="24"/>
      <c r="E77" s="24"/>
      <c r="F77" s="24"/>
      <c r="G77" s="24"/>
      <c r="H77" s="24"/>
    </row>
    <row r="78" spans="1:8" ht="15" x14ac:dyDescent="0.25">
      <c r="A78" s="7"/>
      <c r="B78" s="24"/>
      <c r="C78" s="24"/>
      <c r="D78" s="24"/>
      <c r="E78" s="24"/>
      <c r="F78" s="24"/>
      <c r="G78" s="24"/>
      <c r="H78" s="24"/>
    </row>
    <row r="79" spans="1:8" ht="15" x14ac:dyDescent="0.25">
      <c r="A79" s="7"/>
      <c r="B79" s="24"/>
      <c r="C79" s="24"/>
      <c r="D79" s="24"/>
      <c r="E79" s="24"/>
      <c r="F79" s="24"/>
      <c r="G79" s="24"/>
      <c r="H79" s="24"/>
    </row>
    <row r="80" spans="1:8" ht="15" x14ac:dyDescent="0.25">
      <c r="A80" s="7"/>
      <c r="B80" s="24"/>
      <c r="C80" s="24"/>
      <c r="D80" s="24"/>
      <c r="E80" s="24"/>
      <c r="F80" s="24"/>
      <c r="G80" s="24"/>
      <c r="H80" s="24"/>
    </row>
    <row r="81" spans="1:8" ht="15" x14ac:dyDescent="0.25">
      <c r="A81" s="7"/>
      <c r="B81" s="24"/>
      <c r="C81" s="24"/>
      <c r="D81" s="24"/>
      <c r="E81" s="24"/>
      <c r="F81" s="24"/>
      <c r="G81" s="24"/>
      <c r="H81" s="24"/>
    </row>
    <row r="82" spans="1:8" ht="15" x14ac:dyDescent="0.25">
      <c r="A82" s="7"/>
      <c r="B82" s="24"/>
      <c r="C82" s="24"/>
      <c r="D82" s="24"/>
      <c r="E82" s="24"/>
      <c r="F82" s="24"/>
      <c r="G82" s="24"/>
      <c r="H82" s="24"/>
    </row>
    <row r="83" spans="1:8" ht="15" x14ac:dyDescent="0.25">
      <c r="A83" s="7"/>
      <c r="B83" s="24"/>
      <c r="C83" s="24"/>
      <c r="D83" s="24"/>
      <c r="E83" s="24"/>
      <c r="F83" s="24"/>
      <c r="G83" s="24"/>
      <c r="H83" s="24"/>
    </row>
    <row r="84" spans="1:8" ht="15" x14ac:dyDescent="0.25">
      <c r="A84" s="7"/>
      <c r="B84" s="24"/>
      <c r="C84" s="24"/>
      <c r="D84" s="24"/>
      <c r="E84" s="24"/>
      <c r="F84" s="24"/>
      <c r="G84" s="24"/>
      <c r="H84" s="24"/>
    </row>
    <row r="85" spans="1:8" ht="15" x14ac:dyDescent="0.25">
      <c r="A85" s="24"/>
      <c r="B85" s="24"/>
      <c r="C85" s="24"/>
      <c r="D85" s="24"/>
      <c r="E85" s="24"/>
      <c r="F85" s="24"/>
      <c r="G85" s="24"/>
      <c r="H85" s="24"/>
    </row>
    <row r="86" spans="1:8" ht="15" x14ac:dyDescent="0.25">
      <c r="A86" s="24"/>
      <c r="B86" s="24"/>
      <c r="C86" s="24"/>
      <c r="D86" s="24"/>
      <c r="E86" s="24"/>
      <c r="F86" s="24"/>
      <c r="G86" s="24"/>
      <c r="H86" s="24"/>
    </row>
    <row r="87" spans="1:8" ht="15" x14ac:dyDescent="0.25">
      <c r="A87" s="24"/>
      <c r="B87" s="24"/>
      <c r="C87" s="24"/>
      <c r="D87" s="24"/>
      <c r="E87" s="24"/>
      <c r="F87" s="24"/>
      <c r="G87" s="24"/>
      <c r="H87" s="24"/>
    </row>
    <row r="88" spans="1:8" ht="15" x14ac:dyDescent="0.25">
      <c r="A88" s="24"/>
      <c r="B88" s="24"/>
      <c r="C88" s="24"/>
      <c r="D88" s="24"/>
      <c r="E88" s="24"/>
      <c r="F88" s="24"/>
      <c r="G88" s="24"/>
      <c r="H88" s="24"/>
    </row>
    <row r="89" spans="1:8" ht="15" x14ac:dyDescent="0.25">
      <c r="A89" s="24"/>
      <c r="B89" s="24"/>
      <c r="C89" s="24"/>
      <c r="D89" s="24"/>
      <c r="E89" s="24"/>
      <c r="F89" s="24"/>
      <c r="G89" s="24"/>
      <c r="H89" s="24"/>
    </row>
    <row r="90" spans="1:8" ht="15" x14ac:dyDescent="0.25">
      <c r="A90" s="24"/>
      <c r="B90" s="24"/>
      <c r="C90" s="24"/>
      <c r="D90" s="24"/>
      <c r="E90" s="24"/>
      <c r="F90" s="24"/>
      <c r="G90" s="24"/>
      <c r="H90" s="24"/>
    </row>
    <row r="91" spans="1:8" ht="15" x14ac:dyDescent="0.25">
      <c r="A91" s="24"/>
      <c r="B91" s="24"/>
      <c r="C91" s="24"/>
      <c r="D91" s="24"/>
      <c r="E91" s="24"/>
      <c r="F91" s="24"/>
      <c r="G91" s="24"/>
      <c r="H91" s="24"/>
    </row>
    <row r="92" spans="1:8" ht="15" x14ac:dyDescent="0.25">
      <c r="A92" s="24"/>
      <c r="B92" s="24"/>
      <c r="C92" s="24"/>
      <c r="D92" s="24"/>
      <c r="E92" s="24"/>
      <c r="F92" s="24"/>
      <c r="G92" s="24"/>
      <c r="H92" s="24"/>
    </row>
    <row r="93" spans="1:8" ht="15" x14ac:dyDescent="0.25">
      <c r="A93" s="24"/>
      <c r="B93" s="24"/>
      <c r="C93" s="24"/>
      <c r="D93" s="24"/>
      <c r="E93" s="24"/>
      <c r="F93" s="24"/>
      <c r="G93" s="24"/>
      <c r="H93" s="24"/>
    </row>
    <row r="94" spans="1:8" ht="15" x14ac:dyDescent="0.25">
      <c r="A94" s="24"/>
      <c r="B94" s="24"/>
      <c r="C94" s="24"/>
      <c r="D94" s="24"/>
      <c r="E94" s="24"/>
      <c r="F94" s="24"/>
      <c r="G94" s="24"/>
      <c r="H94" s="24"/>
    </row>
    <row r="95" spans="1:8" ht="15" x14ac:dyDescent="0.25">
      <c r="A95" s="24"/>
      <c r="B95" s="24"/>
      <c r="C95" s="24"/>
      <c r="D95" s="24"/>
      <c r="E95" s="24"/>
      <c r="F95" s="24"/>
      <c r="G95" s="24"/>
      <c r="H95" s="24"/>
    </row>
    <row r="96" spans="1:8" ht="15" x14ac:dyDescent="0.25">
      <c r="A96" s="24"/>
      <c r="B96" s="24"/>
      <c r="C96" s="24"/>
      <c r="D96" s="24"/>
      <c r="E96" s="24"/>
      <c r="F96" s="24"/>
      <c r="G96" s="24"/>
      <c r="H96" s="24"/>
    </row>
    <row r="97" spans="1:8" ht="15" x14ac:dyDescent="0.25">
      <c r="A97" s="24"/>
      <c r="B97" s="24"/>
      <c r="C97" s="24"/>
      <c r="D97" s="24"/>
      <c r="E97" s="24"/>
      <c r="F97" s="24"/>
      <c r="G97" s="24"/>
      <c r="H97" s="24"/>
    </row>
    <row r="98" spans="1:8" ht="15" x14ac:dyDescent="0.25">
      <c r="A98" s="24"/>
      <c r="B98" s="24"/>
      <c r="C98" s="24"/>
      <c r="D98" s="24"/>
      <c r="E98" s="24"/>
      <c r="F98" s="24"/>
      <c r="G98" s="24"/>
      <c r="H98" s="24"/>
    </row>
    <row r="99" spans="1:8" ht="15" x14ac:dyDescent="0.25">
      <c r="A99" s="24"/>
      <c r="B99" s="24"/>
      <c r="C99" s="24"/>
      <c r="D99" s="24"/>
      <c r="E99" s="24"/>
      <c r="F99" s="24"/>
      <c r="G99" s="24"/>
      <c r="H99" s="24"/>
    </row>
    <row r="100" spans="1:8" ht="15" x14ac:dyDescent="0.25">
      <c r="A100" s="24"/>
      <c r="B100" s="24"/>
      <c r="C100" s="24"/>
      <c r="D100" s="24"/>
      <c r="E100" s="24"/>
      <c r="F100" s="24"/>
      <c r="G100" s="24"/>
      <c r="H100" s="24"/>
    </row>
    <row r="101" spans="1:8" ht="15" x14ac:dyDescent="0.25">
      <c r="A101" s="24"/>
      <c r="B101" s="24"/>
      <c r="C101" s="24"/>
      <c r="D101" s="24"/>
      <c r="E101" s="24"/>
      <c r="F101" s="24"/>
      <c r="G101" s="24"/>
      <c r="H101" s="24"/>
    </row>
    <row r="102" spans="1:8" ht="15" x14ac:dyDescent="0.25">
      <c r="A102" s="24"/>
      <c r="B102" s="24"/>
      <c r="C102" s="24"/>
      <c r="D102" s="24"/>
      <c r="E102" s="24"/>
      <c r="F102" s="24"/>
      <c r="G102" s="24"/>
      <c r="H102" s="24"/>
    </row>
    <row r="103" spans="1:8" ht="15" x14ac:dyDescent="0.25">
      <c r="A103" s="24"/>
      <c r="B103" s="24"/>
      <c r="C103" s="24"/>
      <c r="D103" s="24"/>
      <c r="E103" s="24"/>
      <c r="F103" s="24"/>
      <c r="G103" s="24"/>
      <c r="H103" s="24"/>
    </row>
    <row r="104" spans="1:8" ht="15" x14ac:dyDescent="0.25">
      <c r="A104" s="24"/>
      <c r="B104" s="24"/>
      <c r="C104" s="24"/>
      <c r="D104" s="24"/>
      <c r="E104" s="24"/>
      <c r="F104" s="24"/>
      <c r="G104" s="24"/>
      <c r="H104" s="24"/>
    </row>
    <row r="105" spans="1:8" ht="15" x14ac:dyDescent="0.25">
      <c r="A105" s="24"/>
      <c r="B105" s="24"/>
      <c r="C105" s="24"/>
      <c r="D105" s="24"/>
      <c r="E105" s="24"/>
      <c r="F105" s="24"/>
      <c r="G105" s="24"/>
      <c r="H105" s="24"/>
    </row>
    <row r="106" spans="1:8" ht="15" x14ac:dyDescent="0.25">
      <c r="A106" s="24"/>
      <c r="B106" s="24"/>
      <c r="C106" s="24"/>
      <c r="D106" s="24"/>
      <c r="E106" s="24"/>
      <c r="F106" s="24"/>
      <c r="G106" s="24"/>
      <c r="H106" s="24"/>
    </row>
    <row r="107" spans="1:8" ht="15" x14ac:dyDescent="0.25">
      <c r="A107" s="24"/>
      <c r="B107" s="24"/>
      <c r="C107" s="24"/>
      <c r="D107" s="24"/>
      <c r="E107" s="24"/>
      <c r="F107" s="24"/>
      <c r="G107" s="24"/>
      <c r="H107" s="24"/>
    </row>
    <row r="108" spans="1:8" ht="15" x14ac:dyDescent="0.25">
      <c r="A108" s="24"/>
      <c r="B108" s="24"/>
      <c r="C108" s="24"/>
      <c r="D108" s="24"/>
      <c r="E108" s="24"/>
      <c r="F108" s="24"/>
      <c r="G108" s="24"/>
      <c r="H108" s="24"/>
    </row>
    <row r="109" spans="1:8" ht="15" x14ac:dyDescent="0.25">
      <c r="A109" s="24"/>
      <c r="B109" s="24"/>
      <c r="C109" s="24"/>
      <c r="D109" s="24"/>
      <c r="E109" s="24"/>
      <c r="F109" s="24"/>
      <c r="G109" s="24"/>
      <c r="H109" s="24"/>
    </row>
    <row r="110" spans="1:8" ht="15" x14ac:dyDescent="0.25">
      <c r="A110" s="24"/>
      <c r="B110" s="24"/>
      <c r="C110" s="24"/>
      <c r="D110" s="24"/>
      <c r="E110" s="24"/>
      <c r="F110" s="24"/>
      <c r="G110" s="24"/>
      <c r="H110" s="24"/>
    </row>
    <row r="111" spans="1:8" ht="15" x14ac:dyDescent="0.25">
      <c r="A111" s="24"/>
      <c r="B111" s="24"/>
      <c r="C111" s="24"/>
      <c r="D111" s="24"/>
      <c r="E111" s="24"/>
      <c r="F111" s="24"/>
      <c r="G111" s="24"/>
      <c r="H111" s="24"/>
    </row>
    <row r="112" spans="1:8" ht="15" x14ac:dyDescent="0.25">
      <c r="A112" s="24"/>
      <c r="B112" s="24"/>
      <c r="C112" s="24"/>
      <c r="D112" s="24"/>
      <c r="E112" s="24"/>
      <c r="F112" s="24"/>
      <c r="G112" s="24"/>
      <c r="H112" s="24"/>
    </row>
    <row r="113" spans="1:8" ht="15" x14ac:dyDescent="0.25">
      <c r="A113" s="24"/>
      <c r="B113" s="24"/>
      <c r="C113" s="24"/>
      <c r="D113" s="24"/>
      <c r="E113" s="24"/>
      <c r="F113" s="24"/>
      <c r="G113" s="24"/>
      <c r="H113" s="24"/>
    </row>
    <row r="114" spans="1:8" ht="15" x14ac:dyDescent="0.25">
      <c r="A114" s="24"/>
      <c r="B114" s="24"/>
      <c r="C114" s="24"/>
      <c r="D114" s="24"/>
      <c r="E114" s="24"/>
      <c r="F114" s="24"/>
      <c r="G114" s="24"/>
      <c r="H114" s="24"/>
    </row>
    <row r="115" spans="1:8" ht="15" x14ac:dyDescent="0.25">
      <c r="A115" s="24"/>
      <c r="B115" s="24"/>
      <c r="C115" s="24"/>
      <c r="D115" s="24"/>
      <c r="E115" s="24"/>
      <c r="F115" s="24"/>
      <c r="G115" s="24"/>
      <c r="H115" s="24"/>
    </row>
    <row r="116" spans="1:8" ht="15" x14ac:dyDescent="0.25">
      <c r="A116" s="24"/>
      <c r="B116" s="24"/>
      <c r="C116" s="24"/>
      <c r="D116" s="24"/>
      <c r="E116" s="24"/>
      <c r="F116" s="24"/>
      <c r="G116" s="24"/>
      <c r="H116" s="24"/>
    </row>
    <row r="117" spans="1:8" ht="15" x14ac:dyDescent="0.25">
      <c r="A117" s="24"/>
      <c r="B117" s="24"/>
      <c r="C117" s="24"/>
      <c r="D117" s="24"/>
      <c r="E117" s="24"/>
      <c r="F117" s="24"/>
      <c r="G117" s="24"/>
      <c r="H117" s="24"/>
    </row>
    <row r="118" spans="1:8" ht="15" x14ac:dyDescent="0.25">
      <c r="A118" s="24"/>
      <c r="B118" s="24"/>
      <c r="C118" s="24"/>
      <c r="D118" s="24"/>
      <c r="E118" s="24"/>
      <c r="F118" s="24"/>
      <c r="G118" s="24"/>
      <c r="H118" s="24"/>
    </row>
    <row r="119" spans="1:8" ht="15" x14ac:dyDescent="0.25">
      <c r="A119" s="24"/>
      <c r="B119" s="24"/>
      <c r="C119" s="24"/>
      <c r="D119" s="24"/>
      <c r="E119" s="24"/>
      <c r="F119" s="24"/>
      <c r="G119" s="24"/>
      <c r="H119" s="24"/>
    </row>
    <row r="120" spans="1:8" ht="15" x14ac:dyDescent="0.25">
      <c r="A120" s="24"/>
      <c r="B120" s="24"/>
      <c r="C120" s="24"/>
      <c r="D120" s="24"/>
      <c r="E120" s="24"/>
      <c r="F120" s="24"/>
      <c r="G120" s="24"/>
      <c r="H120" s="24"/>
    </row>
    <row r="121" spans="1:8" ht="15" x14ac:dyDescent="0.25">
      <c r="A121" s="24"/>
      <c r="B121" s="24"/>
      <c r="C121" s="24"/>
      <c r="D121" s="24"/>
      <c r="E121" s="24"/>
      <c r="F121" s="24"/>
      <c r="G121" s="24"/>
      <c r="H121" s="24"/>
    </row>
    <row r="122" spans="1:8" ht="15" x14ac:dyDescent="0.25">
      <c r="A122" s="24"/>
      <c r="B122" s="24"/>
      <c r="C122" s="24"/>
      <c r="D122" s="24"/>
      <c r="E122" s="24"/>
      <c r="F122" s="24"/>
      <c r="G122" s="24"/>
      <c r="H122" s="24"/>
    </row>
    <row r="123" spans="1:8" ht="15" x14ac:dyDescent="0.25">
      <c r="A123" s="24"/>
      <c r="B123" s="24"/>
      <c r="C123" s="24"/>
      <c r="D123" s="24"/>
      <c r="E123" s="24"/>
      <c r="F123" s="24"/>
      <c r="G123" s="24"/>
      <c r="H123" s="24"/>
    </row>
    <row r="124" spans="1:8" ht="15" x14ac:dyDescent="0.25">
      <c r="A124" s="24"/>
      <c r="B124" s="24"/>
      <c r="C124" s="24"/>
      <c r="D124" s="24"/>
      <c r="E124" s="24"/>
      <c r="F124" s="24"/>
      <c r="G124" s="24"/>
      <c r="H124" s="24"/>
    </row>
    <row r="125" spans="1:8" ht="15" x14ac:dyDescent="0.25">
      <c r="A125" s="24"/>
      <c r="B125" s="24"/>
      <c r="C125" s="24"/>
      <c r="D125" s="24"/>
      <c r="E125" s="24"/>
      <c r="F125" s="24"/>
      <c r="G125" s="24"/>
      <c r="H125" s="24"/>
    </row>
    <row r="126" spans="1:8" ht="15" x14ac:dyDescent="0.25">
      <c r="A126" s="24"/>
      <c r="B126" s="24"/>
      <c r="C126" s="24"/>
      <c r="D126" s="24"/>
      <c r="E126" s="24"/>
      <c r="F126" s="24"/>
      <c r="G126" s="24"/>
      <c r="H126" s="24"/>
    </row>
    <row r="127" spans="1:8" ht="15" x14ac:dyDescent="0.25">
      <c r="A127" s="24"/>
      <c r="B127" s="24"/>
      <c r="C127" s="24"/>
      <c r="D127" s="24"/>
      <c r="E127" s="24"/>
      <c r="F127" s="24"/>
      <c r="G127" s="24"/>
      <c r="H127" s="24"/>
    </row>
    <row r="128" spans="1:8" ht="15" x14ac:dyDescent="0.25">
      <c r="A128" s="24"/>
      <c r="B128" s="24"/>
      <c r="C128" s="24"/>
      <c r="D128" s="24"/>
      <c r="E128" s="24"/>
      <c r="F128" s="24"/>
      <c r="G128" s="24"/>
      <c r="H128" s="24"/>
    </row>
    <row r="129" spans="1:8" ht="15" x14ac:dyDescent="0.25">
      <c r="A129" s="24"/>
      <c r="B129" s="24"/>
      <c r="C129" s="24"/>
      <c r="D129" s="24"/>
      <c r="E129" s="24"/>
      <c r="F129" s="24"/>
      <c r="G129" s="24"/>
      <c r="H129" s="24"/>
    </row>
    <row r="130" spans="1:8" ht="15" x14ac:dyDescent="0.25">
      <c r="A130" s="24"/>
      <c r="B130" s="24"/>
      <c r="C130" s="24"/>
      <c r="D130" s="24"/>
      <c r="E130" s="24"/>
      <c r="F130" s="24"/>
      <c r="G130" s="24"/>
      <c r="H130" s="24"/>
    </row>
    <row r="131" spans="1:8" ht="15" x14ac:dyDescent="0.25">
      <c r="A131" s="24"/>
      <c r="B131" s="24"/>
      <c r="C131" s="24"/>
      <c r="D131" s="24"/>
      <c r="E131" s="24"/>
      <c r="F131" s="24"/>
      <c r="G131" s="24"/>
      <c r="H131" s="24"/>
    </row>
    <row r="132" spans="1:8" ht="15" x14ac:dyDescent="0.25">
      <c r="A132" s="24"/>
      <c r="B132" s="24"/>
      <c r="C132" s="24"/>
      <c r="D132" s="24"/>
      <c r="E132" s="24"/>
      <c r="F132" s="24"/>
      <c r="G132" s="24"/>
      <c r="H132" s="24"/>
    </row>
    <row r="133" spans="1:8" ht="15" x14ac:dyDescent="0.25">
      <c r="A133" s="24"/>
      <c r="B133" s="24"/>
      <c r="C133" s="24"/>
      <c r="D133" s="24"/>
      <c r="E133" s="24"/>
      <c r="F133" s="24"/>
      <c r="G133" s="24"/>
      <c r="H133" s="24"/>
    </row>
    <row r="134" spans="1:8" ht="15" x14ac:dyDescent="0.25">
      <c r="A134" s="24"/>
      <c r="B134" s="24"/>
      <c r="C134" s="24"/>
      <c r="D134" s="24"/>
      <c r="E134" s="24"/>
      <c r="F134" s="24"/>
      <c r="G134" s="24"/>
      <c r="H134" s="24"/>
    </row>
    <row r="135" spans="1:8" ht="15" x14ac:dyDescent="0.25">
      <c r="A135" s="24"/>
      <c r="B135" s="24"/>
      <c r="C135" s="24"/>
      <c r="D135" s="24"/>
      <c r="E135" s="24"/>
      <c r="F135" s="24"/>
      <c r="G135" s="24"/>
      <c r="H135" s="24"/>
    </row>
    <row r="136" spans="1:8" ht="15" x14ac:dyDescent="0.25">
      <c r="A136" s="24"/>
      <c r="B136" s="24"/>
      <c r="C136" s="24"/>
      <c r="D136" s="24"/>
      <c r="E136" s="24"/>
      <c r="F136" s="24"/>
      <c r="G136" s="24"/>
      <c r="H136" s="24"/>
    </row>
    <row r="137" spans="1:8" ht="15" x14ac:dyDescent="0.25">
      <c r="A137" s="24"/>
      <c r="B137" s="24"/>
      <c r="C137" s="24"/>
      <c r="D137" s="24"/>
      <c r="E137" s="24"/>
      <c r="F137" s="24"/>
      <c r="G137" s="24"/>
      <c r="H137" s="24"/>
    </row>
    <row r="138" spans="1:8" ht="15" x14ac:dyDescent="0.25">
      <c r="A138" s="24"/>
      <c r="B138" s="24"/>
      <c r="C138" s="24"/>
      <c r="D138" s="24"/>
      <c r="E138" s="24"/>
      <c r="F138" s="24"/>
      <c r="G138" s="24"/>
      <c r="H138" s="24"/>
    </row>
    <row r="139" spans="1:8" ht="15" x14ac:dyDescent="0.25">
      <c r="A139" s="24"/>
      <c r="B139" s="24"/>
      <c r="C139" s="24"/>
      <c r="D139" s="24"/>
      <c r="E139" s="24"/>
      <c r="F139" s="24"/>
      <c r="G139" s="24"/>
      <c r="H139" s="24"/>
    </row>
    <row r="140" spans="1:8" ht="15" x14ac:dyDescent="0.25">
      <c r="A140" s="24"/>
      <c r="B140" s="24"/>
      <c r="C140" s="24"/>
      <c r="D140" s="24"/>
      <c r="E140" s="24"/>
      <c r="F140" s="24"/>
      <c r="G140" s="24"/>
      <c r="H140" s="24"/>
    </row>
    <row r="141" spans="1:8" ht="15" x14ac:dyDescent="0.25">
      <c r="A141" s="24"/>
      <c r="B141" s="24"/>
      <c r="C141" s="24"/>
      <c r="D141" s="24"/>
      <c r="E141" s="24"/>
      <c r="F141" s="24"/>
      <c r="G141" s="24"/>
      <c r="H141" s="24"/>
    </row>
    <row r="142" spans="1:8" ht="15" x14ac:dyDescent="0.25">
      <c r="A142" s="24"/>
      <c r="B142" s="24"/>
      <c r="C142" s="24"/>
      <c r="D142" s="24"/>
      <c r="E142" s="24"/>
      <c r="F142" s="24"/>
      <c r="G142" s="24"/>
      <c r="H142" s="24"/>
    </row>
    <row r="143" spans="1:8" ht="15" x14ac:dyDescent="0.25">
      <c r="A143" s="24"/>
      <c r="B143" s="24"/>
      <c r="C143" s="24"/>
      <c r="D143" s="24"/>
      <c r="E143" s="24"/>
      <c r="F143" s="24"/>
      <c r="G143" s="24"/>
      <c r="H143" s="24"/>
    </row>
    <row r="144" spans="1:8" ht="15" x14ac:dyDescent="0.25">
      <c r="A144" s="24"/>
      <c r="B144" s="24"/>
      <c r="C144" s="24"/>
      <c r="D144" s="24"/>
      <c r="E144" s="24"/>
      <c r="F144" s="24"/>
      <c r="G144" s="24"/>
      <c r="H144" s="24"/>
    </row>
    <row r="145" spans="1:8" ht="15" x14ac:dyDescent="0.25">
      <c r="A145" s="24"/>
      <c r="B145" s="24"/>
      <c r="C145" s="24"/>
      <c r="D145" s="24"/>
      <c r="E145" s="24"/>
      <c r="F145" s="24"/>
      <c r="G145" s="24"/>
      <c r="H145" s="24"/>
    </row>
    <row r="146" spans="1:8" ht="15" x14ac:dyDescent="0.25">
      <c r="A146" s="24"/>
      <c r="B146" s="24"/>
      <c r="C146" s="24"/>
      <c r="D146" s="24"/>
      <c r="E146" s="24"/>
      <c r="F146" s="24"/>
      <c r="G146" s="24"/>
      <c r="H146" s="24"/>
    </row>
    <row r="147" spans="1:8" ht="15" x14ac:dyDescent="0.25">
      <c r="A147" s="24"/>
      <c r="B147" s="24"/>
      <c r="C147" s="24"/>
      <c r="D147" s="24"/>
      <c r="E147" s="24"/>
      <c r="F147" s="24"/>
      <c r="G147" s="24"/>
      <c r="H147" s="24"/>
    </row>
    <row r="148" spans="1:8" ht="15" x14ac:dyDescent="0.25">
      <c r="A148" s="24"/>
      <c r="B148" s="24"/>
      <c r="C148" s="24"/>
      <c r="D148" s="24"/>
      <c r="E148" s="24"/>
      <c r="F148" s="24"/>
      <c r="G148" s="24"/>
      <c r="H148" s="24"/>
    </row>
    <row r="149" spans="1:8" ht="15" x14ac:dyDescent="0.25">
      <c r="A149" s="24"/>
      <c r="B149" s="24"/>
      <c r="C149" s="24"/>
      <c r="D149" s="24"/>
      <c r="E149" s="24"/>
      <c r="F149" s="24"/>
      <c r="G149" s="24"/>
      <c r="H149" s="24"/>
    </row>
    <row r="150" spans="1:8" ht="15" x14ac:dyDescent="0.25">
      <c r="A150" s="24"/>
      <c r="B150" s="24"/>
      <c r="C150" s="24"/>
      <c r="D150" s="24"/>
      <c r="E150" s="24"/>
      <c r="F150" s="24"/>
      <c r="G150" s="24"/>
      <c r="H150" s="24"/>
    </row>
    <row r="151" spans="1:8" ht="15" x14ac:dyDescent="0.25">
      <c r="A151" s="24"/>
      <c r="B151" s="24"/>
      <c r="C151" s="24"/>
      <c r="D151" s="24"/>
      <c r="E151" s="24"/>
      <c r="F151" s="24"/>
      <c r="G151" s="24"/>
      <c r="H151" s="24"/>
    </row>
    <row r="152" spans="1:8" ht="15" x14ac:dyDescent="0.25">
      <c r="A152" s="24"/>
      <c r="B152" s="24"/>
      <c r="C152" s="24"/>
      <c r="D152" s="24"/>
      <c r="E152" s="24"/>
      <c r="F152" s="24"/>
      <c r="G152" s="24"/>
      <c r="H152" s="24"/>
    </row>
    <row r="153" spans="1:8" ht="15" x14ac:dyDescent="0.25">
      <c r="A153" s="24"/>
      <c r="B153" s="24"/>
      <c r="C153" s="24"/>
      <c r="D153" s="24"/>
      <c r="E153" s="24"/>
      <c r="F153" s="24"/>
      <c r="G153" s="24"/>
      <c r="H153" s="24"/>
    </row>
    <row r="154" spans="1:8" ht="15" x14ac:dyDescent="0.25">
      <c r="A154" s="24"/>
      <c r="B154" s="24"/>
      <c r="C154" s="24"/>
      <c r="D154" s="24"/>
      <c r="E154" s="24"/>
      <c r="F154" s="24"/>
      <c r="G154" s="24"/>
      <c r="H154" s="24"/>
    </row>
    <row r="155" spans="1:8" ht="15" x14ac:dyDescent="0.25">
      <c r="A155" s="24"/>
      <c r="B155" s="24"/>
      <c r="C155" s="24"/>
      <c r="D155" s="24"/>
      <c r="E155" s="24"/>
      <c r="F155" s="24"/>
      <c r="G155" s="24"/>
      <c r="H155" s="24"/>
    </row>
    <row r="156" spans="1:8" ht="15" x14ac:dyDescent="0.25">
      <c r="A156" s="24"/>
      <c r="B156" s="24"/>
      <c r="C156" s="24"/>
      <c r="D156" s="24"/>
      <c r="E156" s="24"/>
      <c r="F156" s="24"/>
      <c r="G156" s="24"/>
      <c r="H156" s="24"/>
    </row>
    <row r="157" spans="1:8" ht="15" x14ac:dyDescent="0.25">
      <c r="A157" s="24"/>
      <c r="B157" s="24"/>
      <c r="C157" s="24"/>
      <c r="D157" s="24"/>
      <c r="E157" s="24"/>
      <c r="F157" s="24"/>
      <c r="G157" s="24"/>
      <c r="H157" s="24"/>
    </row>
    <row r="158" spans="1:8" ht="15" x14ac:dyDescent="0.25">
      <c r="A158" s="24"/>
      <c r="B158" s="24"/>
      <c r="C158" s="24"/>
      <c r="D158" s="24"/>
      <c r="E158" s="24"/>
      <c r="F158" s="24"/>
      <c r="G158" s="24"/>
      <c r="H158" s="24"/>
    </row>
    <row r="159" spans="1:8" ht="15" x14ac:dyDescent="0.25">
      <c r="A159" s="24"/>
      <c r="B159" s="24"/>
      <c r="C159" s="24"/>
      <c r="D159" s="24"/>
      <c r="E159" s="24"/>
      <c r="F159" s="24"/>
      <c r="G159" s="24"/>
      <c r="H159" s="24"/>
    </row>
    <row r="160" spans="1:8" ht="15" x14ac:dyDescent="0.25">
      <c r="A160" s="24"/>
      <c r="B160" s="24"/>
      <c r="C160" s="24"/>
      <c r="D160" s="24"/>
      <c r="E160" s="24"/>
      <c r="F160" s="24"/>
      <c r="G160" s="24"/>
      <c r="H160" s="24"/>
    </row>
    <row r="161" spans="1:8" ht="15" x14ac:dyDescent="0.25">
      <c r="A161" s="24"/>
      <c r="B161" s="24"/>
      <c r="C161" s="24"/>
      <c r="D161" s="24"/>
      <c r="E161" s="24"/>
      <c r="F161" s="24"/>
      <c r="G161" s="24"/>
      <c r="H161" s="24"/>
    </row>
    <row r="162" spans="1:8" ht="15" x14ac:dyDescent="0.25">
      <c r="A162" s="24"/>
      <c r="B162" s="24"/>
      <c r="C162" s="24"/>
      <c r="D162" s="24"/>
      <c r="E162" s="24"/>
      <c r="F162" s="24"/>
      <c r="G162" s="24"/>
      <c r="H162" s="24"/>
    </row>
    <row r="163" spans="1:8" ht="15" x14ac:dyDescent="0.25">
      <c r="A163" s="24"/>
      <c r="B163" s="24"/>
      <c r="C163" s="24"/>
      <c r="D163" s="24"/>
      <c r="E163" s="24"/>
      <c r="F163" s="24"/>
      <c r="G163" s="24"/>
      <c r="H163" s="24"/>
    </row>
    <row r="164" spans="1:8" ht="15" x14ac:dyDescent="0.25">
      <c r="A164" s="24"/>
      <c r="B164" s="24"/>
      <c r="C164" s="24"/>
      <c r="D164" s="24"/>
      <c r="E164" s="24"/>
      <c r="F164" s="24"/>
      <c r="G164" s="24"/>
      <c r="H164" s="24"/>
    </row>
    <row r="165" spans="1:8" ht="15" x14ac:dyDescent="0.25">
      <c r="A165" s="24"/>
      <c r="B165" s="24"/>
      <c r="C165" s="24"/>
      <c r="D165" s="24"/>
      <c r="E165" s="24"/>
      <c r="F165" s="24"/>
      <c r="G165" s="24"/>
      <c r="H165" s="24"/>
    </row>
    <row r="166" spans="1:8" ht="15" x14ac:dyDescent="0.25">
      <c r="A166" s="24"/>
      <c r="B166" s="24"/>
      <c r="C166" s="24"/>
      <c r="D166" s="24"/>
      <c r="E166" s="24"/>
      <c r="F166" s="24"/>
      <c r="G166" s="24"/>
      <c r="H166" s="24"/>
    </row>
    <row r="167" spans="1:8" ht="15" x14ac:dyDescent="0.25">
      <c r="A167" s="24"/>
      <c r="B167" s="24"/>
      <c r="C167" s="24"/>
      <c r="D167" s="24"/>
      <c r="E167" s="24"/>
      <c r="F167" s="24"/>
      <c r="G167" s="24"/>
      <c r="H167" s="24"/>
    </row>
    <row r="168" spans="1:8" ht="15" x14ac:dyDescent="0.25">
      <c r="A168" s="24"/>
      <c r="B168" s="24"/>
      <c r="C168" s="24"/>
      <c r="D168" s="24"/>
      <c r="E168" s="24"/>
      <c r="F168" s="24"/>
      <c r="G168" s="24"/>
      <c r="H168" s="24"/>
    </row>
    <row r="169" spans="1:8" ht="15" x14ac:dyDescent="0.25">
      <c r="A169" s="24"/>
      <c r="B169" s="24"/>
      <c r="C169" s="24"/>
      <c r="D169" s="24"/>
      <c r="E169" s="24"/>
      <c r="F169" s="24"/>
      <c r="G169" s="24"/>
      <c r="H169" s="24"/>
    </row>
    <row r="170" spans="1:8" ht="15" x14ac:dyDescent="0.25">
      <c r="A170" s="24"/>
      <c r="B170" s="24"/>
      <c r="C170" s="24"/>
      <c r="D170" s="24"/>
      <c r="E170" s="24"/>
      <c r="F170" s="24"/>
      <c r="G170" s="24"/>
      <c r="H170" s="24"/>
    </row>
    <row r="171" spans="1:8" ht="15" x14ac:dyDescent="0.25">
      <c r="A171" s="24"/>
      <c r="B171" s="24"/>
      <c r="C171" s="24"/>
      <c r="D171" s="24"/>
      <c r="E171" s="24"/>
      <c r="F171" s="24"/>
      <c r="G171" s="24"/>
      <c r="H171" s="24"/>
    </row>
    <row r="172" spans="1:8" ht="15" x14ac:dyDescent="0.25">
      <c r="A172" s="24"/>
      <c r="B172" s="24"/>
      <c r="C172" s="24"/>
      <c r="D172" s="24"/>
      <c r="E172" s="24"/>
      <c r="F172" s="24"/>
      <c r="G172" s="24"/>
      <c r="H172" s="24"/>
    </row>
    <row r="173" spans="1:8" ht="15" x14ac:dyDescent="0.25">
      <c r="A173" s="24"/>
      <c r="B173" s="24"/>
      <c r="C173" s="24"/>
      <c r="D173" s="24"/>
      <c r="E173" s="24"/>
      <c r="F173" s="24"/>
      <c r="G173" s="24"/>
      <c r="H173" s="24"/>
    </row>
    <row r="174" spans="1:8" ht="15" x14ac:dyDescent="0.25">
      <c r="A174" s="24"/>
      <c r="B174" s="24"/>
      <c r="C174" s="24"/>
      <c r="D174" s="24"/>
      <c r="E174" s="24"/>
      <c r="F174" s="24"/>
      <c r="G174" s="24"/>
      <c r="H174" s="24"/>
    </row>
    <row r="175" spans="1:8" ht="15" x14ac:dyDescent="0.25">
      <c r="A175" s="24"/>
      <c r="B175" s="24"/>
      <c r="C175" s="24"/>
      <c r="D175" s="24"/>
      <c r="E175" s="24"/>
      <c r="F175" s="24"/>
      <c r="G175" s="24"/>
      <c r="H175" s="24"/>
    </row>
    <row r="176" spans="1:8" ht="15" x14ac:dyDescent="0.25">
      <c r="A176" s="24"/>
      <c r="B176" s="24"/>
      <c r="C176" s="24"/>
      <c r="D176" s="24"/>
      <c r="E176" s="24"/>
      <c r="F176" s="24"/>
      <c r="G176" s="24"/>
      <c r="H176" s="24"/>
    </row>
    <row r="177" spans="1:8" ht="15" x14ac:dyDescent="0.25">
      <c r="A177" s="24"/>
      <c r="B177" s="24"/>
      <c r="C177" s="24"/>
      <c r="D177" s="24"/>
      <c r="E177" s="24"/>
      <c r="F177" s="24"/>
      <c r="G177" s="24"/>
      <c r="H177" s="24"/>
    </row>
    <row r="178" spans="1:8" ht="15" x14ac:dyDescent="0.25">
      <c r="A178" s="24"/>
      <c r="B178" s="24"/>
      <c r="C178" s="24"/>
      <c r="D178" s="24"/>
      <c r="E178" s="24"/>
      <c r="F178" s="24"/>
      <c r="G178" s="24"/>
      <c r="H178" s="24"/>
    </row>
    <row r="179" spans="1:8" ht="15" x14ac:dyDescent="0.25">
      <c r="A179" s="24"/>
      <c r="B179" s="24"/>
      <c r="C179" s="24"/>
      <c r="D179" s="24"/>
      <c r="E179" s="24"/>
      <c r="F179" s="24"/>
      <c r="G179" s="24"/>
      <c r="H179" s="24"/>
    </row>
    <row r="180" spans="1:8" ht="15" x14ac:dyDescent="0.25">
      <c r="A180" s="24"/>
      <c r="B180" s="24"/>
      <c r="C180" s="24"/>
      <c r="D180" s="24"/>
      <c r="E180" s="24"/>
      <c r="F180" s="24"/>
      <c r="G180" s="24"/>
      <c r="H180" s="24"/>
    </row>
    <row r="181" spans="1:8" ht="15" x14ac:dyDescent="0.25">
      <c r="A181" s="24"/>
      <c r="B181" s="24"/>
      <c r="C181" s="24"/>
      <c r="D181" s="24"/>
      <c r="E181" s="24"/>
      <c r="F181" s="24"/>
      <c r="G181" s="24"/>
      <c r="H181" s="24"/>
    </row>
    <row r="182" spans="1:8" ht="15" x14ac:dyDescent="0.25">
      <c r="A182" s="24"/>
      <c r="B182" s="24"/>
      <c r="C182" s="24"/>
      <c r="D182" s="24"/>
      <c r="E182" s="24"/>
      <c r="F182" s="24"/>
      <c r="G182" s="24"/>
      <c r="H182" s="24"/>
    </row>
    <row r="183" spans="1:8" ht="15" x14ac:dyDescent="0.25">
      <c r="A183" s="24"/>
      <c r="B183" s="24"/>
      <c r="C183" s="24"/>
      <c r="D183" s="24"/>
      <c r="E183" s="24"/>
      <c r="F183" s="24"/>
      <c r="G183" s="24"/>
      <c r="H183" s="24"/>
    </row>
    <row r="184" spans="1:8" ht="15" x14ac:dyDescent="0.25">
      <c r="A184" s="24"/>
      <c r="B184" s="24"/>
      <c r="C184" s="24"/>
      <c r="D184" s="24"/>
      <c r="E184" s="24"/>
      <c r="F184" s="24"/>
      <c r="G184" s="24"/>
      <c r="H184" s="24"/>
    </row>
    <row r="185" spans="1:8" ht="15" x14ac:dyDescent="0.25">
      <c r="A185" s="24"/>
      <c r="B185" s="24"/>
      <c r="C185" s="24"/>
      <c r="D185" s="24"/>
      <c r="E185" s="24"/>
      <c r="F185" s="24"/>
      <c r="G185" s="24"/>
      <c r="H185" s="24"/>
    </row>
    <row r="186" spans="1:8" ht="15" x14ac:dyDescent="0.25">
      <c r="A186" s="24"/>
      <c r="B186" s="24"/>
      <c r="C186" s="24"/>
      <c r="D186" s="24"/>
      <c r="E186" s="24"/>
      <c r="F186" s="24"/>
      <c r="G186" s="24"/>
      <c r="H186" s="24"/>
    </row>
    <row r="187" spans="1:8" ht="15" x14ac:dyDescent="0.25">
      <c r="A187" s="24"/>
      <c r="B187" s="24"/>
      <c r="C187" s="24"/>
      <c r="D187" s="24"/>
      <c r="E187" s="24"/>
      <c r="F187" s="24"/>
      <c r="G187" s="24"/>
      <c r="H187" s="24"/>
    </row>
    <row r="188" spans="1:8" ht="15" x14ac:dyDescent="0.25">
      <c r="A188" s="24"/>
      <c r="B188" s="24"/>
      <c r="C188" s="24"/>
      <c r="D188" s="24"/>
      <c r="E188" s="24"/>
      <c r="F188" s="24"/>
      <c r="G188" s="24"/>
      <c r="H188" s="24"/>
    </row>
    <row r="189" spans="1:8" ht="15" x14ac:dyDescent="0.25">
      <c r="A189" s="24"/>
      <c r="B189" s="24"/>
      <c r="C189" s="24"/>
      <c r="D189" s="24"/>
      <c r="E189" s="24"/>
      <c r="F189" s="24"/>
      <c r="G189" s="24"/>
      <c r="H189" s="24"/>
    </row>
    <row r="190" spans="1:8" ht="15" x14ac:dyDescent="0.25">
      <c r="A190" s="24"/>
      <c r="B190" s="24"/>
      <c r="C190" s="24"/>
      <c r="D190" s="24"/>
      <c r="E190" s="24"/>
      <c r="F190" s="24"/>
      <c r="G190" s="24"/>
      <c r="H190" s="24"/>
    </row>
    <row r="191" spans="1:8" ht="15" x14ac:dyDescent="0.25">
      <c r="A191" s="24"/>
      <c r="B191" s="24"/>
      <c r="C191" s="24"/>
      <c r="D191" s="24"/>
      <c r="E191" s="24"/>
      <c r="F191" s="24"/>
      <c r="G191" s="24"/>
      <c r="H191" s="24"/>
    </row>
    <row r="192" spans="1:8" ht="15" x14ac:dyDescent="0.25">
      <c r="A192" s="24"/>
      <c r="B192" s="24"/>
      <c r="C192" s="24"/>
      <c r="D192" s="24"/>
      <c r="E192" s="24"/>
      <c r="F192" s="24"/>
      <c r="G192" s="24"/>
      <c r="H192" s="24"/>
    </row>
    <row r="193" spans="1:8" ht="15" x14ac:dyDescent="0.25">
      <c r="A193" s="24"/>
      <c r="B193" s="24"/>
      <c r="C193" s="24"/>
      <c r="D193" s="24"/>
      <c r="E193" s="24"/>
      <c r="F193" s="24"/>
      <c r="G193" s="24"/>
      <c r="H193" s="24"/>
    </row>
    <row r="194" spans="1:8" ht="15" x14ac:dyDescent="0.25">
      <c r="A194" s="24"/>
      <c r="B194" s="24"/>
      <c r="C194" s="24"/>
      <c r="D194" s="24"/>
      <c r="E194" s="24"/>
      <c r="F194" s="24"/>
      <c r="G194" s="24"/>
      <c r="H194" s="24"/>
    </row>
    <row r="195" spans="1:8" ht="15" x14ac:dyDescent="0.25">
      <c r="A195" s="24"/>
      <c r="B195" s="24"/>
      <c r="C195" s="24"/>
      <c r="D195" s="24"/>
      <c r="E195" s="24"/>
      <c r="F195" s="24"/>
      <c r="G195" s="24"/>
      <c r="H195" s="24"/>
    </row>
    <row r="196" spans="1:8" ht="15" x14ac:dyDescent="0.25">
      <c r="A196" s="24"/>
      <c r="B196" s="24"/>
      <c r="C196" s="24"/>
      <c r="D196" s="24"/>
      <c r="E196" s="24"/>
      <c r="F196" s="24"/>
      <c r="G196" s="24"/>
      <c r="H196" s="24"/>
    </row>
    <row r="197" spans="1:8" ht="15" x14ac:dyDescent="0.25">
      <c r="A197" s="24"/>
      <c r="B197" s="24"/>
      <c r="C197" s="24"/>
      <c r="D197" s="24"/>
      <c r="E197" s="24"/>
      <c r="F197" s="24"/>
      <c r="G197" s="24"/>
      <c r="H197" s="24"/>
    </row>
    <row r="198" spans="1:8" ht="15" x14ac:dyDescent="0.25">
      <c r="A198" s="24"/>
      <c r="B198" s="24"/>
      <c r="C198" s="24"/>
      <c r="D198" s="24"/>
      <c r="E198" s="24"/>
      <c r="F198" s="24"/>
      <c r="G198" s="24"/>
      <c r="H198" s="24"/>
    </row>
    <row r="199" spans="1:8" ht="15" x14ac:dyDescent="0.25">
      <c r="A199" s="24"/>
      <c r="B199" s="24"/>
      <c r="C199" s="24"/>
      <c r="D199" s="24"/>
      <c r="E199" s="24"/>
      <c r="F199" s="24"/>
      <c r="G199" s="24"/>
      <c r="H199" s="24"/>
    </row>
    <row r="200" spans="1:8" ht="15" x14ac:dyDescent="0.25">
      <c r="A200" s="24"/>
      <c r="B200" s="24"/>
      <c r="C200" s="24"/>
      <c r="D200" s="24"/>
      <c r="E200" s="24"/>
      <c r="F200" s="24"/>
      <c r="G200" s="24"/>
      <c r="H200" s="24"/>
    </row>
    <row r="201" spans="1:8" ht="15" x14ac:dyDescent="0.25">
      <c r="A201" s="24"/>
      <c r="B201" s="24"/>
      <c r="C201" s="24"/>
      <c r="D201" s="24"/>
      <c r="E201" s="24"/>
      <c r="F201" s="24"/>
      <c r="G201" s="24"/>
      <c r="H201" s="24"/>
    </row>
    <row r="202" spans="1:8" ht="15" x14ac:dyDescent="0.25">
      <c r="A202" s="24"/>
      <c r="B202" s="24"/>
      <c r="C202" s="24"/>
      <c r="D202" s="24"/>
      <c r="E202" s="24"/>
      <c r="F202" s="24"/>
      <c r="G202" s="24"/>
      <c r="H202" s="24"/>
    </row>
    <row r="203" spans="1:8" ht="15" x14ac:dyDescent="0.25">
      <c r="A203" s="24"/>
      <c r="B203" s="24"/>
      <c r="C203" s="24"/>
      <c r="D203" s="24"/>
      <c r="E203" s="24"/>
      <c r="F203" s="24"/>
      <c r="G203" s="24"/>
      <c r="H203" s="24"/>
    </row>
    <row r="204" spans="1:8" ht="15" x14ac:dyDescent="0.25">
      <c r="A204" s="24"/>
      <c r="B204" s="24"/>
      <c r="C204" s="24"/>
      <c r="D204" s="24"/>
      <c r="E204" s="24"/>
      <c r="F204" s="24"/>
      <c r="G204" s="24"/>
      <c r="H204" s="24"/>
    </row>
    <row r="205" spans="1:8" ht="15" x14ac:dyDescent="0.25">
      <c r="A205" s="24"/>
      <c r="B205" s="24"/>
      <c r="C205" s="24"/>
      <c r="D205" s="24"/>
      <c r="E205" s="24"/>
      <c r="F205" s="24"/>
      <c r="G205" s="24"/>
      <c r="H205" s="24"/>
    </row>
    <row r="206" spans="1:8" ht="15" x14ac:dyDescent="0.25">
      <c r="A206" s="24"/>
      <c r="B206" s="24"/>
      <c r="C206" s="24"/>
      <c r="D206" s="24"/>
      <c r="E206" s="24"/>
      <c r="F206" s="24"/>
      <c r="G206" s="24"/>
      <c r="H206" s="24"/>
    </row>
    <row r="207" spans="1:8" ht="15" x14ac:dyDescent="0.25">
      <c r="A207" s="24"/>
      <c r="B207" s="24"/>
      <c r="C207" s="24"/>
      <c r="D207" s="24"/>
      <c r="E207" s="24"/>
      <c r="F207" s="24"/>
      <c r="G207" s="24"/>
      <c r="H207" s="24"/>
    </row>
    <row r="208" spans="1:8" ht="15" x14ac:dyDescent="0.25">
      <c r="A208" s="24"/>
      <c r="B208" s="24"/>
      <c r="C208" s="24"/>
      <c r="D208" s="24"/>
      <c r="E208" s="24"/>
      <c r="F208" s="24"/>
      <c r="G208" s="24"/>
      <c r="H208" s="24"/>
    </row>
    <row r="209" spans="1:8" ht="15" x14ac:dyDescent="0.25">
      <c r="A209" s="24"/>
      <c r="B209" s="24"/>
      <c r="C209" s="24"/>
      <c r="D209" s="24"/>
      <c r="E209" s="24"/>
      <c r="F209" s="24"/>
      <c r="G209" s="24"/>
      <c r="H209" s="24"/>
    </row>
    <row r="210" spans="1:8" ht="15" x14ac:dyDescent="0.25">
      <c r="A210" s="24"/>
      <c r="B210" s="24"/>
      <c r="C210" s="24"/>
      <c r="D210" s="24"/>
      <c r="E210" s="24"/>
      <c r="F210" s="24"/>
      <c r="G210" s="24"/>
      <c r="H210" s="24"/>
    </row>
    <row r="211" spans="1:8" ht="15" x14ac:dyDescent="0.25">
      <c r="A211" s="24"/>
      <c r="B211" s="24"/>
      <c r="C211" s="24"/>
      <c r="D211" s="24"/>
      <c r="E211" s="24"/>
      <c r="F211" s="24"/>
      <c r="G211" s="24"/>
      <c r="H211" s="24"/>
    </row>
    <row r="212" spans="1:8" ht="15" x14ac:dyDescent="0.25">
      <c r="A212" s="24"/>
      <c r="B212" s="24"/>
      <c r="C212" s="24"/>
      <c r="D212" s="24"/>
      <c r="E212" s="24"/>
      <c r="F212" s="24"/>
      <c r="G212" s="24"/>
      <c r="H212" s="24"/>
    </row>
    <row r="213" spans="1:8" ht="15" x14ac:dyDescent="0.25">
      <c r="A213" s="24"/>
      <c r="B213" s="24"/>
      <c r="C213" s="24"/>
      <c r="D213" s="24"/>
      <c r="E213" s="24"/>
      <c r="F213" s="24"/>
      <c r="G213" s="24"/>
      <c r="H213" s="24"/>
    </row>
  </sheetData>
  <mergeCells count="1">
    <mergeCell ref="B4:E4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"/>
  <sheetViews>
    <sheetView showGridLines="0" workbookViewId="0"/>
  </sheetViews>
  <sheetFormatPr defaultRowHeight="12.75" x14ac:dyDescent="0.2"/>
  <sheetData>
    <row r="1" spans="2:2" x14ac:dyDescent="0.2">
      <c r="B1" s="79" t="s">
        <v>227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211"/>
  <sheetViews>
    <sheetView showGridLines="0" workbookViewId="0"/>
  </sheetViews>
  <sheetFormatPr defaultRowHeight="12.75" x14ac:dyDescent="0.2"/>
  <cols>
    <col min="1" max="1" width="9.140625" style="34"/>
    <col min="2" max="2" width="5.42578125" style="34" bestFit="1" customWidth="1"/>
    <col min="3" max="7" width="7.5703125" style="34" bestFit="1" customWidth="1"/>
    <col min="8" max="9" width="7.5703125" style="34" customWidth="1"/>
    <col min="10" max="10" width="4" style="34" customWidth="1"/>
    <col min="11" max="13" width="3.42578125" style="34" bestFit="1" customWidth="1"/>
    <col min="14" max="14" width="4" style="34" customWidth="1"/>
    <col min="15" max="15" width="5" style="34" customWidth="1"/>
    <col min="16" max="17" width="5" customWidth="1"/>
    <col min="18" max="18" width="4" style="34" customWidth="1"/>
    <col min="19" max="19" width="5" style="34" customWidth="1"/>
    <col min="27" max="27" width="7.7109375" customWidth="1"/>
    <col min="28" max="30" width="7" customWidth="1"/>
  </cols>
  <sheetData>
    <row r="1" spans="1:31" x14ac:dyDescent="0.2">
      <c r="A1" s="34" t="s">
        <v>74</v>
      </c>
      <c r="B1" s="34" t="s">
        <v>75</v>
      </c>
      <c r="C1" s="34" t="s">
        <v>61</v>
      </c>
      <c r="D1" s="34" t="s">
        <v>62</v>
      </c>
      <c r="E1" s="34" t="s">
        <v>63</v>
      </c>
      <c r="F1" s="34" t="s">
        <v>64</v>
      </c>
      <c r="G1" s="34" t="s">
        <v>65</v>
      </c>
      <c r="H1" s="34" t="s">
        <v>122</v>
      </c>
      <c r="I1" s="34" t="s">
        <v>123</v>
      </c>
      <c r="J1" s="34" t="s">
        <v>46</v>
      </c>
      <c r="K1" s="39" t="s">
        <v>70</v>
      </c>
      <c r="L1" s="39" t="s">
        <v>71</v>
      </c>
      <c r="M1" s="39" t="s">
        <v>72</v>
      </c>
      <c r="O1" s="39" t="s">
        <v>70</v>
      </c>
      <c r="P1" s="39" t="s">
        <v>71</v>
      </c>
      <c r="Q1" s="39" t="s">
        <v>72</v>
      </c>
      <c r="S1" s="60" t="s">
        <v>111</v>
      </c>
      <c r="T1" s="61" t="s">
        <v>112</v>
      </c>
      <c r="V1" s="60" t="b">
        <v>1</v>
      </c>
      <c r="W1" s="60" t="b">
        <v>0</v>
      </c>
    </row>
    <row r="2" spans="1:31" x14ac:dyDescent="0.2">
      <c r="A2" s="33">
        <v>0.49746933184278541</v>
      </c>
      <c r="B2" s="34">
        <v>74</v>
      </c>
      <c r="C2" s="33">
        <v>0.80453257790368271</v>
      </c>
      <c r="D2" s="33">
        <v>0.79545454545454575</v>
      </c>
      <c r="E2" s="33">
        <v>0.90744101633393837</v>
      </c>
      <c r="F2" s="33">
        <v>0.70664414414414412</v>
      </c>
      <c r="G2" s="33">
        <v>0.92658588738417669</v>
      </c>
      <c r="H2" s="33">
        <v>0.28226865516389504</v>
      </c>
      <c r="I2" s="33">
        <v>0.76809453471196443</v>
      </c>
      <c r="J2" s="34">
        <v>2</v>
      </c>
      <c r="K2" s="54">
        <v>0</v>
      </c>
      <c r="L2" s="54">
        <v>1</v>
      </c>
      <c r="M2" s="54">
        <v>0</v>
      </c>
      <c r="O2" s="58">
        <v>0.29629637589957492</v>
      </c>
      <c r="P2" s="58">
        <v>0.75071662452174204</v>
      </c>
      <c r="Q2" s="58">
        <v>4.7937683526983604E-4</v>
      </c>
      <c r="S2" s="34">
        <f>IF(O2=MAX(O2:Q2),1,IF(P2=MAX(O2:Q2),2,IF(Q2=MAX(O2:Q2),3,0)))</f>
        <v>2</v>
      </c>
      <c r="T2" s="34" t="b">
        <f>S2=J2</f>
        <v>1</v>
      </c>
      <c r="V2" s="48">
        <f>COUNTIF(T2:T22,V1)/COUNT(A2:A22)</f>
        <v>1</v>
      </c>
      <c r="W2" s="48">
        <f>COUNTIF(T2:T22,W1)/COUNT(A2:A22)</f>
        <v>0</v>
      </c>
    </row>
    <row r="3" spans="1:31" x14ac:dyDescent="0.2">
      <c r="A3" s="33">
        <v>0.9830393042884199</v>
      </c>
      <c r="B3" s="34">
        <v>116</v>
      </c>
      <c r="C3" s="33">
        <v>0.79981114258734642</v>
      </c>
      <c r="D3" s="33">
        <v>0.83471074380165278</v>
      </c>
      <c r="E3" s="33">
        <v>0.7014519056261338</v>
      </c>
      <c r="F3" s="33">
        <v>0.85416666666666696</v>
      </c>
      <c r="G3" s="33">
        <v>0.77619387027797548</v>
      </c>
      <c r="H3" s="33">
        <v>0.19281228464809066</v>
      </c>
      <c r="I3" s="33">
        <v>0.80945347119645517</v>
      </c>
      <c r="J3" s="34">
        <v>2</v>
      </c>
      <c r="K3" s="54">
        <v>0</v>
      </c>
      <c r="L3" s="54">
        <v>1</v>
      </c>
      <c r="M3" s="54">
        <v>0</v>
      </c>
      <c r="O3" s="58">
        <v>0.15308144485904074</v>
      </c>
      <c r="P3" s="58">
        <v>0.88092736419988305</v>
      </c>
      <c r="Q3" s="58">
        <v>4.229580581084366E-4</v>
      </c>
      <c r="S3" s="34">
        <f t="shared" ref="S3:S22" si="0">IF(O3=MAX(O3:Q3),1,IF(P3=MAX(O3:Q3),2,IF(Q3=MAX(O3:Q3),3,0)))</f>
        <v>2</v>
      </c>
      <c r="T3" s="34" t="b">
        <f t="shared" ref="T3:T22" si="1">S3=J3</f>
        <v>1</v>
      </c>
    </row>
    <row r="4" spans="1:31" x14ac:dyDescent="0.2">
      <c r="A4" s="33">
        <v>0.65380276759722444</v>
      </c>
      <c r="B4" s="34">
        <v>60</v>
      </c>
      <c r="C4" s="33">
        <v>0.14353163361661941</v>
      </c>
      <c r="D4" s="33">
        <v>0.21900826446281002</v>
      </c>
      <c r="E4" s="33">
        <v>0.28221415607985406</v>
      </c>
      <c r="F4" s="33">
        <v>0.14639639639639629</v>
      </c>
      <c r="G4" s="33">
        <v>0.28652886671418387</v>
      </c>
      <c r="H4" s="33">
        <v>9.5814534059732948E-2</v>
      </c>
      <c r="I4" s="33">
        <v>0</v>
      </c>
      <c r="J4" s="34">
        <v>1</v>
      </c>
      <c r="K4" s="54">
        <v>1</v>
      </c>
      <c r="L4" s="54">
        <v>0</v>
      </c>
      <c r="M4" s="54">
        <v>0</v>
      </c>
      <c r="O4" s="58">
        <v>0.79917277637162154</v>
      </c>
      <c r="P4" s="58">
        <v>0.19622625201239588</v>
      </c>
      <c r="Q4" s="58">
        <v>0.10221774123124808</v>
      </c>
      <c r="S4" s="34">
        <f t="shared" si="0"/>
        <v>1</v>
      </c>
      <c r="T4" s="34" t="b">
        <f t="shared" si="1"/>
        <v>1</v>
      </c>
    </row>
    <row r="5" spans="1:31" x14ac:dyDescent="0.2">
      <c r="A5" s="33">
        <v>0.9261251977069167</v>
      </c>
      <c r="B5" s="34">
        <v>207</v>
      </c>
      <c r="C5" s="34">
        <v>6.0434372049102979E-2</v>
      </c>
      <c r="D5" s="34">
        <v>9.710743801652906E-2</v>
      </c>
      <c r="E5" s="34">
        <v>0.39019963702359295</v>
      </c>
      <c r="F5" s="34">
        <v>0.13569819819819803</v>
      </c>
      <c r="G5" s="34">
        <v>0.11760513186029935</v>
      </c>
      <c r="H5" s="34">
        <v>0.46287170552211065</v>
      </c>
      <c r="I5" s="34">
        <v>0.23830625307730186</v>
      </c>
      <c r="J5" s="34">
        <v>3</v>
      </c>
      <c r="K5" s="54">
        <v>0</v>
      </c>
      <c r="L5" s="54">
        <v>0</v>
      </c>
      <c r="M5" s="54">
        <v>1</v>
      </c>
      <c r="O5" s="58">
        <v>7.2683085313614712E-2</v>
      </c>
      <c r="P5" s="58">
        <v>1.2656789444721768E-2</v>
      </c>
      <c r="Q5" s="58">
        <v>0.97996391532943594</v>
      </c>
      <c r="S5" s="34">
        <f t="shared" si="0"/>
        <v>3</v>
      </c>
      <c r="T5" s="34" t="b">
        <f t="shared" si="1"/>
        <v>1</v>
      </c>
      <c r="W5" s="79" t="s">
        <v>236</v>
      </c>
      <c r="AE5" s="3"/>
    </row>
    <row r="6" spans="1:31" x14ac:dyDescent="0.2">
      <c r="A6" s="33">
        <v>0.1399530642872735</v>
      </c>
      <c r="B6" s="34">
        <v>26</v>
      </c>
      <c r="C6" s="33">
        <v>0.52880075542965077</v>
      </c>
      <c r="D6" s="33">
        <v>0.56818181818181823</v>
      </c>
      <c r="E6" s="33">
        <v>0.69691470054446469</v>
      </c>
      <c r="F6" s="33">
        <v>0.52590090090090102</v>
      </c>
      <c r="G6" s="33">
        <v>0.56379187455452573</v>
      </c>
      <c r="H6" s="33">
        <v>1.7930281241467193E-2</v>
      </c>
      <c r="I6" s="33">
        <v>0.3879862136878387</v>
      </c>
      <c r="J6" s="34">
        <v>1</v>
      </c>
      <c r="K6" s="54">
        <v>1</v>
      </c>
      <c r="L6" s="54">
        <v>0</v>
      </c>
      <c r="M6" s="54">
        <v>0</v>
      </c>
      <c r="O6" s="58">
        <v>0.8219983347006512</v>
      </c>
      <c r="P6" s="58">
        <v>0.18541283333055536</v>
      </c>
      <c r="Q6" s="58">
        <v>3.1158178117590067E-3</v>
      </c>
      <c r="S6" s="34">
        <f t="shared" si="0"/>
        <v>1</v>
      </c>
      <c r="T6" s="34" t="b">
        <f t="shared" si="1"/>
        <v>1</v>
      </c>
      <c r="V6" s="3"/>
      <c r="W6" s="80">
        <v>1</v>
      </c>
      <c r="X6" s="80">
        <v>2</v>
      </c>
      <c r="Y6" s="80">
        <v>3</v>
      </c>
      <c r="AE6" s="3"/>
    </row>
    <row r="7" spans="1:31" x14ac:dyDescent="0.2">
      <c r="A7" s="33">
        <v>0.2691409442242515</v>
      </c>
      <c r="B7" s="34">
        <v>182</v>
      </c>
      <c r="C7" s="33">
        <v>0.1765816808309727</v>
      </c>
      <c r="D7" s="33">
        <v>0.20661157024793389</v>
      </c>
      <c r="E7" s="33">
        <v>0.56715063520871156</v>
      </c>
      <c r="F7" s="33">
        <v>0.18975225225225212</v>
      </c>
      <c r="G7" s="33">
        <v>0.27583749109052025</v>
      </c>
      <c r="H7" s="33">
        <v>0.54894745738470141</v>
      </c>
      <c r="I7" s="33">
        <v>0.30920728705071404</v>
      </c>
      <c r="J7" s="34">
        <v>3</v>
      </c>
      <c r="K7" s="54">
        <v>0</v>
      </c>
      <c r="L7" s="54">
        <v>0</v>
      </c>
      <c r="M7" s="54">
        <v>1</v>
      </c>
      <c r="O7" s="58">
        <v>0.15086406848269868</v>
      </c>
      <c r="P7" s="58">
        <v>1.0653821844178903E-2</v>
      </c>
      <c r="Q7" s="58">
        <v>0.93434893894886539</v>
      </c>
      <c r="S7" s="34">
        <f t="shared" si="0"/>
        <v>3</v>
      </c>
      <c r="T7" s="34" t="b">
        <f t="shared" si="1"/>
        <v>1</v>
      </c>
      <c r="V7" s="81">
        <v>1</v>
      </c>
      <c r="W7" s="3">
        <f>COUNTIFS(J:J,V7,S:S,W6)</f>
        <v>4</v>
      </c>
      <c r="X7" s="3">
        <f>COUNTIFS(J:J,V7,S:S,X6)</f>
        <v>0</v>
      </c>
      <c r="Y7" s="3">
        <f>COUNTIFS(J:J,V7,S:S,Y6)</f>
        <v>0</v>
      </c>
      <c r="AE7" s="3"/>
    </row>
    <row r="8" spans="1:31" x14ac:dyDescent="0.2">
      <c r="A8" s="33">
        <v>0.2023995556807846</v>
      </c>
      <c r="B8" s="34">
        <v>101</v>
      </c>
      <c r="C8" s="33">
        <v>0.54957507082152979</v>
      </c>
      <c r="D8" s="33">
        <v>0.58677685950413216</v>
      </c>
      <c r="E8" s="33">
        <v>0.71234119782214189</v>
      </c>
      <c r="F8" s="33">
        <v>0.46114864864864868</v>
      </c>
      <c r="G8" s="33">
        <v>0.63791874554525996</v>
      </c>
      <c r="H8" s="33">
        <v>0.44882913573183897</v>
      </c>
      <c r="I8" s="33">
        <v>0.54111275233874956</v>
      </c>
      <c r="J8" s="34">
        <v>2</v>
      </c>
      <c r="K8" s="54">
        <v>0</v>
      </c>
      <c r="L8" s="54">
        <v>1</v>
      </c>
      <c r="M8" s="54">
        <v>0</v>
      </c>
      <c r="O8" s="58">
        <v>0.41144121022588603</v>
      </c>
      <c r="P8" s="58">
        <v>0.62170908206578013</v>
      </c>
      <c r="Q8" s="58">
        <v>7.949600839236147E-3</v>
      </c>
      <c r="S8" s="34">
        <f t="shared" si="0"/>
        <v>2</v>
      </c>
      <c r="T8" s="34" t="b">
        <f t="shared" si="1"/>
        <v>1</v>
      </c>
      <c r="V8" s="81">
        <v>2</v>
      </c>
      <c r="W8" s="3">
        <f>COUNTIFS(J:J,V8,S:S,W6)</f>
        <v>0</v>
      </c>
      <c r="X8" s="3">
        <f>COUNTIFS(J:J,V8,S:S,X6)</f>
        <v>9</v>
      </c>
      <c r="Y8" s="3">
        <f>COUNTIFS(J:J,V8,S:S,Y6)</f>
        <v>0</v>
      </c>
      <c r="AE8" s="3"/>
    </row>
    <row r="9" spans="1:31" x14ac:dyDescent="0.2">
      <c r="A9" s="33">
        <v>0.74189499208503951</v>
      </c>
      <c r="B9" s="34">
        <v>122</v>
      </c>
      <c r="C9" s="33">
        <v>0.71293673276676117</v>
      </c>
      <c r="D9" s="33">
        <v>0.76652892561983488</v>
      </c>
      <c r="E9" s="33">
        <v>0.62704174228675102</v>
      </c>
      <c r="F9" s="33">
        <v>0.65315315315315325</v>
      </c>
      <c r="G9" s="33">
        <v>0.66500356379187453</v>
      </c>
      <c r="H9" s="33">
        <v>0.37107490670792764</v>
      </c>
      <c r="I9" s="33">
        <v>0.73461349089118666</v>
      </c>
      <c r="J9" s="34">
        <v>2</v>
      </c>
      <c r="K9" s="54">
        <v>0</v>
      </c>
      <c r="L9" s="54">
        <v>1</v>
      </c>
      <c r="M9" s="54">
        <v>0</v>
      </c>
      <c r="O9" s="58">
        <v>0.11742711412216927</v>
      </c>
      <c r="P9" s="58">
        <v>0.90820167585959488</v>
      </c>
      <c r="Q9" s="58">
        <v>1.6996992279581776E-3</v>
      </c>
      <c r="S9" s="34">
        <f t="shared" si="0"/>
        <v>2</v>
      </c>
      <c r="T9" s="34" t="b">
        <f t="shared" si="1"/>
        <v>1</v>
      </c>
      <c r="V9" s="81">
        <v>3</v>
      </c>
      <c r="W9" s="3">
        <f>COUNTIFS(J:J,V9,S:S,W6)</f>
        <v>0</v>
      </c>
      <c r="X9" s="3">
        <f>COUNTIFS(J:J,V9,S:S,X6)</f>
        <v>0</v>
      </c>
      <c r="Y9" s="3">
        <f>COUNTIFS(J:J,V9,S:S,Y6)</f>
        <v>8</v>
      </c>
    </row>
    <row r="10" spans="1:31" x14ac:dyDescent="0.2">
      <c r="A10" s="33">
        <v>0.84930780143713724</v>
      </c>
      <c r="B10" s="34">
        <v>157</v>
      </c>
      <c r="C10" s="33">
        <v>7.0821529745042494E-2</v>
      </c>
      <c r="D10" s="33">
        <v>9.5041322314049395E-2</v>
      </c>
      <c r="E10" s="33">
        <v>0.46733212341197827</v>
      </c>
      <c r="F10" s="33">
        <v>8.6711711711711673E-2</v>
      </c>
      <c r="G10" s="33">
        <v>0.15609408410548842</v>
      </c>
      <c r="H10" s="33">
        <v>0.33570843464353983</v>
      </c>
      <c r="I10" s="33">
        <v>0.23830625307730186</v>
      </c>
      <c r="J10" s="34">
        <v>3</v>
      </c>
      <c r="K10" s="54">
        <v>0</v>
      </c>
      <c r="L10" s="54">
        <v>0</v>
      </c>
      <c r="M10" s="54">
        <v>1</v>
      </c>
      <c r="O10" s="58">
        <v>0.16539425166331223</v>
      </c>
      <c r="P10" s="58">
        <v>3.2826782295156433E-2</v>
      </c>
      <c r="Q10" s="58">
        <v>0.92598070217041295</v>
      </c>
      <c r="S10" s="34">
        <f t="shared" si="0"/>
        <v>3</v>
      </c>
      <c r="T10" s="34" t="b">
        <f t="shared" si="1"/>
        <v>1</v>
      </c>
    </row>
    <row r="11" spans="1:31" x14ac:dyDescent="0.2">
      <c r="A11" s="33">
        <v>0.91001647609140468</v>
      </c>
      <c r="B11" s="34">
        <v>102</v>
      </c>
      <c r="C11" s="33">
        <v>0.69877242681775242</v>
      </c>
      <c r="D11" s="33">
        <v>0.7128099173553718</v>
      </c>
      <c r="E11" s="33">
        <v>0.82667876588021771</v>
      </c>
      <c r="F11" s="33">
        <v>0.55799549549549532</v>
      </c>
      <c r="G11" s="33">
        <v>0.75837491090520293</v>
      </c>
      <c r="H11" s="33">
        <v>0.16940800166430461</v>
      </c>
      <c r="I11" s="33">
        <v>0.64894140817331358</v>
      </c>
      <c r="J11" s="34">
        <v>2</v>
      </c>
      <c r="K11" s="54">
        <v>0</v>
      </c>
      <c r="L11" s="54">
        <v>1</v>
      </c>
      <c r="M11" s="54">
        <v>0</v>
      </c>
      <c r="O11" s="58">
        <v>0.44269158237155526</v>
      </c>
      <c r="P11" s="58">
        <v>0.6006068372565555</v>
      </c>
      <c r="Q11" s="58">
        <v>1.1855433562163579E-3</v>
      </c>
      <c r="S11" s="34">
        <f t="shared" si="0"/>
        <v>2</v>
      </c>
      <c r="T11" s="34" t="b">
        <f t="shared" si="1"/>
        <v>1</v>
      </c>
    </row>
    <row r="12" spans="1:31" x14ac:dyDescent="0.2">
      <c r="A12" s="33">
        <v>0.45842476207188321</v>
      </c>
      <c r="B12" s="34">
        <v>80</v>
      </c>
      <c r="C12" s="33">
        <v>0.61661945231350346</v>
      </c>
      <c r="D12" s="33">
        <v>0.64876033057851257</v>
      </c>
      <c r="E12" s="33">
        <v>0.73593466424682374</v>
      </c>
      <c r="F12" s="33">
        <v>0.5354729729729728</v>
      </c>
      <c r="G12" s="33">
        <v>0.66714183891660706</v>
      </c>
      <c r="H12" s="33">
        <v>0.27212679920425442</v>
      </c>
      <c r="I12" s="33">
        <v>0.60413589364844933</v>
      </c>
      <c r="J12" s="34">
        <v>2</v>
      </c>
      <c r="K12" s="54">
        <v>0</v>
      </c>
      <c r="L12" s="54">
        <v>1</v>
      </c>
      <c r="M12" s="54">
        <v>0</v>
      </c>
      <c r="O12" s="58">
        <v>0.40357271538583872</v>
      </c>
      <c r="P12" s="58">
        <v>0.6351408481682419</v>
      </c>
      <c r="Q12" s="58">
        <v>3.1069349508572536E-3</v>
      </c>
      <c r="S12" s="34">
        <f t="shared" si="0"/>
        <v>2</v>
      </c>
      <c r="T12" s="34" t="b">
        <f t="shared" si="1"/>
        <v>1</v>
      </c>
    </row>
    <row r="13" spans="1:31" x14ac:dyDescent="0.2">
      <c r="A13" s="33">
        <v>0.96125090946568481</v>
      </c>
      <c r="B13" s="34">
        <v>124</v>
      </c>
      <c r="C13" s="33">
        <v>0.7403210576015109</v>
      </c>
      <c r="D13" s="33">
        <v>0.73553719008264473</v>
      </c>
      <c r="E13" s="33">
        <v>0.90381125226860204</v>
      </c>
      <c r="F13" s="33">
        <v>0.60867117117117142</v>
      </c>
      <c r="G13" s="33">
        <v>0.81325730577334254</v>
      </c>
      <c r="H13" s="33">
        <v>0.28850979729290466</v>
      </c>
      <c r="I13" s="33">
        <v>0.68242245199409179</v>
      </c>
      <c r="J13" s="34">
        <v>2</v>
      </c>
      <c r="K13" s="54">
        <v>0</v>
      </c>
      <c r="L13" s="54">
        <v>1</v>
      </c>
      <c r="M13" s="54">
        <v>0</v>
      </c>
      <c r="O13" s="58">
        <v>0.46766866453407258</v>
      </c>
      <c r="P13" s="58">
        <v>0.5756453199514453</v>
      </c>
      <c r="Q13" s="58">
        <v>1.0212781671080032E-3</v>
      </c>
      <c r="S13" s="34">
        <f t="shared" si="0"/>
        <v>2</v>
      </c>
      <c r="T13" s="34" t="b">
        <f t="shared" si="1"/>
        <v>1</v>
      </c>
    </row>
    <row r="14" spans="1:31" x14ac:dyDescent="0.2">
      <c r="A14" s="33">
        <v>0.79471333059307192</v>
      </c>
      <c r="B14" s="34">
        <v>127</v>
      </c>
      <c r="C14" s="33">
        <v>0.76109537299338992</v>
      </c>
      <c r="D14" s="33">
        <v>0.82644628099173556</v>
      </c>
      <c r="E14" s="33">
        <v>0.55989110707803991</v>
      </c>
      <c r="F14" s="33">
        <v>0.78040540540540559</v>
      </c>
      <c r="G14" s="33">
        <v>0.68709907341411236</v>
      </c>
      <c r="H14" s="33">
        <v>0.47145327594949882</v>
      </c>
      <c r="I14" s="33">
        <v>0.77941900541605147</v>
      </c>
      <c r="J14" s="34">
        <v>2</v>
      </c>
      <c r="K14" s="54">
        <v>0</v>
      </c>
      <c r="L14" s="54">
        <v>1</v>
      </c>
      <c r="M14" s="54">
        <v>0</v>
      </c>
      <c r="O14" s="58">
        <v>5.0709751649877538E-2</v>
      </c>
      <c r="P14" s="58">
        <v>0.95007616422169883</v>
      </c>
      <c r="Q14" s="58">
        <v>1.4594237361057244E-3</v>
      </c>
      <c r="S14" s="34">
        <f t="shared" si="0"/>
        <v>2</v>
      </c>
      <c r="T14" s="34" t="b">
        <f t="shared" si="1"/>
        <v>1</v>
      </c>
    </row>
    <row r="15" spans="1:31" x14ac:dyDescent="0.2">
      <c r="A15" s="33">
        <v>0.80816399760578372</v>
      </c>
      <c r="B15" s="34">
        <v>158</v>
      </c>
      <c r="C15" s="33">
        <v>0.14542020774315401</v>
      </c>
      <c r="D15" s="33">
        <v>0.27272727272727282</v>
      </c>
      <c r="E15" s="33">
        <v>0</v>
      </c>
      <c r="F15" s="33">
        <v>0.27871621621621628</v>
      </c>
      <c r="G15" s="33">
        <v>8.1967213114754217E-2</v>
      </c>
      <c r="H15" s="33">
        <v>0.52788360269929402</v>
      </c>
      <c r="I15" s="33">
        <v>0.34515017232890188</v>
      </c>
      <c r="J15" s="34">
        <v>3</v>
      </c>
      <c r="K15" s="54">
        <v>0</v>
      </c>
      <c r="L15" s="54">
        <v>0</v>
      </c>
      <c r="M15" s="54">
        <v>1</v>
      </c>
      <c r="O15" s="58">
        <v>3.6972537465066288E-3</v>
      </c>
      <c r="P15" s="58">
        <v>0.22339003343355837</v>
      </c>
      <c r="Q15" s="58">
        <v>0.97463753577437517</v>
      </c>
      <c r="S15" s="34">
        <f t="shared" si="0"/>
        <v>3</v>
      </c>
      <c r="T15" s="34" t="b">
        <f t="shared" si="1"/>
        <v>1</v>
      </c>
    </row>
    <row r="16" spans="1:31" x14ac:dyDescent="0.2">
      <c r="A16" s="33">
        <v>0.73991758361196436</v>
      </c>
      <c r="B16" s="34">
        <v>128</v>
      </c>
      <c r="C16" s="33">
        <v>0.69782813975448543</v>
      </c>
      <c r="D16" s="33">
        <v>0.71074380165289253</v>
      </c>
      <c r="E16" s="33">
        <v>0.82758620689655149</v>
      </c>
      <c r="F16" s="33">
        <v>0.60810810810810823</v>
      </c>
      <c r="G16" s="33">
        <v>0.75338560228082652</v>
      </c>
      <c r="H16" s="33">
        <v>0.19398249879727994</v>
      </c>
      <c r="I16" s="33">
        <v>0.68931560807483983</v>
      </c>
      <c r="J16" s="34">
        <v>2</v>
      </c>
      <c r="K16" s="54">
        <v>0</v>
      </c>
      <c r="L16" s="54">
        <v>1</v>
      </c>
      <c r="M16" s="54">
        <v>0</v>
      </c>
      <c r="O16" s="58">
        <v>0.4029813438490813</v>
      </c>
      <c r="P16" s="58">
        <v>0.64069683428204982</v>
      </c>
      <c r="Q16" s="58">
        <v>1.2903189216356527E-3</v>
      </c>
      <c r="S16" s="34">
        <f t="shared" si="0"/>
        <v>2</v>
      </c>
      <c r="T16" s="34" t="b">
        <f t="shared" si="1"/>
        <v>1</v>
      </c>
    </row>
    <row r="17" spans="1:20" x14ac:dyDescent="0.2">
      <c r="A17" s="33">
        <v>0.8444189981348057</v>
      </c>
      <c r="B17" s="34">
        <v>57</v>
      </c>
      <c r="C17" s="33">
        <v>0.36543909348441939</v>
      </c>
      <c r="D17" s="33">
        <v>0.40082644628099162</v>
      </c>
      <c r="E17" s="33">
        <v>0.66878402903811263</v>
      </c>
      <c r="F17" s="33">
        <v>0.27533783783783777</v>
      </c>
      <c r="G17" s="33">
        <v>0.53243050605844588</v>
      </c>
      <c r="H17" s="33">
        <v>0.26484546672040987</v>
      </c>
      <c r="I17" s="33">
        <v>0.25849335302806475</v>
      </c>
      <c r="J17" s="34">
        <v>1</v>
      </c>
      <c r="K17" s="54">
        <v>1</v>
      </c>
      <c r="L17" s="54">
        <v>0</v>
      </c>
      <c r="M17" s="54">
        <v>0</v>
      </c>
      <c r="O17" s="58">
        <v>0.8272290521387955</v>
      </c>
      <c r="P17" s="58">
        <v>0.17244280531692824</v>
      </c>
      <c r="Q17" s="58">
        <v>2.3763713077568364E-2</v>
      </c>
      <c r="S17" s="34">
        <f t="shared" si="0"/>
        <v>1</v>
      </c>
      <c r="T17" s="34" t="b">
        <f t="shared" si="1"/>
        <v>1</v>
      </c>
    </row>
    <row r="18" spans="1:20" x14ac:dyDescent="0.2">
      <c r="A18" s="33">
        <v>0.70433097461557947</v>
      </c>
      <c r="B18" s="34">
        <v>192</v>
      </c>
      <c r="C18" s="33">
        <v>6.4211520302171837E-2</v>
      </c>
      <c r="D18" s="33">
        <v>9.2975206611570105E-2</v>
      </c>
      <c r="E18" s="33">
        <v>0.4373865698729576</v>
      </c>
      <c r="F18" s="33">
        <v>0.10810810810810821</v>
      </c>
      <c r="G18" s="33">
        <v>0.12401995723449742</v>
      </c>
      <c r="H18" s="33">
        <v>0.41866361544162584</v>
      </c>
      <c r="I18" s="33">
        <v>0.23732151649433791</v>
      </c>
      <c r="J18" s="34">
        <v>3</v>
      </c>
      <c r="K18" s="54">
        <v>0</v>
      </c>
      <c r="L18" s="54">
        <v>0</v>
      </c>
      <c r="M18" s="54">
        <v>1</v>
      </c>
      <c r="O18" s="58">
        <v>9.1661044590911164E-2</v>
      </c>
      <c r="P18" s="58">
        <v>1.6882305515763699E-2</v>
      </c>
      <c r="Q18" s="58">
        <v>0.97179672613268153</v>
      </c>
      <c r="S18" s="34">
        <f t="shared" si="0"/>
        <v>3</v>
      </c>
      <c r="T18" s="34" t="b">
        <f t="shared" si="1"/>
        <v>1</v>
      </c>
    </row>
    <row r="19" spans="1:20" x14ac:dyDescent="0.2">
      <c r="A19" s="33">
        <v>3.9369853911396246E-3</v>
      </c>
      <c r="B19" s="34">
        <v>195</v>
      </c>
      <c r="C19" s="34">
        <v>0.14353163361661941</v>
      </c>
      <c r="D19" s="34">
        <v>0.17768595041322302</v>
      </c>
      <c r="E19" s="34">
        <v>0.50635208711433732</v>
      </c>
      <c r="F19" s="34">
        <v>0.18975225225225212</v>
      </c>
      <c r="G19" s="34">
        <v>0.24590163934426235</v>
      </c>
      <c r="H19" s="34">
        <v>0.43777711321171775</v>
      </c>
      <c r="I19" s="34">
        <v>0.24273756770063984</v>
      </c>
      <c r="J19" s="34">
        <v>3</v>
      </c>
      <c r="K19" s="54">
        <v>0</v>
      </c>
      <c r="L19" s="54">
        <v>0</v>
      </c>
      <c r="M19" s="54">
        <v>1</v>
      </c>
      <c r="O19" s="58">
        <v>0.26289779114157119</v>
      </c>
      <c r="P19" s="58">
        <v>3.0755853999448912E-2</v>
      </c>
      <c r="Q19" s="58">
        <v>0.82884128880544994</v>
      </c>
      <c r="S19" s="34">
        <f t="shared" si="0"/>
        <v>3</v>
      </c>
      <c r="T19" s="34" t="b">
        <f t="shared" si="1"/>
        <v>1</v>
      </c>
    </row>
    <row r="20" spans="1:20" x14ac:dyDescent="0.2">
      <c r="A20" s="33">
        <v>7.3942459403952943E-2</v>
      </c>
      <c r="B20" s="34">
        <v>28</v>
      </c>
      <c r="C20" s="33">
        <v>0.20302171860245519</v>
      </c>
      <c r="D20" s="33">
        <v>0.26033057851239666</v>
      </c>
      <c r="E20" s="33">
        <v>0.43829401088929243</v>
      </c>
      <c r="F20" s="33">
        <v>0.27927927927927904</v>
      </c>
      <c r="G20" s="33">
        <v>0.23235923022095506</v>
      </c>
      <c r="H20" s="33">
        <v>0.22609837600280855</v>
      </c>
      <c r="I20" s="33">
        <v>0.17232890201870985</v>
      </c>
      <c r="J20" s="34">
        <v>1</v>
      </c>
      <c r="K20" s="54">
        <v>1</v>
      </c>
      <c r="L20" s="54">
        <v>0</v>
      </c>
      <c r="M20" s="54">
        <v>0</v>
      </c>
      <c r="O20" s="58">
        <v>0.7919282260176943</v>
      </c>
      <c r="P20" s="58">
        <v>0.20349818797569313</v>
      </c>
      <c r="Q20" s="58">
        <v>0.10883040084830745</v>
      </c>
      <c r="S20" s="34">
        <f t="shared" si="0"/>
        <v>1</v>
      </c>
      <c r="T20" s="34" t="b">
        <f t="shared" si="1"/>
        <v>1</v>
      </c>
    </row>
    <row r="21" spans="1:20" x14ac:dyDescent="0.2">
      <c r="A21" s="33">
        <v>0.77137910701933121</v>
      </c>
      <c r="B21" s="34">
        <v>177</v>
      </c>
      <c r="C21" s="33">
        <v>6.3267233238904624E-2</v>
      </c>
      <c r="D21" s="33">
        <v>0.12396694214876026</v>
      </c>
      <c r="E21" s="33">
        <v>0.248638838475499</v>
      </c>
      <c r="F21" s="33">
        <v>0.16159909909909909</v>
      </c>
      <c r="G21" s="33">
        <v>5.7020669992872447E-2</v>
      </c>
      <c r="H21" s="33">
        <v>0.59419573782002111</v>
      </c>
      <c r="I21" s="33">
        <v>0.28212703101920217</v>
      </c>
      <c r="J21" s="34">
        <v>3</v>
      </c>
      <c r="K21" s="54">
        <v>0</v>
      </c>
      <c r="L21" s="54">
        <v>0</v>
      </c>
      <c r="M21" s="54">
        <v>1</v>
      </c>
      <c r="O21" s="58">
        <v>2.2346341186082447E-2</v>
      </c>
      <c r="P21" s="58">
        <v>3.5764030744494658E-3</v>
      </c>
      <c r="Q21" s="58">
        <v>0.99535723345721872</v>
      </c>
      <c r="S21" s="34">
        <f t="shared" si="0"/>
        <v>3</v>
      </c>
      <c r="T21" s="34" t="b">
        <f t="shared" si="1"/>
        <v>1</v>
      </c>
    </row>
    <row r="22" spans="1:20" x14ac:dyDescent="0.2">
      <c r="A22" s="33">
        <v>0.88981117326328696</v>
      </c>
      <c r="B22" s="34">
        <v>179</v>
      </c>
      <c r="C22" s="33">
        <v>8.4041548630783808E-2</v>
      </c>
      <c r="D22" s="33">
        <v>0.1322314049586778</v>
      </c>
      <c r="E22" s="33">
        <v>0.35571687840290406</v>
      </c>
      <c r="F22" s="33">
        <v>0.15822072072072058</v>
      </c>
      <c r="G22" s="33">
        <v>9.1233071988595912E-2</v>
      </c>
      <c r="H22" s="33">
        <v>0.6645386105657336</v>
      </c>
      <c r="I22" s="33">
        <v>0.23781388478581966</v>
      </c>
      <c r="J22" s="34">
        <v>3</v>
      </c>
      <c r="K22" s="54">
        <v>0</v>
      </c>
      <c r="L22" s="54">
        <v>0</v>
      </c>
      <c r="M22" s="54">
        <v>1</v>
      </c>
      <c r="O22" s="58">
        <v>2.7384044313605912E-2</v>
      </c>
      <c r="P22" s="58">
        <v>2.3193275357610362E-3</v>
      </c>
      <c r="Q22" s="58">
        <v>0.99569125115699841</v>
      </c>
      <c r="S22" s="34">
        <f t="shared" si="0"/>
        <v>3</v>
      </c>
      <c r="T22" s="34" t="b">
        <f t="shared" si="1"/>
        <v>1</v>
      </c>
    </row>
    <row r="23" spans="1:20" x14ac:dyDescent="0.2">
      <c r="A23" s="33"/>
      <c r="C23" s="33"/>
      <c r="D23" s="33"/>
      <c r="E23" s="33"/>
      <c r="F23" s="33"/>
      <c r="G23" s="33"/>
      <c r="H23" s="33"/>
      <c r="I23" s="33"/>
      <c r="O23" s="58"/>
      <c r="P23" s="59"/>
      <c r="Q23" s="59"/>
    </row>
    <row r="24" spans="1:20" x14ac:dyDescent="0.2">
      <c r="A24" s="33"/>
      <c r="C24" s="33"/>
      <c r="D24" s="33"/>
      <c r="E24" s="33"/>
      <c r="F24" s="33"/>
      <c r="G24" s="33"/>
      <c r="H24" s="33"/>
      <c r="I24" s="33"/>
      <c r="O24" s="58"/>
      <c r="P24" s="59"/>
      <c r="Q24" s="59"/>
    </row>
    <row r="25" spans="1:20" x14ac:dyDescent="0.2">
      <c r="A25" s="33"/>
      <c r="C25" s="33"/>
      <c r="D25" s="33"/>
      <c r="E25" s="33"/>
      <c r="F25" s="33"/>
      <c r="G25" s="33"/>
      <c r="H25" s="33"/>
      <c r="I25" s="33"/>
      <c r="O25" s="58"/>
      <c r="P25" s="59"/>
      <c r="Q25" s="59"/>
    </row>
    <row r="26" spans="1:20" x14ac:dyDescent="0.2">
      <c r="A26" s="33"/>
      <c r="C26" s="33"/>
      <c r="D26" s="33"/>
      <c r="E26" s="33"/>
      <c r="F26" s="33"/>
      <c r="G26" s="33"/>
      <c r="H26" s="33"/>
      <c r="I26" s="33"/>
      <c r="O26" s="58"/>
      <c r="P26" s="59"/>
      <c r="Q26" s="59"/>
    </row>
    <row r="27" spans="1:20" x14ac:dyDescent="0.2">
      <c r="A27" s="33"/>
      <c r="C27" s="33"/>
      <c r="D27" s="33"/>
      <c r="E27" s="33"/>
      <c r="F27" s="33"/>
      <c r="G27" s="33"/>
      <c r="H27" s="33"/>
      <c r="I27" s="33"/>
      <c r="O27" s="58"/>
      <c r="P27" s="59"/>
      <c r="Q27" s="59"/>
    </row>
    <row r="28" spans="1:20" x14ac:dyDescent="0.2">
      <c r="A28" s="33"/>
      <c r="C28" s="33"/>
      <c r="D28" s="33"/>
      <c r="E28" s="33"/>
      <c r="F28" s="33"/>
      <c r="G28" s="33"/>
      <c r="H28" s="33"/>
      <c r="I28" s="33"/>
      <c r="O28" s="58"/>
      <c r="P28" s="59"/>
      <c r="Q28" s="59"/>
    </row>
    <row r="29" spans="1:20" x14ac:dyDescent="0.2">
      <c r="A29" s="33"/>
      <c r="C29" s="33"/>
      <c r="D29" s="33"/>
      <c r="E29" s="33"/>
      <c r="F29" s="33"/>
      <c r="G29" s="33"/>
      <c r="H29" s="33"/>
      <c r="I29" s="33"/>
      <c r="O29" s="58"/>
      <c r="P29" s="59"/>
      <c r="Q29" s="59"/>
    </row>
    <row r="30" spans="1:20" x14ac:dyDescent="0.2">
      <c r="A30" s="33"/>
      <c r="C30" s="33"/>
      <c r="D30" s="33"/>
      <c r="E30" s="33"/>
      <c r="F30" s="33"/>
      <c r="G30" s="33"/>
      <c r="H30" s="33"/>
      <c r="I30" s="33"/>
      <c r="O30" s="58"/>
      <c r="P30" s="59"/>
      <c r="Q30" s="59"/>
    </row>
    <row r="31" spans="1:20" x14ac:dyDescent="0.2">
      <c r="A31" s="33"/>
      <c r="C31" s="33"/>
      <c r="D31" s="33"/>
      <c r="E31" s="33"/>
      <c r="F31" s="33"/>
      <c r="G31" s="33"/>
      <c r="H31" s="33"/>
      <c r="I31" s="33"/>
      <c r="O31" s="58"/>
      <c r="P31" s="59"/>
      <c r="Q31" s="59"/>
    </row>
    <row r="32" spans="1:20" x14ac:dyDescent="0.2">
      <c r="A32" s="33"/>
      <c r="C32" s="33"/>
      <c r="D32" s="33"/>
      <c r="E32" s="33"/>
      <c r="F32" s="33"/>
      <c r="G32" s="33"/>
      <c r="H32" s="33"/>
      <c r="I32" s="33"/>
      <c r="O32" s="58"/>
      <c r="P32" s="59"/>
      <c r="Q32" s="59"/>
    </row>
    <row r="33" spans="1:17" x14ac:dyDescent="0.2">
      <c r="A33" s="33"/>
      <c r="C33" s="33"/>
      <c r="D33" s="33"/>
      <c r="E33" s="33"/>
      <c r="F33" s="33"/>
      <c r="G33" s="33"/>
      <c r="H33" s="33"/>
      <c r="I33" s="33"/>
      <c r="O33" s="58"/>
      <c r="P33" s="59"/>
      <c r="Q33" s="59"/>
    </row>
    <row r="34" spans="1:17" x14ac:dyDescent="0.2">
      <c r="A34" s="33"/>
      <c r="C34" s="33"/>
      <c r="D34" s="33"/>
      <c r="E34" s="33"/>
      <c r="F34" s="33"/>
      <c r="G34" s="33"/>
      <c r="H34" s="33"/>
      <c r="I34" s="33"/>
      <c r="O34" s="58"/>
      <c r="P34" s="59"/>
      <c r="Q34" s="59"/>
    </row>
    <row r="35" spans="1:17" x14ac:dyDescent="0.2">
      <c r="A35" s="33"/>
      <c r="C35" s="33"/>
      <c r="D35" s="33"/>
      <c r="E35" s="33"/>
      <c r="F35" s="33"/>
      <c r="G35" s="33"/>
      <c r="H35" s="33"/>
      <c r="I35" s="33"/>
      <c r="O35" s="58"/>
      <c r="P35" s="59"/>
      <c r="Q35" s="59"/>
    </row>
    <row r="36" spans="1:17" x14ac:dyDescent="0.2">
      <c r="A36" s="33"/>
      <c r="C36" s="33"/>
      <c r="D36" s="33"/>
      <c r="E36" s="33"/>
      <c r="F36" s="33"/>
      <c r="G36" s="33"/>
      <c r="H36" s="33"/>
      <c r="I36" s="33"/>
      <c r="O36" s="58"/>
      <c r="P36" s="59"/>
      <c r="Q36" s="59"/>
    </row>
    <row r="37" spans="1:17" x14ac:dyDescent="0.2">
      <c r="A37" s="33"/>
      <c r="C37" s="33"/>
      <c r="D37" s="33"/>
      <c r="E37" s="33"/>
      <c r="F37" s="33"/>
      <c r="G37" s="33"/>
      <c r="H37" s="33"/>
      <c r="I37" s="33"/>
      <c r="O37" s="58"/>
      <c r="P37" s="59"/>
      <c r="Q37" s="59"/>
    </row>
    <row r="38" spans="1:17" x14ac:dyDescent="0.2">
      <c r="A38" s="33"/>
      <c r="C38" s="33"/>
      <c r="D38" s="33"/>
      <c r="E38" s="33"/>
      <c r="F38" s="33"/>
      <c r="G38" s="33"/>
      <c r="H38" s="33"/>
      <c r="I38" s="33"/>
      <c r="O38" s="58"/>
      <c r="P38" s="59"/>
      <c r="Q38" s="59"/>
    </row>
    <row r="39" spans="1:17" x14ac:dyDescent="0.2">
      <c r="A39" s="33"/>
      <c r="C39" s="33"/>
      <c r="D39" s="33"/>
      <c r="E39" s="33"/>
      <c r="F39" s="33"/>
      <c r="G39" s="33"/>
      <c r="H39" s="33"/>
      <c r="I39" s="33"/>
      <c r="O39" s="58"/>
      <c r="P39" s="59"/>
      <c r="Q39" s="59"/>
    </row>
    <row r="40" spans="1:17" x14ac:dyDescent="0.2">
      <c r="A40" s="33"/>
      <c r="C40" s="33"/>
      <c r="D40" s="33"/>
      <c r="E40" s="33"/>
      <c r="F40" s="33"/>
      <c r="G40" s="33"/>
      <c r="H40" s="33"/>
      <c r="I40" s="33"/>
      <c r="O40" s="58"/>
      <c r="P40" s="59"/>
      <c r="Q40" s="59"/>
    </row>
    <row r="41" spans="1:17" x14ac:dyDescent="0.2">
      <c r="A41" s="33"/>
      <c r="C41" s="33"/>
      <c r="D41" s="33"/>
      <c r="E41" s="33"/>
      <c r="F41" s="33"/>
      <c r="G41" s="33"/>
      <c r="H41" s="33"/>
      <c r="I41" s="33"/>
      <c r="O41" s="58"/>
      <c r="P41" s="59"/>
      <c r="Q41" s="59"/>
    </row>
    <row r="42" spans="1:17" x14ac:dyDescent="0.2">
      <c r="A42" s="33"/>
      <c r="C42" s="33"/>
      <c r="D42" s="33"/>
      <c r="E42" s="33"/>
      <c r="F42" s="33"/>
      <c r="G42" s="33"/>
      <c r="H42" s="33"/>
      <c r="I42" s="33"/>
      <c r="O42" s="58"/>
      <c r="P42" s="59"/>
      <c r="Q42" s="59"/>
    </row>
    <row r="43" spans="1:17" x14ac:dyDescent="0.2">
      <c r="A43" s="33"/>
      <c r="C43" s="33"/>
      <c r="D43" s="33"/>
      <c r="E43" s="33"/>
      <c r="F43" s="33"/>
      <c r="G43" s="33"/>
      <c r="H43" s="33"/>
      <c r="I43" s="33"/>
      <c r="O43" s="58"/>
      <c r="P43" s="59"/>
      <c r="Q43" s="59"/>
    </row>
    <row r="44" spans="1:17" x14ac:dyDescent="0.2">
      <c r="A44" s="33"/>
      <c r="C44" s="33"/>
      <c r="D44" s="33"/>
      <c r="E44" s="33"/>
      <c r="F44" s="33"/>
      <c r="G44" s="33"/>
      <c r="H44" s="33"/>
      <c r="I44" s="33"/>
      <c r="O44" s="58"/>
      <c r="P44" s="59"/>
      <c r="Q44" s="59"/>
    </row>
    <row r="45" spans="1:17" x14ac:dyDescent="0.2">
      <c r="A45" s="33"/>
      <c r="C45" s="33"/>
      <c r="D45" s="33"/>
      <c r="E45" s="33"/>
      <c r="F45" s="33"/>
      <c r="G45" s="33"/>
      <c r="H45" s="33"/>
      <c r="I45" s="33"/>
      <c r="O45" s="58"/>
      <c r="P45" s="59"/>
      <c r="Q45" s="59"/>
    </row>
    <row r="46" spans="1:17" x14ac:dyDescent="0.2">
      <c r="A46" s="33"/>
      <c r="C46" s="33"/>
      <c r="D46" s="33"/>
      <c r="E46" s="33"/>
      <c r="F46" s="33"/>
      <c r="G46" s="33"/>
      <c r="H46" s="33"/>
      <c r="I46" s="33"/>
      <c r="O46" s="58"/>
      <c r="P46" s="59"/>
      <c r="Q46" s="59"/>
    </row>
    <row r="47" spans="1:17" x14ac:dyDescent="0.2">
      <c r="A47" s="33"/>
      <c r="C47" s="33"/>
      <c r="D47" s="33"/>
      <c r="E47" s="33"/>
      <c r="F47" s="33"/>
      <c r="G47" s="33"/>
      <c r="H47" s="33"/>
      <c r="I47" s="33"/>
      <c r="O47" s="58"/>
      <c r="P47" s="59"/>
      <c r="Q47" s="59"/>
    </row>
    <row r="48" spans="1:17" x14ac:dyDescent="0.2">
      <c r="A48" s="33"/>
      <c r="C48" s="33"/>
      <c r="D48" s="33"/>
      <c r="E48" s="33"/>
      <c r="F48" s="33"/>
      <c r="G48" s="33"/>
      <c r="H48" s="33"/>
      <c r="I48" s="33"/>
      <c r="O48" s="58"/>
      <c r="P48" s="59"/>
      <c r="Q48" s="59"/>
    </row>
    <row r="49" spans="1:17" x14ac:dyDescent="0.2">
      <c r="A49" s="33"/>
      <c r="C49" s="33"/>
      <c r="D49" s="33"/>
      <c r="E49" s="33"/>
      <c r="F49" s="33"/>
      <c r="G49" s="33"/>
      <c r="H49" s="33"/>
      <c r="I49" s="33"/>
      <c r="O49" s="58"/>
      <c r="P49" s="59"/>
      <c r="Q49" s="59"/>
    </row>
    <row r="50" spans="1:17" x14ac:dyDescent="0.2">
      <c r="A50" s="33"/>
      <c r="C50" s="33"/>
      <c r="D50" s="33"/>
      <c r="E50" s="33"/>
      <c r="F50" s="33"/>
      <c r="G50" s="33"/>
      <c r="H50" s="33"/>
      <c r="I50" s="33"/>
      <c r="O50" s="58"/>
      <c r="P50" s="59"/>
      <c r="Q50" s="59"/>
    </row>
    <row r="51" spans="1:17" x14ac:dyDescent="0.2">
      <c r="A51" s="33"/>
      <c r="C51" s="33"/>
      <c r="D51" s="33"/>
      <c r="E51" s="33"/>
      <c r="F51" s="33"/>
      <c r="G51" s="33"/>
      <c r="H51" s="33"/>
      <c r="I51" s="33"/>
      <c r="O51" s="58"/>
      <c r="P51" s="59"/>
      <c r="Q51" s="59"/>
    </row>
    <row r="52" spans="1:17" x14ac:dyDescent="0.2">
      <c r="A52" s="33"/>
      <c r="C52" s="33"/>
      <c r="D52" s="33"/>
      <c r="E52" s="33"/>
      <c r="F52" s="33"/>
      <c r="G52" s="33"/>
      <c r="H52" s="33"/>
      <c r="I52" s="33"/>
      <c r="O52" s="58"/>
      <c r="P52" s="59"/>
      <c r="Q52" s="59"/>
    </row>
    <row r="53" spans="1:17" x14ac:dyDescent="0.2">
      <c r="A53" s="33"/>
      <c r="C53" s="33"/>
      <c r="D53" s="33"/>
      <c r="E53" s="33"/>
      <c r="F53" s="33"/>
      <c r="G53" s="33"/>
      <c r="H53" s="33"/>
      <c r="I53" s="33"/>
      <c r="O53" s="58"/>
      <c r="P53" s="59"/>
      <c r="Q53" s="59"/>
    </row>
    <row r="54" spans="1:17" x14ac:dyDescent="0.2">
      <c r="A54" s="33"/>
      <c r="C54" s="33"/>
      <c r="D54" s="33"/>
      <c r="E54" s="33"/>
      <c r="F54" s="33"/>
      <c r="G54" s="33"/>
      <c r="H54" s="33"/>
      <c r="I54" s="33"/>
      <c r="O54" s="58"/>
      <c r="P54" s="59"/>
      <c r="Q54" s="59"/>
    </row>
    <row r="55" spans="1:17" x14ac:dyDescent="0.2">
      <c r="A55" s="33"/>
      <c r="C55" s="33"/>
      <c r="D55" s="33"/>
      <c r="E55" s="33"/>
      <c r="F55" s="33"/>
      <c r="G55" s="33"/>
      <c r="H55" s="33"/>
      <c r="I55" s="33"/>
      <c r="O55" s="58"/>
      <c r="P55" s="59"/>
      <c r="Q55" s="59"/>
    </row>
    <row r="56" spans="1:17" x14ac:dyDescent="0.2">
      <c r="A56" s="33"/>
      <c r="C56" s="33"/>
      <c r="D56" s="33"/>
      <c r="E56" s="33"/>
      <c r="F56" s="33"/>
      <c r="G56" s="33"/>
      <c r="H56" s="33"/>
      <c r="I56" s="33"/>
      <c r="O56" s="58"/>
      <c r="P56" s="59"/>
      <c r="Q56" s="59"/>
    </row>
    <row r="57" spans="1:17" x14ac:dyDescent="0.2">
      <c r="A57" s="33"/>
      <c r="C57" s="33"/>
      <c r="D57" s="33"/>
      <c r="E57" s="33"/>
      <c r="F57" s="33"/>
      <c r="G57" s="33"/>
      <c r="H57" s="33"/>
      <c r="I57" s="33"/>
      <c r="O57" s="58"/>
      <c r="P57" s="59"/>
      <c r="Q57" s="59"/>
    </row>
    <row r="58" spans="1:17" x14ac:dyDescent="0.2">
      <c r="A58" s="33"/>
      <c r="C58" s="33"/>
      <c r="D58" s="33"/>
      <c r="E58" s="33"/>
      <c r="F58" s="33"/>
      <c r="G58" s="33"/>
      <c r="H58" s="33"/>
      <c r="I58" s="33"/>
      <c r="O58" s="58"/>
      <c r="P58" s="59"/>
      <c r="Q58" s="59"/>
    </row>
    <row r="59" spans="1:17" x14ac:dyDescent="0.2">
      <c r="A59" s="33"/>
      <c r="C59" s="33"/>
      <c r="D59" s="33"/>
      <c r="E59" s="33"/>
      <c r="F59" s="33"/>
      <c r="G59" s="33"/>
      <c r="H59" s="33"/>
      <c r="I59" s="33"/>
      <c r="O59" s="58"/>
      <c r="P59" s="59"/>
      <c r="Q59" s="59"/>
    </row>
    <row r="60" spans="1:17" x14ac:dyDescent="0.2">
      <c r="A60" s="33"/>
      <c r="C60" s="33"/>
      <c r="D60" s="33"/>
      <c r="E60" s="33"/>
      <c r="F60" s="33"/>
      <c r="G60" s="33"/>
      <c r="H60" s="33"/>
      <c r="I60" s="33"/>
      <c r="O60" s="58"/>
      <c r="P60" s="59"/>
      <c r="Q60" s="59"/>
    </row>
    <row r="61" spans="1:17" x14ac:dyDescent="0.2">
      <c r="A61" s="33"/>
      <c r="C61" s="33"/>
      <c r="D61" s="33"/>
      <c r="E61" s="33"/>
      <c r="F61" s="33"/>
      <c r="G61" s="33"/>
      <c r="H61" s="33"/>
      <c r="I61" s="33"/>
      <c r="O61" s="58"/>
      <c r="P61" s="59"/>
      <c r="Q61" s="59"/>
    </row>
    <row r="62" spans="1:17" x14ac:dyDescent="0.2">
      <c r="A62" s="33"/>
      <c r="C62" s="33"/>
      <c r="D62" s="33"/>
      <c r="E62" s="33"/>
      <c r="F62" s="33"/>
      <c r="G62" s="33"/>
      <c r="H62" s="33"/>
      <c r="I62" s="33"/>
      <c r="O62" s="58"/>
      <c r="P62" s="59"/>
      <c r="Q62" s="59"/>
    </row>
    <row r="63" spans="1:17" x14ac:dyDescent="0.2">
      <c r="A63" s="33"/>
      <c r="C63" s="33"/>
      <c r="D63" s="33"/>
      <c r="E63" s="33"/>
      <c r="F63" s="33"/>
      <c r="G63" s="33"/>
      <c r="H63" s="33"/>
      <c r="I63" s="33"/>
      <c r="O63" s="58"/>
      <c r="P63" s="59"/>
      <c r="Q63" s="59"/>
    </row>
    <row r="64" spans="1:17" x14ac:dyDescent="0.2">
      <c r="A64" s="33"/>
      <c r="C64" s="33"/>
      <c r="D64" s="33"/>
      <c r="E64" s="33"/>
      <c r="F64" s="33"/>
      <c r="G64" s="33"/>
      <c r="H64" s="33"/>
      <c r="I64" s="33"/>
      <c r="O64" s="58"/>
      <c r="P64" s="59"/>
      <c r="Q64" s="59"/>
    </row>
    <row r="65" spans="1:17" x14ac:dyDescent="0.2">
      <c r="A65" s="33"/>
      <c r="C65" s="33"/>
      <c r="D65" s="33"/>
      <c r="E65" s="33"/>
      <c r="F65" s="33"/>
      <c r="G65" s="33"/>
      <c r="H65" s="33"/>
      <c r="I65" s="33"/>
      <c r="O65" s="58"/>
      <c r="P65" s="59"/>
      <c r="Q65" s="59"/>
    </row>
    <row r="66" spans="1:17" x14ac:dyDescent="0.2">
      <c r="A66" s="33"/>
      <c r="C66" s="33"/>
      <c r="D66" s="33"/>
      <c r="E66" s="33"/>
      <c r="F66" s="33"/>
      <c r="G66" s="33"/>
      <c r="H66" s="33"/>
      <c r="I66" s="33"/>
      <c r="O66" s="58"/>
      <c r="P66" s="59"/>
      <c r="Q66" s="59"/>
    </row>
    <row r="67" spans="1:17" x14ac:dyDescent="0.2">
      <c r="A67" s="33"/>
      <c r="C67" s="33"/>
      <c r="D67" s="33"/>
      <c r="E67" s="33"/>
      <c r="F67" s="33"/>
      <c r="G67" s="33"/>
      <c r="H67" s="33"/>
      <c r="I67" s="33"/>
      <c r="O67" s="58"/>
      <c r="P67" s="59"/>
      <c r="Q67" s="59"/>
    </row>
    <row r="68" spans="1:17" x14ac:dyDescent="0.2">
      <c r="A68" s="33"/>
      <c r="C68" s="33"/>
      <c r="D68" s="33"/>
      <c r="E68" s="33"/>
      <c r="F68" s="33"/>
      <c r="G68" s="33"/>
      <c r="H68" s="33"/>
      <c r="I68" s="33"/>
      <c r="O68" s="58"/>
      <c r="P68" s="59"/>
      <c r="Q68" s="59"/>
    </row>
    <row r="69" spans="1:17" x14ac:dyDescent="0.2">
      <c r="A69" s="33"/>
      <c r="C69" s="33"/>
      <c r="D69" s="33"/>
      <c r="E69" s="33"/>
      <c r="F69" s="33"/>
      <c r="G69" s="33"/>
      <c r="H69" s="33"/>
      <c r="I69" s="33"/>
      <c r="O69" s="58"/>
      <c r="P69" s="59"/>
      <c r="Q69" s="59"/>
    </row>
    <row r="70" spans="1:17" x14ac:dyDescent="0.2">
      <c r="A70" s="33"/>
      <c r="C70" s="33"/>
      <c r="D70" s="33"/>
      <c r="E70" s="33"/>
      <c r="F70" s="33"/>
      <c r="G70" s="33"/>
      <c r="H70" s="33"/>
      <c r="I70" s="33"/>
      <c r="O70" s="58"/>
      <c r="P70" s="59"/>
      <c r="Q70" s="59"/>
    </row>
    <row r="71" spans="1:17" x14ac:dyDescent="0.2">
      <c r="A71" s="33"/>
      <c r="C71" s="33"/>
      <c r="D71" s="33"/>
      <c r="E71" s="33"/>
      <c r="F71" s="33"/>
      <c r="G71" s="33"/>
      <c r="H71" s="33"/>
      <c r="I71" s="33"/>
      <c r="O71" s="58"/>
      <c r="P71" s="59"/>
      <c r="Q71" s="59"/>
    </row>
    <row r="72" spans="1:17" x14ac:dyDescent="0.2">
      <c r="A72" s="33"/>
      <c r="C72" s="33"/>
      <c r="D72" s="33"/>
      <c r="E72" s="33"/>
      <c r="F72" s="33"/>
      <c r="G72" s="33"/>
      <c r="H72" s="33"/>
      <c r="I72" s="33"/>
      <c r="O72" s="58"/>
      <c r="P72" s="59"/>
      <c r="Q72" s="59"/>
    </row>
    <row r="73" spans="1:17" x14ac:dyDescent="0.2">
      <c r="A73" s="33"/>
      <c r="C73" s="33"/>
      <c r="D73" s="33"/>
      <c r="E73" s="33"/>
      <c r="F73" s="33"/>
      <c r="G73" s="33"/>
      <c r="H73" s="33"/>
      <c r="I73" s="33"/>
      <c r="O73" s="58"/>
      <c r="P73" s="59"/>
      <c r="Q73" s="59"/>
    </row>
    <row r="74" spans="1:17" x14ac:dyDescent="0.2">
      <c r="A74" s="33"/>
      <c r="C74" s="33"/>
      <c r="D74" s="33"/>
      <c r="E74" s="33"/>
      <c r="F74" s="33"/>
      <c r="G74" s="33"/>
      <c r="H74" s="33"/>
      <c r="I74" s="33"/>
      <c r="O74" s="58"/>
      <c r="P74" s="59"/>
      <c r="Q74" s="59"/>
    </row>
    <row r="75" spans="1:17" x14ac:dyDescent="0.2">
      <c r="A75" s="33"/>
      <c r="C75" s="33"/>
      <c r="D75" s="33"/>
      <c r="E75" s="33"/>
      <c r="F75" s="33"/>
      <c r="G75" s="33"/>
      <c r="H75" s="33"/>
      <c r="I75" s="33"/>
      <c r="O75" s="58"/>
      <c r="P75" s="59"/>
      <c r="Q75" s="59"/>
    </row>
    <row r="76" spans="1:17" x14ac:dyDescent="0.2">
      <c r="A76" s="33"/>
      <c r="C76" s="33"/>
      <c r="D76" s="33"/>
      <c r="E76" s="33"/>
      <c r="F76" s="33"/>
      <c r="G76" s="33"/>
      <c r="H76" s="33"/>
      <c r="I76" s="33"/>
      <c r="O76" s="58"/>
      <c r="P76" s="59"/>
      <c r="Q76" s="59"/>
    </row>
    <row r="77" spans="1:17" x14ac:dyDescent="0.2">
      <c r="A77" s="33"/>
      <c r="C77" s="33"/>
      <c r="D77" s="33"/>
      <c r="E77" s="33"/>
      <c r="F77" s="33"/>
      <c r="G77" s="33"/>
      <c r="H77" s="33"/>
      <c r="I77" s="33"/>
      <c r="O77" s="58"/>
      <c r="P77" s="59"/>
      <c r="Q77" s="59"/>
    </row>
    <row r="78" spans="1:17" x14ac:dyDescent="0.2">
      <c r="A78" s="33"/>
      <c r="C78" s="33"/>
      <c r="D78" s="33"/>
      <c r="E78" s="33"/>
      <c r="F78" s="33"/>
      <c r="G78" s="33"/>
      <c r="H78" s="33"/>
      <c r="I78" s="33"/>
      <c r="O78" s="58"/>
      <c r="P78" s="59"/>
      <c r="Q78" s="59"/>
    </row>
    <row r="79" spans="1:17" x14ac:dyDescent="0.2">
      <c r="A79" s="33"/>
      <c r="C79" s="33"/>
      <c r="D79" s="33"/>
      <c r="E79" s="33"/>
      <c r="F79" s="33"/>
      <c r="G79" s="33"/>
      <c r="H79" s="33"/>
      <c r="I79" s="33"/>
      <c r="O79" s="58"/>
      <c r="P79" s="59"/>
      <c r="Q79" s="59"/>
    </row>
    <row r="80" spans="1:17" x14ac:dyDescent="0.2">
      <c r="A80" s="33"/>
      <c r="C80" s="33"/>
      <c r="D80" s="33"/>
      <c r="E80" s="33"/>
      <c r="F80" s="33"/>
      <c r="G80" s="33"/>
      <c r="H80" s="33"/>
      <c r="I80" s="33"/>
      <c r="O80" s="58"/>
      <c r="P80" s="59"/>
      <c r="Q80" s="59"/>
    </row>
    <row r="81" spans="1:17" x14ac:dyDescent="0.2">
      <c r="A81" s="33"/>
      <c r="C81" s="33"/>
      <c r="D81" s="33"/>
      <c r="E81" s="33"/>
      <c r="F81" s="33"/>
      <c r="G81" s="33"/>
      <c r="H81" s="33"/>
      <c r="I81" s="33"/>
      <c r="O81" s="58"/>
      <c r="P81" s="59"/>
      <c r="Q81" s="59"/>
    </row>
    <row r="82" spans="1:17" x14ac:dyDescent="0.2">
      <c r="A82" s="33"/>
      <c r="C82" s="33"/>
      <c r="D82" s="33"/>
      <c r="E82" s="33"/>
      <c r="F82" s="33"/>
      <c r="G82" s="33"/>
      <c r="H82" s="33"/>
      <c r="I82" s="33"/>
      <c r="O82" s="58"/>
      <c r="P82" s="59"/>
      <c r="Q82" s="59"/>
    </row>
    <row r="83" spans="1:17" x14ac:dyDescent="0.2">
      <c r="A83" s="33"/>
      <c r="C83" s="33"/>
      <c r="D83" s="33"/>
      <c r="E83" s="33"/>
      <c r="F83" s="33"/>
      <c r="G83" s="33"/>
      <c r="H83" s="33"/>
      <c r="I83" s="33"/>
      <c r="O83" s="58"/>
      <c r="P83" s="59"/>
      <c r="Q83" s="59"/>
    </row>
    <row r="84" spans="1:17" x14ac:dyDescent="0.2">
      <c r="A84" s="33"/>
      <c r="C84" s="33"/>
      <c r="D84" s="33"/>
      <c r="E84" s="33"/>
      <c r="F84" s="33"/>
      <c r="G84" s="33"/>
      <c r="H84" s="33"/>
      <c r="I84" s="33"/>
      <c r="O84" s="58"/>
      <c r="P84" s="59"/>
      <c r="Q84" s="59"/>
    </row>
    <row r="85" spans="1:17" x14ac:dyDescent="0.2">
      <c r="A85" s="33"/>
      <c r="C85" s="33"/>
      <c r="D85" s="33"/>
      <c r="E85" s="33"/>
      <c r="F85" s="33"/>
      <c r="G85" s="33"/>
      <c r="H85" s="33"/>
      <c r="I85" s="33"/>
      <c r="O85" s="58"/>
      <c r="P85" s="59"/>
      <c r="Q85" s="59"/>
    </row>
    <row r="86" spans="1:17" x14ac:dyDescent="0.2">
      <c r="A86" s="33"/>
      <c r="C86" s="33"/>
      <c r="D86" s="33"/>
      <c r="E86" s="33"/>
      <c r="F86" s="33"/>
      <c r="G86" s="33"/>
      <c r="H86" s="33"/>
      <c r="I86" s="33"/>
      <c r="O86" s="58"/>
      <c r="P86" s="59"/>
      <c r="Q86" s="59"/>
    </row>
    <row r="87" spans="1:17" x14ac:dyDescent="0.2">
      <c r="A87" s="33"/>
      <c r="C87" s="33"/>
      <c r="D87" s="33"/>
      <c r="E87" s="33"/>
      <c r="F87" s="33"/>
      <c r="G87" s="33"/>
      <c r="H87" s="33"/>
      <c r="I87" s="33"/>
      <c r="O87" s="58"/>
      <c r="P87" s="59"/>
      <c r="Q87" s="59"/>
    </row>
    <row r="88" spans="1:17" x14ac:dyDescent="0.2">
      <c r="A88" s="33"/>
      <c r="C88" s="33"/>
      <c r="D88" s="33"/>
      <c r="E88" s="33"/>
      <c r="F88" s="33"/>
      <c r="G88" s="33"/>
      <c r="H88" s="33"/>
      <c r="I88" s="33"/>
      <c r="O88" s="58"/>
      <c r="P88" s="59"/>
      <c r="Q88" s="59"/>
    </row>
    <row r="89" spans="1:17" x14ac:dyDescent="0.2">
      <c r="A89" s="33"/>
      <c r="C89" s="33"/>
      <c r="D89" s="33"/>
      <c r="E89" s="33"/>
      <c r="F89" s="33"/>
      <c r="G89" s="33"/>
      <c r="H89" s="33"/>
      <c r="I89" s="33"/>
      <c r="O89" s="58"/>
      <c r="P89" s="59"/>
      <c r="Q89" s="59"/>
    </row>
    <row r="90" spans="1:17" x14ac:dyDescent="0.2">
      <c r="A90" s="33"/>
      <c r="C90" s="33"/>
      <c r="D90" s="33"/>
      <c r="E90" s="33"/>
      <c r="F90" s="33"/>
      <c r="G90" s="33"/>
      <c r="H90" s="33"/>
      <c r="I90" s="33"/>
      <c r="O90" s="58"/>
      <c r="P90" s="59"/>
      <c r="Q90" s="59"/>
    </row>
    <row r="91" spans="1:17" x14ac:dyDescent="0.2">
      <c r="A91" s="33"/>
      <c r="C91" s="33"/>
      <c r="D91" s="33"/>
      <c r="E91" s="33"/>
      <c r="F91" s="33"/>
      <c r="G91" s="33"/>
      <c r="H91" s="33"/>
      <c r="I91" s="33"/>
      <c r="O91" s="58"/>
      <c r="P91" s="59"/>
      <c r="Q91" s="59"/>
    </row>
    <row r="92" spans="1:17" x14ac:dyDescent="0.2">
      <c r="A92" s="33"/>
      <c r="C92" s="33"/>
      <c r="D92" s="33"/>
      <c r="E92" s="33"/>
      <c r="F92" s="33"/>
      <c r="G92" s="33"/>
      <c r="H92" s="33"/>
      <c r="I92" s="33"/>
      <c r="O92" s="58"/>
      <c r="P92" s="59"/>
      <c r="Q92" s="59"/>
    </row>
    <row r="93" spans="1:17" x14ac:dyDescent="0.2">
      <c r="A93" s="33"/>
      <c r="C93" s="33"/>
      <c r="D93" s="33"/>
      <c r="E93" s="33"/>
      <c r="F93" s="33"/>
      <c r="G93" s="33"/>
      <c r="H93" s="33"/>
      <c r="I93" s="33"/>
      <c r="O93" s="58"/>
      <c r="P93" s="59"/>
      <c r="Q93" s="59"/>
    </row>
    <row r="94" spans="1:17" x14ac:dyDescent="0.2">
      <c r="A94" s="33"/>
      <c r="C94" s="33"/>
      <c r="D94" s="33"/>
      <c r="E94" s="33"/>
      <c r="F94" s="33"/>
      <c r="G94" s="33"/>
      <c r="H94" s="33"/>
      <c r="I94" s="33"/>
      <c r="O94" s="58"/>
      <c r="P94" s="59"/>
      <c r="Q94" s="59"/>
    </row>
    <row r="95" spans="1:17" x14ac:dyDescent="0.2">
      <c r="A95" s="33"/>
      <c r="C95" s="33"/>
      <c r="D95" s="33"/>
      <c r="E95" s="33"/>
      <c r="F95" s="33"/>
      <c r="G95" s="33"/>
      <c r="H95" s="33"/>
      <c r="I95" s="33"/>
      <c r="O95" s="58"/>
      <c r="P95" s="59"/>
      <c r="Q95" s="59"/>
    </row>
    <row r="96" spans="1:17" x14ac:dyDescent="0.2">
      <c r="A96" s="33"/>
      <c r="C96" s="33"/>
      <c r="D96" s="33"/>
      <c r="E96" s="33"/>
      <c r="F96" s="33"/>
      <c r="G96" s="33"/>
      <c r="H96" s="33"/>
      <c r="I96" s="33"/>
      <c r="O96" s="58"/>
      <c r="P96" s="59"/>
      <c r="Q96" s="59"/>
    </row>
    <row r="97" spans="1:17" x14ac:dyDescent="0.2">
      <c r="A97" s="33"/>
      <c r="C97" s="33"/>
      <c r="D97" s="33"/>
      <c r="E97" s="33"/>
      <c r="F97" s="33"/>
      <c r="G97" s="33"/>
      <c r="H97" s="33"/>
      <c r="I97" s="33"/>
      <c r="O97" s="58"/>
      <c r="P97" s="59"/>
      <c r="Q97" s="59"/>
    </row>
    <row r="98" spans="1:17" x14ac:dyDescent="0.2">
      <c r="A98" s="33"/>
      <c r="C98" s="33"/>
      <c r="D98" s="33"/>
      <c r="E98" s="33"/>
      <c r="F98" s="33"/>
      <c r="G98" s="33"/>
      <c r="H98" s="33"/>
      <c r="I98" s="33"/>
      <c r="O98" s="58"/>
      <c r="P98" s="59"/>
      <c r="Q98" s="59"/>
    </row>
    <row r="99" spans="1:17" x14ac:dyDescent="0.2">
      <c r="A99" s="33"/>
      <c r="C99" s="33"/>
      <c r="D99" s="33"/>
      <c r="E99" s="33"/>
      <c r="F99" s="33"/>
      <c r="G99" s="33"/>
      <c r="H99" s="33"/>
      <c r="I99" s="33"/>
      <c r="O99" s="58"/>
      <c r="P99" s="59"/>
      <c r="Q99" s="59"/>
    </row>
    <row r="100" spans="1:17" x14ac:dyDescent="0.2">
      <c r="A100" s="33"/>
      <c r="C100" s="33"/>
      <c r="D100" s="33"/>
      <c r="E100" s="33"/>
      <c r="F100" s="33"/>
      <c r="G100" s="33"/>
      <c r="H100" s="33"/>
      <c r="I100" s="33"/>
      <c r="O100" s="58"/>
      <c r="P100" s="59"/>
      <c r="Q100" s="59"/>
    </row>
    <row r="101" spans="1:17" x14ac:dyDescent="0.2">
      <c r="A101" s="33"/>
      <c r="C101" s="33"/>
      <c r="D101" s="33"/>
      <c r="E101" s="33"/>
      <c r="F101" s="33"/>
      <c r="G101" s="33"/>
      <c r="H101" s="33"/>
      <c r="I101" s="33"/>
      <c r="O101" s="58"/>
      <c r="P101" s="59"/>
      <c r="Q101" s="59"/>
    </row>
    <row r="102" spans="1:17" x14ac:dyDescent="0.2">
      <c r="A102" s="33"/>
      <c r="C102" s="33"/>
      <c r="D102" s="33"/>
      <c r="E102" s="33"/>
      <c r="F102" s="33"/>
      <c r="G102" s="33"/>
      <c r="H102" s="33"/>
      <c r="I102" s="33"/>
      <c r="O102" s="58"/>
      <c r="P102" s="59"/>
      <c r="Q102" s="59"/>
    </row>
    <row r="103" spans="1:17" x14ac:dyDescent="0.2">
      <c r="A103" s="33"/>
      <c r="C103" s="33"/>
      <c r="D103" s="33"/>
      <c r="E103" s="33"/>
      <c r="F103" s="33"/>
      <c r="G103" s="33"/>
      <c r="H103" s="33"/>
      <c r="I103" s="33"/>
      <c r="O103" s="58"/>
      <c r="P103" s="59"/>
      <c r="Q103" s="59"/>
    </row>
    <row r="104" spans="1:17" x14ac:dyDescent="0.2">
      <c r="A104" s="33"/>
      <c r="C104" s="33"/>
      <c r="D104" s="33"/>
      <c r="E104" s="33"/>
      <c r="F104" s="33"/>
      <c r="G104" s="33"/>
      <c r="H104" s="33"/>
      <c r="I104" s="33"/>
      <c r="O104" s="58"/>
      <c r="P104" s="59"/>
      <c r="Q104" s="59"/>
    </row>
    <row r="105" spans="1:17" x14ac:dyDescent="0.2">
      <c r="A105" s="33"/>
      <c r="C105" s="33"/>
      <c r="D105" s="33"/>
      <c r="E105" s="33"/>
      <c r="F105" s="33"/>
      <c r="G105" s="33"/>
      <c r="H105" s="33"/>
      <c r="I105" s="33"/>
      <c r="O105" s="58"/>
      <c r="P105" s="59"/>
      <c r="Q105" s="59"/>
    </row>
    <row r="106" spans="1:17" x14ac:dyDescent="0.2">
      <c r="A106" s="33"/>
      <c r="C106" s="33"/>
      <c r="D106" s="33"/>
      <c r="E106" s="33"/>
      <c r="F106" s="33"/>
      <c r="G106" s="33"/>
      <c r="H106" s="33"/>
      <c r="I106" s="33"/>
      <c r="O106" s="58"/>
      <c r="P106" s="59"/>
      <c r="Q106" s="59"/>
    </row>
    <row r="107" spans="1:17" x14ac:dyDescent="0.2">
      <c r="A107" s="33"/>
      <c r="C107" s="33"/>
      <c r="D107" s="33"/>
      <c r="E107" s="33"/>
      <c r="F107" s="33"/>
      <c r="G107" s="33"/>
      <c r="H107" s="33"/>
      <c r="I107" s="33"/>
      <c r="O107" s="58"/>
      <c r="P107" s="59"/>
      <c r="Q107" s="59"/>
    </row>
    <row r="108" spans="1:17" x14ac:dyDescent="0.2">
      <c r="A108" s="33"/>
      <c r="C108" s="33"/>
      <c r="D108" s="33"/>
      <c r="E108" s="33"/>
      <c r="F108" s="33"/>
      <c r="G108" s="33"/>
      <c r="H108" s="33"/>
      <c r="I108" s="33"/>
      <c r="O108" s="58"/>
      <c r="P108" s="59"/>
      <c r="Q108" s="59"/>
    </row>
    <row r="109" spans="1:17" x14ac:dyDescent="0.2">
      <c r="A109" s="33"/>
      <c r="C109" s="33"/>
      <c r="D109" s="33"/>
      <c r="E109" s="33"/>
      <c r="F109" s="33"/>
      <c r="G109" s="33"/>
      <c r="H109" s="33"/>
      <c r="I109" s="33"/>
      <c r="O109" s="58"/>
      <c r="P109" s="59"/>
      <c r="Q109" s="59"/>
    </row>
    <row r="110" spans="1:17" x14ac:dyDescent="0.2">
      <c r="A110" s="33"/>
      <c r="C110" s="33"/>
      <c r="D110" s="33"/>
      <c r="E110" s="33"/>
      <c r="F110" s="33"/>
      <c r="G110" s="33"/>
      <c r="H110" s="33"/>
      <c r="I110" s="33"/>
      <c r="O110" s="58"/>
      <c r="P110" s="59"/>
      <c r="Q110" s="59"/>
    </row>
    <row r="111" spans="1:17" x14ac:dyDescent="0.2">
      <c r="A111" s="33"/>
      <c r="C111" s="33"/>
      <c r="D111" s="33"/>
      <c r="E111" s="33"/>
      <c r="F111" s="33"/>
      <c r="G111" s="33"/>
      <c r="H111" s="33"/>
      <c r="I111" s="33"/>
      <c r="O111" s="58"/>
      <c r="P111" s="59"/>
      <c r="Q111" s="59"/>
    </row>
    <row r="112" spans="1:17" x14ac:dyDescent="0.2">
      <c r="A112" s="33"/>
      <c r="C112" s="33"/>
      <c r="D112" s="33"/>
      <c r="E112" s="33"/>
      <c r="F112" s="33"/>
      <c r="G112" s="33"/>
      <c r="H112" s="33"/>
      <c r="I112" s="33"/>
      <c r="O112" s="58"/>
      <c r="P112" s="59"/>
      <c r="Q112" s="59"/>
    </row>
    <row r="113" spans="1:17" x14ac:dyDescent="0.2">
      <c r="A113" s="33"/>
      <c r="C113" s="33"/>
      <c r="D113" s="33"/>
      <c r="E113" s="33"/>
      <c r="F113" s="33"/>
      <c r="G113" s="33"/>
      <c r="H113" s="33"/>
      <c r="I113" s="33"/>
      <c r="O113" s="58"/>
      <c r="P113" s="59"/>
      <c r="Q113" s="59"/>
    </row>
    <row r="114" spans="1:17" x14ac:dyDescent="0.2">
      <c r="A114" s="33"/>
      <c r="C114" s="33"/>
      <c r="D114" s="33"/>
      <c r="E114" s="33"/>
      <c r="F114" s="33"/>
      <c r="G114" s="33"/>
      <c r="H114" s="33"/>
      <c r="I114" s="33"/>
      <c r="O114" s="58"/>
      <c r="P114" s="59"/>
      <c r="Q114" s="59"/>
    </row>
    <row r="115" spans="1:17" x14ac:dyDescent="0.2">
      <c r="A115" s="33"/>
      <c r="C115" s="33"/>
      <c r="D115" s="33"/>
      <c r="E115" s="33"/>
      <c r="F115" s="33"/>
      <c r="G115" s="33"/>
      <c r="H115" s="33"/>
      <c r="I115" s="33"/>
      <c r="O115" s="58"/>
      <c r="P115" s="59"/>
      <c r="Q115" s="59"/>
    </row>
    <row r="116" spans="1:17" x14ac:dyDescent="0.2">
      <c r="A116" s="33"/>
      <c r="C116" s="33"/>
      <c r="D116" s="33"/>
      <c r="E116" s="33"/>
      <c r="F116" s="33"/>
      <c r="G116" s="33"/>
      <c r="H116" s="33"/>
      <c r="I116" s="33"/>
      <c r="O116" s="58"/>
      <c r="P116" s="59"/>
      <c r="Q116" s="59"/>
    </row>
    <row r="117" spans="1:17" x14ac:dyDescent="0.2">
      <c r="A117" s="33"/>
      <c r="C117" s="33"/>
      <c r="D117" s="33"/>
      <c r="E117" s="33"/>
      <c r="F117" s="33"/>
      <c r="G117" s="33"/>
      <c r="H117" s="33"/>
      <c r="I117" s="33"/>
      <c r="O117" s="58"/>
      <c r="P117" s="59"/>
      <c r="Q117" s="59"/>
    </row>
    <row r="118" spans="1:17" x14ac:dyDescent="0.2">
      <c r="A118" s="33"/>
      <c r="C118" s="33"/>
      <c r="D118" s="33"/>
      <c r="E118" s="33"/>
      <c r="F118" s="33"/>
      <c r="G118" s="33"/>
      <c r="H118" s="33"/>
      <c r="I118" s="33"/>
      <c r="O118" s="58"/>
      <c r="P118" s="59"/>
      <c r="Q118" s="59"/>
    </row>
    <row r="119" spans="1:17" x14ac:dyDescent="0.2">
      <c r="A119" s="33"/>
      <c r="C119" s="33"/>
      <c r="D119" s="33"/>
      <c r="E119" s="33"/>
      <c r="F119" s="33"/>
      <c r="G119" s="33"/>
      <c r="H119" s="33"/>
      <c r="I119" s="33"/>
      <c r="O119" s="58"/>
      <c r="P119" s="59"/>
      <c r="Q119" s="59"/>
    </row>
    <row r="120" spans="1:17" x14ac:dyDescent="0.2">
      <c r="A120" s="33"/>
      <c r="C120" s="33"/>
      <c r="D120" s="33"/>
      <c r="E120" s="33"/>
      <c r="F120" s="33"/>
      <c r="G120" s="33"/>
      <c r="H120" s="33"/>
      <c r="I120" s="33"/>
      <c r="O120" s="58"/>
      <c r="P120" s="59"/>
      <c r="Q120" s="59"/>
    </row>
    <row r="121" spans="1:17" x14ac:dyDescent="0.2">
      <c r="A121" s="33"/>
      <c r="C121" s="33"/>
      <c r="D121" s="33"/>
      <c r="E121" s="33"/>
      <c r="F121" s="33"/>
      <c r="G121" s="33"/>
      <c r="H121" s="33"/>
      <c r="I121" s="33"/>
      <c r="O121" s="58"/>
      <c r="P121" s="59"/>
      <c r="Q121" s="59"/>
    </row>
    <row r="122" spans="1:17" x14ac:dyDescent="0.2">
      <c r="A122" s="33"/>
      <c r="C122" s="33"/>
      <c r="D122" s="33"/>
      <c r="E122" s="33"/>
      <c r="F122" s="33"/>
      <c r="G122" s="33"/>
      <c r="H122" s="33"/>
      <c r="I122" s="33"/>
      <c r="O122" s="58"/>
      <c r="P122" s="59"/>
      <c r="Q122" s="59"/>
    </row>
    <row r="123" spans="1:17" x14ac:dyDescent="0.2">
      <c r="A123" s="33"/>
      <c r="C123" s="33"/>
      <c r="D123" s="33"/>
      <c r="E123" s="33"/>
      <c r="F123" s="33"/>
      <c r="G123" s="33"/>
      <c r="H123" s="33"/>
      <c r="I123" s="33"/>
      <c r="O123" s="58"/>
      <c r="P123" s="59"/>
      <c r="Q123" s="59"/>
    </row>
    <row r="124" spans="1:17" x14ac:dyDescent="0.2">
      <c r="A124" s="33"/>
      <c r="C124" s="33"/>
      <c r="D124" s="33"/>
      <c r="E124" s="33"/>
      <c r="F124" s="33"/>
      <c r="G124" s="33"/>
      <c r="H124" s="33"/>
      <c r="I124" s="33"/>
      <c r="O124" s="58"/>
      <c r="P124" s="59"/>
      <c r="Q124" s="59"/>
    </row>
    <row r="125" spans="1:17" x14ac:dyDescent="0.2">
      <c r="A125" s="33"/>
      <c r="C125" s="33"/>
      <c r="D125" s="33"/>
      <c r="E125" s="33"/>
      <c r="F125" s="33"/>
      <c r="G125" s="33"/>
      <c r="H125" s="33"/>
      <c r="I125" s="33"/>
      <c r="O125" s="58"/>
      <c r="P125" s="59"/>
      <c r="Q125" s="59"/>
    </row>
    <row r="126" spans="1:17" x14ac:dyDescent="0.2">
      <c r="A126" s="33"/>
      <c r="C126" s="33"/>
      <c r="D126" s="33"/>
      <c r="E126" s="33"/>
      <c r="F126" s="33"/>
      <c r="G126" s="33"/>
      <c r="H126" s="33"/>
      <c r="I126" s="33"/>
      <c r="O126" s="58"/>
      <c r="P126" s="59"/>
      <c r="Q126" s="59"/>
    </row>
    <row r="127" spans="1:17" x14ac:dyDescent="0.2">
      <c r="A127" s="33"/>
      <c r="C127" s="33"/>
      <c r="D127" s="33"/>
      <c r="E127" s="33"/>
      <c r="F127" s="33"/>
      <c r="G127" s="33"/>
      <c r="H127" s="33"/>
      <c r="I127" s="33"/>
      <c r="O127" s="58"/>
      <c r="P127" s="59"/>
      <c r="Q127" s="59"/>
    </row>
    <row r="128" spans="1:17" x14ac:dyDescent="0.2">
      <c r="A128" s="33"/>
      <c r="C128" s="33"/>
      <c r="D128" s="33"/>
      <c r="E128" s="33"/>
      <c r="F128" s="33"/>
      <c r="G128" s="33"/>
      <c r="H128" s="33"/>
      <c r="I128" s="33"/>
      <c r="O128" s="58"/>
      <c r="P128" s="59"/>
      <c r="Q128" s="59"/>
    </row>
    <row r="129" spans="1:17" x14ac:dyDescent="0.2">
      <c r="A129" s="33"/>
      <c r="C129" s="33"/>
      <c r="D129" s="33"/>
      <c r="E129" s="33"/>
      <c r="F129" s="33"/>
      <c r="G129" s="33"/>
      <c r="H129" s="33"/>
      <c r="I129" s="33"/>
      <c r="O129" s="58"/>
      <c r="P129" s="59"/>
      <c r="Q129" s="59"/>
    </row>
    <row r="130" spans="1:17" x14ac:dyDescent="0.2">
      <c r="A130" s="33"/>
      <c r="C130" s="33"/>
      <c r="D130" s="33"/>
      <c r="E130" s="33"/>
      <c r="F130" s="33"/>
      <c r="G130" s="33"/>
      <c r="H130" s="33"/>
      <c r="I130" s="33"/>
      <c r="O130" s="58"/>
      <c r="P130" s="59"/>
      <c r="Q130" s="59"/>
    </row>
    <row r="131" spans="1:17" x14ac:dyDescent="0.2">
      <c r="A131" s="33"/>
      <c r="C131" s="33"/>
      <c r="D131" s="33"/>
      <c r="E131" s="33"/>
      <c r="F131" s="33"/>
      <c r="G131" s="33"/>
      <c r="H131" s="33"/>
      <c r="I131" s="33"/>
      <c r="O131" s="58"/>
      <c r="P131" s="59"/>
      <c r="Q131" s="59"/>
    </row>
    <row r="132" spans="1:17" x14ac:dyDescent="0.2">
      <c r="A132" s="33"/>
      <c r="C132" s="33"/>
      <c r="D132" s="33"/>
      <c r="E132" s="33"/>
      <c r="F132" s="33"/>
      <c r="G132" s="33"/>
      <c r="H132" s="33"/>
      <c r="I132" s="33"/>
      <c r="O132" s="58"/>
      <c r="P132" s="59"/>
      <c r="Q132" s="59"/>
    </row>
    <row r="133" spans="1:17" x14ac:dyDescent="0.2">
      <c r="A133" s="33"/>
      <c r="C133" s="33"/>
      <c r="D133" s="33"/>
      <c r="E133" s="33"/>
      <c r="F133" s="33"/>
      <c r="G133" s="33"/>
      <c r="H133" s="33"/>
      <c r="I133" s="33"/>
      <c r="O133" s="58"/>
      <c r="P133" s="59"/>
      <c r="Q133" s="59"/>
    </row>
    <row r="134" spans="1:17" x14ac:dyDescent="0.2">
      <c r="A134" s="33"/>
      <c r="C134" s="33"/>
      <c r="D134" s="33"/>
      <c r="E134" s="33"/>
      <c r="F134" s="33"/>
      <c r="G134" s="33"/>
      <c r="H134" s="33"/>
      <c r="I134" s="33"/>
      <c r="O134" s="58"/>
      <c r="P134" s="59"/>
      <c r="Q134" s="59"/>
    </row>
    <row r="135" spans="1:17" x14ac:dyDescent="0.2">
      <c r="A135" s="33"/>
      <c r="C135" s="33"/>
      <c r="D135" s="33"/>
      <c r="E135" s="33"/>
      <c r="F135" s="33"/>
      <c r="G135" s="33"/>
      <c r="H135" s="33"/>
      <c r="I135" s="33"/>
      <c r="O135" s="58"/>
      <c r="P135" s="59"/>
      <c r="Q135" s="59"/>
    </row>
    <row r="136" spans="1:17" x14ac:dyDescent="0.2">
      <c r="A136" s="33"/>
      <c r="C136" s="33"/>
      <c r="D136" s="33"/>
      <c r="E136" s="33"/>
      <c r="F136" s="33"/>
      <c r="G136" s="33"/>
      <c r="H136" s="33"/>
      <c r="I136" s="33"/>
      <c r="O136" s="58"/>
      <c r="P136" s="59"/>
      <c r="Q136" s="59"/>
    </row>
    <row r="137" spans="1:17" x14ac:dyDescent="0.2">
      <c r="A137" s="33"/>
      <c r="C137" s="33"/>
      <c r="D137" s="33"/>
      <c r="E137" s="33"/>
      <c r="F137" s="33"/>
      <c r="G137" s="33"/>
      <c r="H137" s="33"/>
      <c r="I137" s="33"/>
      <c r="O137" s="58"/>
      <c r="P137" s="59"/>
      <c r="Q137" s="59"/>
    </row>
    <row r="138" spans="1:17" x14ac:dyDescent="0.2">
      <c r="A138" s="33"/>
      <c r="C138" s="33"/>
      <c r="D138" s="33"/>
      <c r="E138" s="33"/>
      <c r="F138" s="33"/>
      <c r="G138" s="33"/>
      <c r="H138" s="33"/>
      <c r="I138" s="33"/>
      <c r="O138" s="58"/>
      <c r="P138" s="59"/>
      <c r="Q138" s="59"/>
    </row>
    <row r="139" spans="1:17" x14ac:dyDescent="0.2">
      <c r="A139" s="33"/>
      <c r="C139" s="33"/>
      <c r="D139" s="33"/>
      <c r="E139" s="33"/>
      <c r="F139" s="33"/>
      <c r="G139" s="33"/>
      <c r="H139" s="33"/>
      <c r="I139" s="33"/>
      <c r="O139" s="58"/>
      <c r="P139" s="59"/>
      <c r="Q139" s="59"/>
    </row>
    <row r="140" spans="1:17" x14ac:dyDescent="0.2">
      <c r="A140" s="33"/>
      <c r="C140" s="33"/>
      <c r="D140" s="33"/>
      <c r="E140" s="33"/>
      <c r="F140" s="33"/>
      <c r="G140" s="33"/>
      <c r="H140" s="33"/>
      <c r="I140" s="33"/>
      <c r="O140" s="58"/>
      <c r="P140" s="59"/>
      <c r="Q140" s="59"/>
    </row>
    <row r="141" spans="1:17" x14ac:dyDescent="0.2">
      <c r="A141" s="33"/>
      <c r="C141" s="33"/>
      <c r="D141" s="33"/>
      <c r="E141" s="33"/>
      <c r="F141" s="33"/>
      <c r="G141" s="33"/>
      <c r="H141" s="33"/>
      <c r="I141" s="33"/>
      <c r="O141" s="58"/>
      <c r="P141" s="59"/>
      <c r="Q141" s="59"/>
    </row>
    <row r="142" spans="1:17" x14ac:dyDescent="0.2">
      <c r="A142" s="33"/>
      <c r="C142" s="33"/>
      <c r="D142" s="33"/>
      <c r="E142" s="33"/>
      <c r="F142" s="33"/>
      <c r="G142" s="33"/>
      <c r="H142" s="33"/>
      <c r="I142" s="33"/>
      <c r="O142" s="58"/>
      <c r="P142" s="59"/>
      <c r="Q142" s="59"/>
    </row>
    <row r="143" spans="1:17" x14ac:dyDescent="0.2">
      <c r="A143" s="33"/>
      <c r="C143" s="33"/>
      <c r="D143" s="33"/>
      <c r="E143" s="33"/>
      <c r="F143" s="33"/>
      <c r="G143" s="33"/>
      <c r="H143" s="33"/>
      <c r="I143" s="33"/>
      <c r="O143" s="58"/>
      <c r="P143" s="59"/>
      <c r="Q143" s="59"/>
    </row>
    <row r="144" spans="1:17" x14ac:dyDescent="0.2">
      <c r="A144" s="33"/>
      <c r="C144" s="33"/>
      <c r="D144" s="33"/>
      <c r="E144" s="33"/>
      <c r="F144" s="33"/>
      <c r="G144" s="33"/>
      <c r="H144" s="33"/>
      <c r="I144" s="33"/>
      <c r="O144" s="58"/>
      <c r="P144" s="59"/>
      <c r="Q144" s="59"/>
    </row>
    <row r="145" spans="1:17" x14ac:dyDescent="0.2">
      <c r="A145" s="33"/>
      <c r="C145" s="33"/>
      <c r="D145" s="33"/>
      <c r="E145" s="33"/>
      <c r="F145" s="33"/>
      <c r="G145" s="33"/>
      <c r="H145" s="33"/>
      <c r="I145" s="33"/>
      <c r="O145" s="58"/>
      <c r="P145" s="59"/>
      <c r="Q145" s="59"/>
    </row>
    <row r="146" spans="1:17" x14ac:dyDescent="0.2">
      <c r="A146" s="33"/>
      <c r="C146" s="33"/>
      <c r="D146" s="33"/>
      <c r="E146" s="33"/>
      <c r="F146" s="33"/>
      <c r="G146" s="33"/>
      <c r="H146" s="33"/>
      <c r="I146" s="33"/>
      <c r="O146" s="58"/>
      <c r="P146" s="59"/>
      <c r="Q146" s="59"/>
    </row>
    <row r="147" spans="1:17" x14ac:dyDescent="0.2">
      <c r="A147" s="33"/>
      <c r="C147" s="33"/>
      <c r="D147" s="33"/>
      <c r="E147" s="33"/>
      <c r="F147" s="33"/>
      <c r="G147" s="33"/>
      <c r="H147" s="33"/>
      <c r="I147" s="33"/>
      <c r="O147" s="58"/>
      <c r="P147" s="59"/>
      <c r="Q147" s="59"/>
    </row>
    <row r="148" spans="1:17" x14ac:dyDescent="0.2">
      <c r="A148" s="33"/>
      <c r="C148" s="33"/>
      <c r="D148" s="33"/>
      <c r="E148" s="33"/>
      <c r="F148" s="33"/>
      <c r="G148" s="33"/>
      <c r="H148" s="33"/>
      <c r="I148" s="33"/>
      <c r="O148" s="58"/>
      <c r="P148" s="59"/>
      <c r="Q148" s="59"/>
    </row>
    <row r="149" spans="1:17" x14ac:dyDescent="0.2">
      <c r="A149" s="33"/>
      <c r="C149" s="33"/>
      <c r="D149" s="33"/>
      <c r="E149" s="33"/>
      <c r="F149" s="33"/>
      <c r="G149" s="33"/>
      <c r="H149" s="33"/>
      <c r="I149" s="33"/>
      <c r="O149" s="58"/>
      <c r="P149" s="59"/>
      <c r="Q149" s="59"/>
    </row>
    <row r="150" spans="1:17" x14ac:dyDescent="0.2">
      <c r="A150" s="33"/>
      <c r="C150" s="33"/>
      <c r="D150" s="33"/>
      <c r="E150" s="33"/>
      <c r="F150" s="33"/>
      <c r="G150" s="33"/>
      <c r="H150" s="33"/>
      <c r="I150" s="33"/>
      <c r="O150" s="58"/>
      <c r="P150" s="59"/>
      <c r="Q150" s="59"/>
    </row>
    <row r="151" spans="1:17" x14ac:dyDescent="0.2">
      <c r="A151" s="33"/>
      <c r="C151" s="33"/>
      <c r="D151" s="33"/>
      <c r="E151" s="33"/>
      <c r="F151" s="33"/>
      <c r="G151" s="33"/>
      <c r="H151" s="33"/>
      <c r="I151" s="33"/>
      <c r="O151" s="58"/>
      <c r="P151" s="59"/>
      <c r="Q151" s="59"/>
    </row>
    <row r="152" spans="1:17" x14ac:dyDescent="0.2">
      <c r="A152" s="33"/>
      <c r="C152" s="33"/>
      <c r="D152" s="33"/>
      <c r="E152" s="33"/>
      <c r="F152" s="33"/>
      <c r="G152" s="33"/>
      <c r="H152" s="33"/>
      <c r="I152" s="33"/>
      <c r="O152" s="58"/>
      <c r="P152" s="59"/>
      <c r="Q152" s="59"/>
    </row>
    <row r="153" spans="1:17" x14ac:dyDescent="0.2">
      <c r="A153" s="33"/>
      <c r="C153" s="33"/>
      <c r="D153" s="33"/>
      <c r="E153" s="33"/>
      <c r="F153" s="33"/>
      <c r="G153" s="33"/>
      <c r="H153" s="33"/>
      <c r="I153" s="33"/>
      <c r="O153" s="58"/>
      <c r="P153" s="59"/>
      <c r="Q153" s="59"/>
    </row>
    <row r="154" spans="1:17" x14ac:dyDescent="0.2">
      <c r="A154" s="33"/>
      <c r="C154" s="33"/>
      <c r="D154" s="33"/>
      <c r="E154" s="33"/>
      <c r="F154" s="33"/>
      <c r="G154" s="33"/>
      <c r="H154" s="33"/>
      <c r="I154" s="33"/>
      <c r="O154" s="58"/>
      <c r="P154" s="59"/>
      <c r="Q154" s="59"/>
    </row>
    <row r="155" spans="1:17" x14ac:dyDescent="0.2">
      <c r="A155" s="33"/>
      <c r="C155" s="33"/>
      <c r="D155" s="33"/>
      <c r="E155" s="33"/>
      <c r="F155" s="33"/>
      <c r="G155" s="33"/>
      <c r="H155" s="33"/>
      <c r="I155" s="33"/>
      <c r="O155" s="58"/>
      <c r="P155" s="59"/>
      <c r="Q155" s="59"/>
    </row>
    <row r="156" spans="1:17" x14ac:dyDescent="0.2">
      <c r="A156" s="33"/>
      <c r="C156" s="33"/>
      <c r="D156" s="33"/>
      <c r="E156" s="33"/>
      <c r="F156" s="33"/>
      <c r="G156" s="33"/>
      <c r="H156" s="33"/>
      <c r="I156" s="33"/>
      <c r="O156" s="58"/>
      <c r="P156" s="59"/>
      <c r="Q156" s="59"/>
    </row>
    <row r="157" spans="1:17" x14ac:dyDescent="0.2">
      <c r="A157" s="33"/>
      <c r="C157" s="33"/>
      <c r="D157" s="33"/>
      <c r="E157" s="33"/>
      <c r="F157" s="33"/>
      <c r="G157" s="33"/>
      <c r="H157" s="33"/>
      <c r="I157" s="33"/>
      <c r="O157" s="58"/>
      <c r="P157" s="59"/>
      <c r="Q157" s="59"/>
    </row>
    <row r="158" spans="1:17" x14ac:dyDescent="0.2">
      <c r="A158" s="33"/>
      <c r="C158" s="33"/>
      <c r="D158" s="33"/>
      <c r="E158" s="33"/>
      <c r="F158" s="33"/>
      <c r="G158" s="33"/>
      <c r="H158" s="33"/>
      <c r="I158" s="33"/>
      <c r="O158" s="58"/>
      <c r="P158" s="59"/>
      <c r="Q158" s="59"/>
    </row>
    <row r="159" spans="1:17" x14ac:dyDescent="0.2">
      <c r="A159" s="33"/>
      <c r="C159" s="33"/>
      <c r="D159" s="33"/>
      <c r="E159" s="33"/>
      <c r="F159" s="33"/>
      <c r="G159" s="33"/>
      <c r="H159" s="33"/>
      <c r="I159" s="33"/>
      <c r="O159" s="58"/>
      <c r="P159" s="59"/>
      <c r="Q159" s="59"/>
    </row>
    <row r="160" spans="1:17" x14ac:dyDescent="0.2">
      <c r="A160" s="33"/>
      <c r="C160" s="33"/>
      <c r="D160" s="33"/>
      <c r="E160" s="33"/>
      <c r="F160" s="33"/>
      <c r="G160" s="33"/>
      <c r="H160" s="33"/>
      <c r="I160" s="33"/>
      <c r="O160" s="58"/>
      <c r="P160" s="59"/>
      <c r="Q160" s="59"/>
    </row>
    <row r="161" spans="1:17" x14ac:dyDescent="0.2">
      <c r="A161" s="33"/>
      <c r="C161" s="33"/>
      <c r="D161" s="33"/>
      <c r="E161" s="33"/>
      <c r="F161" s="33"/>
      <c r="G161" s="33"/>
      <c r="H161" s="33"/>
      <c r="I161" s="33"/>
      <c r="O161" s="58"/>
      <c r="P161" s="59"/>
      <c r="Q161" s="59"/>
    </row>
    <row r="162" spans="1:17" x14ac:dyDescent="0.2">
      <c r="A162" s="33"/>
      <c r="C162" s="33"/>
      <c r="D162" s="33"/>
      <c r="E162" s="33"/>
      <c r="F162" s="33"/>
      <c r="G162" s="33"/>
      <c r="H162" s="33"/>
      <c r="I162" s="33"/>
      <c r="O162" s="58"/>
      <c r="P162" s="59"/>
      <c r="Q162" s="59"/>
    </row>
    <row r="163" spans="1:17" x14ac:dyDescent="0.2">
      <c r="A163" s="33"/>
      <c r="C163" s="33"/>
      <c r="D163" s="33"/>
      <c r="E163" s="33"/>
      <c r="F163" s="33"/>
      <c r="G163" s="33"/>
      <c r="H163" s="33"/>
      <c r="I163" s="33"/>
      <c r="O163" s="58"/>
      <c r="P163" s="59"/>
      <c r="Q163" s="59"/>
    </row>
    <row r="164" spans="1:17" x14ac:dyDescent="0.2">
      <c r="A164" s="33"/>
      <c r="C164" s="33"/>
      <c r="D164" s="33"/>
      <c r="E164" s="33"/>
      <c r="F164" s="33"/>
      <c r="G164" s="33"/>
      <c r="H164" s="33"/>
      <c r="I164" s="33"/>
      <c r="O164" s="58"/>
      <c r="P164" s="59"/>
      <c r="Q164" s="59"/>
    </row>
    <row r="165" spans="1:17" x14ac:dyDescent="0.2">
      <c r="A165" s="33"/>
      <c r="C165" s="33"/>
      <c r="D165" s="33"/>
      <c r="E165" s="33"/>
      <c r="F165" s="33"/>
      <c r="G165" s="33"/>
      <c r="H165" s="33"/>
      <c r="I165" s="33"/>
      <c r="O165" s="58"/>
      <c r="P165" s="59"/>
      <c r="Q165" s="59"/>
    </row>
    <row r="166" spans="1:17" x14ac:dyDescent="0.2">
      <c r="A166" s="33"/>
      <c r="C166" s="33"/>
      <c r="D166" s="33"/>
      <c r="E166" s="33"/>
      <c r="F166" s="33"/>
      <c r="G166" s="33"/>
      <c r="H166" s="33"/>
      <c r="I166" s="33"/>
      <c r="O166" s="58"/>
      <c r="P166" s="59"/>
      <c r="Q166" s="59"/>
    </row>
    <row r="167" spans="1:17" x14ac:dyDescent="0.2">
      <c r="A167" s="33"/>
      <c r="C167" s="33"/>
      <c r="D167" s="33"/>
      <c r="E167" s="33"/>
      <c r="F167" s="33"/>
      <c r="G167" s="33"/>
      <c r="H167" s="33"/>
      <c r="I167" s="33"/>
      <c r="O167" s="58"/>
      <c r="P167" s="59"/>
      <c r="Q167" s="59"/>
    </row>
    <row r="168" spans="1:17" x14ac:dyDescent="0.2">
      <c r="A168" s="33"/>
      <c r="C168" s="33"/>
      <c r="D168" s="33"/>
      <c r="E168" s="33"/>
      <c r="F168" s="33"/>
      <c r="G168" s="33"/>
      <c r="H168" s="33"/>
      <c r="I168" s="33"/>
      <c r="O168" s="58"/>
      <c r="P168" s="59"/>
      <c r="Q168" s="59"/>
    </row>
    <row r="169" spans="1:17" x14ac:dyDescent="0.2">
      <c r="A169" s="33"/>
      <c r="C169" s="33"/>
      <c r="D169" s="33"/>
      <c r="E169" s="33"/>
      <c r="F169" s="33"/>
      <c r="G169" s="33"/>
      <c r="H169" s="33"/>
      <c r="I169" s="33"/>
      <c r="O169" s="58"/>
      <c r="P169" s="59"/>
      <c r="Q169" s="59"/>
    </row>
    <row r="170" spans="1:17" x14ac:dyDescent="0.2">
      <c r="A170" s="33"/>
      <c r="C170" s="33"/>
      <c r="D170" s="33"/>
      <c r="E170" s="33"/>
      <c r="F170" s="33"/>
      <c r="G170" s="33"/>
      <c r="H170" s="33"/>
      <c r="I170" s="33"/>
      <c r="O170" s="58"/>
      <c r="P170" s="59"/>
      <c r="Q170" s="59"/>
    </row>
    <row r="171" spans="1:17" x14ac:dyDescent="0.2">
      <c r="A171" s="33"/>
      <c r="C171" s="33"/>
      <c r="D171" s="33"/>
      <c r="E171" s="33"/>
      <c r="F171" s="33"/>
      <c r="G171" s="33"/>
      <c r="H171" s="33"/>
      <c r="I171" s="33"/>
      <c r="O171" s="58"/>
      <c r="P171" s="59"/>
      <c r="Q171" s="59"/>
    </row>
    <row r="172" spans="1:17" x14ac:dyDescent="0.2">
      <c r="A172" s="33"/>
      <c r="C172" s="33"/>
      <c r="D172" s="33"/>
      <c r="E172" s="33"/>
      <c r="F172" s="33"/>
      <c r="G172" s="33"/>
      <c r="H172" s="33"/>
      <c r="I172" s="33"/>
      <c r="O172" s="58"/>
      <c r="P172" s="59"/>
      <c r="Q172" s="59"/>
    </row>
    <row r="173" spans="1:17" x14ac:dyDescent="0.2">
      <c r="A173" s="33"/>
      <c r="C173" s="33"/>
      <c r="D173" s="33"/>
      <c r="E173" s="33"/>
      <c r="F173" s="33"/>
      <c r="G173" s="33"/>
      <c r="H173" s="33"/>
      <c r="I173" s="33"/>
      <c r="O173" s="58"/>
      <c r="P173" s="59"/>
      <c r="Q173" s="59"/>
    </row>
    <row r="174" spans="1:17" x14ac:dyDescent="0.2">
      <c r="A174" s="33"/>
      <c r="C174" s="33"/>
      <c r="D174" s="33"/>
      <c r="E174" s="33"/>
      <c r="F174" s="33"/>
      <c r="G174" s="33"/>
      <c r="H174" s="33"/>
      <c r="I174" s="33"/>
      <c r="O174" s="58"/>
      <c r="P174" s="59"/>
      <c r="Q174" s="59"/>
    </row>
    <row r="175" spans="1:17" x14ac:dyDescent="0.2">
      <c r="A175" s="33"/>
      <c r="C175" s="33"/>
      <c r="D175" s="33"/>
      <c r="E175" s="33"/>
      <c r="F175" s="33"/>
      <c r="G175" s="33"/>
      <c r="H175" s="33"/>
      <c r="I175" s="33"/>
      <c r="O175" s="58"/>
      <c r="P175" s="59"/>
      <c r="Q175" s="59"/>
    </row>
    <row r="176" spans="1:17" x14ac:dyDescent="0.2">
      <c r="A176" s="33"/>
      <c r="C176" s="33"/>
      <c r="D176" s="33"/>
      <c r="E176" s="33"/>
      <c r="F176" s="33"/>
      <c r="G176" s="33"/>
      <c r="H176" s="33"/>
      <c r="I176" s="33"/>
      <c r="O176" s="58"/>
      <c r="P176" s="59"/>
      <c r="Q176" s="59"/>
    </row>
    <row r="177" spans="1:17" x14ac:dyDescent="0.2">
      <c r="A177" s="33"/>
      <c r="C177" s="33"/>
      <c r="D177" s="33"/>
      <c r="E177" s="33"/>
      <c r="F177" s="33"/>
      <c r="G177" s="33"/>
      <c r="H177" s="33"/>
      <c r="I177" s="33"/>
      <c r="O177" s="58"/>
      <c r="P177" s="59"/>
      <c r="Q177" s="59"/>
    </row>
    <row r="178" spans="1:17" x14ac:dyDescent="0.2">
      <c r="A178" s="33"/>
      <c r="C178" s="33"/>
      <c r="D178" s="33"/>
      <c r="E178" s="33"/>
      <c r="F178" s="33"/>
      <c r="G178" s="33"/>
      <c r="H178" s="33"/>
      <c r="I178" s="33"/>
      <c r="O178" s="58"/>
      <c r="P178" s="59"/>
      <c r="Q178" s="59"/>
    </row>
    <row r="179" spans="1:17" x14ac:dyDescent="0.2">
      <c r="A179" s="33"/>
      <c r="C179" s="33"/>
      <c r="D179" s="33"/>
      <c r="E179" s="33"/>
      <c r="F179" s="33"/>
      <c r="G179" s="33"/>
      <c r="H179" s="33"/>
      <c r="I179" s="33"/>
      <c r="O179" s="58"/>
      <c r="P179" s="59"/>
      <c r="Q179" s="59"/>
    </row>
    <row r="180" spans="1:17" x14ac:dyDescent="0.2">
      <c r="A180" s="33"/>
      <c r="C180" s="33"/>
      <c r="D180" s="33"/>
      <c r="E180" s="33"/>
      <c r="F180" s="33"/>
      <c r="G180" s="33"/>
      <c r="H180" s="33"/>
      <c r="I180" s="33"/>
      <c r="O180" s="58"/>
      <c r="P180" s="59"/>
      <c r="Q180" s="59"/>
    </row>
    <row r="181" spans="1:17" x14ac:dyDescent="0.2">
      <c r="A181" s="33"/>
      <c r="C181" s="33"/>
      <c r="D181" s="33"/>
      <c r="E181" s="33"/>
      <c r="F181" s="33"/>
      <c r="G181" s="33"/>
      <c r="H181" s="33"/>
      <c r="I181" s="33"/>
      <c r="O181" s="58"/>
      <c r="P181" s="59"/>
      <c r="Q181" s="59"/>
    </row>
    <row r="182" spans="1:17" x14ac:dyDescent="0.2">
      <c r="A182" s="33"/>
      <c r="C182" s="33"/>
      <c r="D182" s="33"/>
      <c r="E182" s="33"/>
      <c r="F182" s="33"/>
      <c r="G182" s="33"/>
      <c r="H182" s="33"/>
      <c r="I182" s="33"/>
      <c r="O182" s="58"/>
      <c r="P182" s="59"/>
      <c r="Q182" s="59"/>
    </row>
    <row r="183" spans="1:17" x14ac:dyDescent="0.2">
      <c r="A183" s="33"/>
      <c r="C183" s="33"/>
      <c r="D183" s="33"/>
      <c r="E183" s="33"/>
      <c r="F183" s="33"/>
      <c r="G183" s="33"/>
      <c r="H183" s="33"/>
      <c r="I183" s="33"/>
      <c r="O183" s="58"/>
      <c r="P183" s="59"/>
      <c r="Q183" s="59"/>
    </row>
    <row r="184" spans="1:17" x14ac:dyDescent="0.2">
      <c r="A184" s="33"/>
      <c r="C184" s="33"/>
      <c r="D184" s="33"/>
      <c r="E184" s="33"/>
      <c r="F184" s="33"/>
      <c r="G184" s="33"/>
      <c r="H184" s="33"/>
      <c r="I184" s="33"/>
      <c r="O184" s="58"/>
      <c r="P184" s="59"/>
      <c r="Q184" s="59"/>
    </row>
    <row r="185" spans="1:17" x14ac:dyDescent="0.2">
      <c r="A185" s="33"/>
      <c r="C185" s="33"/>
      <c r="D185" s="33"/>
      <c r="E185" s="33"/>
      <c r="F185" s="33"/>
      <c r="G185" s="33"/>
      <c r="H185" s="33"/>
      <c r="I185" s="33"/>
      <c r="O185" s="58"/>
      <c r="P185" s="59"/>
      <c r="Q185" s="59"/>
    </row>
    <row r="186" spans="1:17" x14ac:dyDescent="0.2">
      <c r="A186" s="33"/>
      <c r="C186" s="33"/>
      <c r="D186" s="33"/>
      <c r="E186" s="33"/>
      <c r="F186" s="33"/>
      <c r="G186" s="33"/>
      <c r="H186" s="33"/>
      <c r="I186" s="33"/>
      <c r="O186" s="58"/>
      <c r="P186" s="59"/>
      <c r="Q186" s="59"/>
    </row>
    <row r="187" spans="1:17" x14ac:dyDescent="0.2">
      <c r="A187" s="33"/>
      <c r="C187" s="33"/>
      <c r="D187" s="33"/>
      <c r="E187" s="33"/>
      <c r="F187" s="33"/>
      <c r="G187" s="33"/>
      <c r="H187" s="33"/>
      <c r="I187" s="33"/>
      <c r="O187" s="58"/>
      <c r="P187" s="59"/>
      <c r="Q187" s="59"/>
    </row>
    <row r="188" spans="1:17" x14ac:dyDescent="0.2">
      <c r="A188" s="33"/>
      <c r="C188" s="33"/>
      <c r="D188" s="33"/>
      <c r="E188" s="33"/>
      <c r="F188" s="33"/>
      <c r="G188" s="33"/>
      <c r="H188" s="33"/>
      <c r="I188" s="33"/>
      <c r="O188" s="58"/>
      <c r="P188" s="59"/>
      <c r="Q188" s="59"/>
    </row>
    <row r="189" spans="1:17" x14ac:dyDescent="0.2">
      <c r="A189" s="33"/>
      <c r="C189" s="33"/>
      <c r="D189" s="33"/>
      <c r="E189" s="33"/>
      <c r="F189" s="33"/>
      <c r="G189" s="33"/>
      <c r="H189" s="33"/>
      <c r="I189" s="33"/>
      <c r="O189" s="58"/>
      <c r="P189" s="59"/>
      <c r="Q189" s="59"/>
    </row>
    <row r="190" spans="1:17" x14ac:dyDescent="0.2">
      <c r="A190" s="33"/>
      <c r="C190" s="33"/>
      <c r="D190" s="33"/>
      <c r="E190" s="33"/>
      <c r="F190" s="33"/>
      <c r="G190" s="33"/>
      <c r="H190" s="33"/>
      <c r="I190" s="33"/>
      <c r="O190" s="58"/>
      <c r="P190" s="59"/>
      <c r="Q190" s="59"/>
    </row>
    <row r="191" spans="1:17" x14ac:dyDescent="0.2">
      <c r="A191" s="33"/>
      <c r="C191" s="33"/>
      <c r="D191" s="33"/>
      <c r="E191" s="33"/>
      <c r="F191" s="33"/>
      <c r="G191" s="33"/>
      <c r="H191" s="33"/>
      <c r="I191" s="33"/>
      <c r="O191" s="58"/>
      <c r="P191" s="59"/>
      <c r="Q191" s="59"/>
    </row>
    <row r="192" spans="1:17" x14ac:dyDescent="0.2">
      <c r="A192" s="33"/>
      <c r="C192" s="33"/>
      <c r="D192" s="33"/>
      <c r="E192" s="33"/>
      <c r="F192" s="33"/>
      <c r="G192" s="33"/>
      <c r="H192" s="33"/>
      <c r="I192" s="33"/>
      <c r="O192" s="58"/>
      <c r="P192" s="59"/>
      <c r="Q192" s="59"/>
    </row>
    <row r="193" spans="1:17" x14ac:dyDescent="0.2">
      <c r="A193" s="33"/>
      <c r="C193" s="33"/>
      <c r="D193" s="33"/>
      <c r="E193" s="33"/>
      <c r="F193" s="33"/>
      <c r="G193" s="33"/>
      <c r="H193" s="33"/>
      <c r="I193" s="33"/>
      <c r="O193" s="58"/>
      <c r="P193" s="59"/>
      <c r="Q193" s="59"/>
    </row>
    <row r="194" spans="1:17" x14ac:dyDescent="0.2">
      <c r="A194" s="33"/>
      <c r="C194" s="33"/>
      <c r="D194" s="33"/>
      <c r="E194" s="33"/>
      <c r="F194" s="33"/>
      <c r="G194" s="33"/>
      <c r="H194" s="33"/>
      <c r="I194" s="33"/>
      <c r="O194" s="58"/>
      <c r="P194" s="59"/>
      <c r="Q194" s="59"/>
    </row>
    <row r="195" spans="1:17" x14ac:dyDescent="0.2">
      <c r="A195" s="33"/>
      <c r="C195" s="33"/>
      <c r="D195" s="33"/>
      <c r="E195" s="33"/>
      <c r="F195" s="33"/>
      <c r="G195" s="33"/>
      <c r="H195" s="33"/>
      <c r="I195" s="33"/>
      <c r="O195" s="58"/>
      <c r="P195" s="59"/>
      <c r="Q195" s="59"/>
    </row>
    <row r="196" spans="1:17" x14ac:dyDescent="0.2">
      <c r="A196" s="33"/>
      <c r="C196" s="33"/>
      <c r="D196" s="33"/>
      <c r="E196" s="33"/>
      <c r="F196" s="33"/>
      <c r="G196" s="33"/>
      <c r="H196" s="33"/>
      <c r="I196" s="33"/>
      <c r="O196" s="58"/>
      <c r="P196" s="59"/>
      <c r="Q196" s="59"/>
    </row>
    <row r="197" spans="1:17" x14ac:dyDescent="0.2">
      <c r="A197" s="33"/>
      <c r="C197" s="33"/>
      <c r="D197" s="33"/>
      <c r="E197" s="33"/>
      <c r="F197" s="33"/>
      <c r="G197" s="33"/>
      <c r="H197" s="33"/>
      <c r="I197" s="33"/>
      <c r="O197" s="58"/>
      <c r="P197" s="59"/>
      <c r="Q197" s="59"/>
    </row>
    <row r="198" spans="1:17" x14ac:dyDescent="0.2">
      <c r="A198" s="33"/>
      <c r="C198" s="33"/>
      <c r="D198" s="33"/>
      <c r="E198" s="33"/>
      <c r="F198" s="33"/>
      <c r="G198" s="33"/>
      <c r="H198" s="33"/>
      <c r="I198" s="33"/>
      <c r="O198" s="58"/>
      <c r="P198" s="59"/>
      <c r="Q198" s="59"/>
    </row>
    <row r="199" spans="1:17" x14ac:dyDescent="0.2">
      <c r="A199" s="33"/>
      <c r="C199" s="33"/>
      <c r="D199" s="33"/>
      <c r="E199" s="33"/>
      <c r="F199" s="33"/>
      <c r="G199" s="33"/>
      <c r="H199" s="33"/>
      <c r="I199" s="33"/>
      <c r="O199" s="58"/>
      <c r="P199" s="59"/>
      <c r="Q199" s="59"/>
    </row>
    <row r="200" spans="1:17" x14ac:dyDescent="0.2">
      <c r="A200" s="33"/>
      <c r="C200" s="33"/>
      <c r="D200" s="33"/>
      <c r="E200" s="33"/>
      <c r="F200" s="33"/>
      <c r="G200" s="33"/>
      <c r="H200" s="33"/>
      <c r="I200" s="33"/>
      <c r="O200" s="58"/>
      <c r="P200" s="59"/>
      <c r="Q200" s="59"/>
    </row>
    <row r="201" spans="1:17" x14ac:dyDescent="0.2">
      <c r="A201" s="33"/>
      <c r="C201" s="33"/>
      <c r="D201" s="33"/>
      <c r="E201" s="33"/>
      <c r="F201" s="33"/>
      <c r="G201" s="33"/>
      <c r="H201" s="33"/>
      <c r="I201" s="33"/>
      <c r="O201" s="58"/>
      <c r="P201" s="59"/>
      <c r="Q201" s="59"/>
    </row>
    <row r="202" spans="1:17" x14ac:dyDescent="0.2">
      <c r="A202" s="33"/>
      <c r="C202" s="33"/>
      <c r="D202" s="33"/>
      <c r="E202" s="33"/>
      <c r="F202" s="33"/>
      <c r="G202" s="33"/>
      <c r="H202" s="33"/>
      <c r="I202" s="33"/>
      <c r="O202" s="58"/>
      <c r="P202" s="59"/>
      <c r="Q202" s="59"/>
    </row>
    <row r="203" spans="1:17" x14ac:dyDescent="0.2">
      <c r="A203" s="33"/>
      <c r="C203" s="33"/>
      <c r="D203" s="33"/>
      <c r="E203" s="33"/>
      <c r="F203" s="33"/>
      <c r="G203" s="33"/>
      <c r="H203" s="33"/>
      <c r="I203" s="33"/>
      <c r="O203" s="58"/>
      <c r="P203" s="59"/>
      <c r="Q203" s="59"/>
    </row>
    <row r="204" spans="1:17" x14ac:dyDescent="0.2">
      <c r="A204" s="33"/>
      <c r="C204" s="33"/>
      <c r="D204" s="33"/>
      <c r="E204" s="33"/>
      <c r="F204" s="33"/>
      <c r="G204" s="33"/>
      <c r="H204" s="33"/>
      <c r="I204" s="33"/>
      <c r="O204" s="58"/>
      <c r="P204" s="59"/>
      <c r="Q204" s="59"/>
    </row>
    <row r="205" spans="1:17" x14ac:dyDescent="0.2">
      <c r="A205" s="33"/>
      <c r="C205" s="33"/>
      <c r="D205" s="33"/>
      <c r="E205" s="33"/>
      <c r="F205" s="33"/>
      <c r="G205" s="33"/>
      <c r="H205" s="33"/>
      <c r="I205" s="33"/>
      <c r="O205" s="58"/>
      <c r="P205" s="59"/>
      <c r="Q205" s="59"/>
    </row>
    <row r="206" spans="1:17" x14ac:dyDescent="0.2">
      <c r="A206" s="33"/>
      <c r="C206" s="33"/>
      <c r="D206" s="33"/>
      <c r="E206" s="33"/>
      <c r="F206" s="33"/>
      <c r="G206" s="33"/>
      <c r="H206" s="33"/>
      <c r="I206" s="33"/>
      <c r="O206" s="58"/>
      <c r="P206" s="59"/>
      <c r="Q206" s="59"/>
    </row>
    <row r="207" spans="1:17" x14ac:dyDescent="0.2">
      <c r="A207" s="33"/>
      <c r="C207" s="33"/>
      <c r="D207" s="33"/>
      <c r="E207" s="33"/>
      <c r="F207" s="33"/>
      <c r="G207" s="33"/>
      <c r="H207" s="33"/>
      <c r="I207" s="33"/>
      <c r="O207" s="58"/>
      <c r="P207" s="59"/>
      <c r="Q207" s="59"/>
    </row>
    <row r="208" spans="1:17" x14ac:dyDescent="0.2">
      <c r="A208" s="33"/>
      <c r="C208" s="33"/>
      <c r="D208" s="33"/>
      <c r="E208" s="33"/>
      <c r="F208" s="33"/>
      <c r="G208" s="33"/>
      <c r="H208" s="33"/>
      <c r="I208" s="33"/>
      <c r="O208" s="58"/>
      <c r="P208" s="59"/>
      <c r="Q208" s="59"/>
    </row>
    <row r="209" spans="1:17" x14ac:dyDescent="0.2">
      <c r="A209" s="33"/>
      <c r="C209" s="33"/>
      <c r="D209" s="33"/>
      <c r="E209" s="33"/>
      <c r="F209" s="33"/>
      <c r="G209" s="33"/>
      <c r="H209" s="33"/>
      <c r="I209" s="33"/>
      <c r="O209" s="50"/>
      <c r="P209" s="51"/>
      <c r="Q209" s="51"/>
    </row>
    <row r="210" spans="1:17" x14ac:dyDescent="0.2">
      <c r="A210" s="33"/>
      <c r="C210" s="33"/>
      <c r="D210" s="33"/>
      <c r="E210" s="33"/>
      <c r="F210" s="33"/>
      <c r="G210" s="33"/>
      <c r="H210" s="33"/>
      <c r="I210" s="33"/>
      <c r="O210" s="50"/>
      <c r="P210" s="51"/>
      <c r="Q210" s="51"/>
    </row>
    <row r="211" spans="1:17" x14ac:dyDescent="0.2">
      <c r="A211" s="33"/>
      <c r="C211" s="33"/>
      <c r="D211" s="33"/>
      <c r="E211" s="33"/>
      <c r="F211" s="33"/>
      <c r="G211" s="33"/>
      <c r="H211" s="33"/>
      <c r="I211" s="33"/>
      <c r="O211" s="50"/>
      <c r="P211" s="51"/>
      <c r="Q211" s="51"/>
    </row>
  </sheetData>
  <autoFilter ref="A1:T22"/>
  <conditionalFormatting sqref="W7:Y9">
    <cfRule type="colorScale" priority="1">
      <colorScale>
        <cfvo type="min"/>
        <cfvo type="max"/>
        <color theme="9" tint="0.79998168889431442"/>
        <color theme="9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471"/>
  <sheetViews>
    <sheetView workbookViewId="0">
      <selection activeCell="D39" sqref="D39"/>
    </sheetView>
  </sheetViews>
  <sheetFormatPr defaultRowHeight="12.75" x14ac:dyDescent="0.2"/>
  <cols>
    <col min="1" max="1" width="10" bestFit="1" customWidth="1"/>
    <col min="2" max="2" width="9.28515625" bestFit="1" customWidth="1"/>
    <col min="3" max="3" width="12.42578125" bestFit="1" customWidth="1"/>
    <col min="4" max="4" width="13.7109375" bestFit="1" customWidth="1"/>
    <col min="5" max="12" width="3.85546875" bestFit="1" customWidth="1"/>
    <col min="13" max="13" width="16.140625" bestFit="1" customWidth="1"/>
    <col min="14" max="14" width="10.85546875" bestFit="1" customWidth="1"/>
    <col min="15" max="15" width="18" bestFit="1" customWidth="1"/>
    <col min="16" max="16" width="18.7109375" bestFit="1" customWidth="1"/>
    <col min="17" max="17" width="15.42578125" bestFit="1" customWidth="1"/>
    <col min="18" max="18" width="20.42578125" bestFit="1" customWidth="1"/>
    <col min="19" max="19" width="16" bestFit="1" customWidth="1"/>
    <col min="20" max="20" width="23.42578125" bestFit="1" customWidth="1"/>
    <col min="21" max="21" width="9.42578125" bestFit="1" customWidth="1"/>
    <col min="22" max="22" width="10.5703125" bestFit="1" customWidth="1"/>
    <col min="23" max="23" width="13.140625" bestFit="1" customWidth="1"/>
    <col min="24" max="24" width="7.85546875" bestFit="1" customWidth="1"/>
    <col min="25" max="25" width="14.85546875" bestFit="1" customWidth="1"/>
    <col min="26" max="26" width="15.5703125" bestFit="1" customWidth="1"/>
    <col min="27" max="27" width="12.28515625" bestFit="1" customWidth="1"/>
    <col min="28" max="28" width="17.42578125" bestFit="1" customWidth="1"/>
    <col min="29" max="29" width="12.85546875" bestFit="1" customWidth="1"/>
    <col min="30" max="30" width="20.28515625" bestFit="1" customWidth="1"/>
    <col min="31" max="31" width="12.42578125" bestFit="1" customWidth="1"/>
    <col min="32" max="32" width="13.7109375" bestFit="1" customWidth="1"/>
    <col min="33" max="33" width="16.140625" bestFit="1" customWidth="1"/>
    <col min="34" max="34" width="10.85546875" bestFit="1" customWidth="1"/>
    <col min="35" max="35" width="18" bestFit="1" customWidth="1"/>
    <col min="36" max="36" width="18.7109375" bestFit="1" customWidth="1"/>
    <col min="37" max="37" width="15.42578125" bestFit="1" customWidth="1"/>
    <col min="38" max="38" width="20.42578125" bestFit="1" customWidth="1"/>
    <col min="39" max="39" width="16" bestFit="1" customWidth="1"/>
    <col min="40" max="40" width="23.42578125" bestFit="1" customWidth="1"/>
    <col min="42" max="43" width="3" bestFit="1" customWidth="1"/>
  </cols>
  <sheetData>
    <row r="1" spans="1:43" s="1" customFormat="1" ht="15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38</v>
      </c>
      <c r="F1" s="1" t="s">
        <v>39</v>
      </c>
      <c r="G1" s="1" t="s">
        <v>40</v>
      </c>
      <c r="H1" s="1" t="s">
        <v>41</v>
      </c>
      <c r="I1" s="1" t="s">
        <v>42</v>
      </c>
      <c r="J1" s="1" t="s">
        <v>43</v>
      </c>
      <c r="K1" s="1" t="s">
        <v>44</v>
      </c>
      <c r="L1" s="1" t="s">
        <v>45</v>
      </c>
      <c r="M1" s="1" t="s">
        <v>8</v>
      </c>
      <c r="N1" s="1" t="s">
        <v>9</v>
      </c>
      <c r="O1" s="1" t="s">
        <v>10</v>
      </c>
      <c r="P1" s="1" t="s">
        <v>11</v>
      </c>
      <c r="Q1" s="1" t="s">
        <v>12</v>
      </c>
      <c r="R1" s="1" t="s">
        <v>13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18</v>
      </c>
      <c r="X1" s="1" t="s">
        <v>19</v>
      </c>
      <c r="Y1" s="1" t="s">
        <v>20</v>
      </c>
      <c r="Z1" s="1" t="s">
        <v>21</v>
      </c>
      <c r="AA1" s="1" t="s">
        <v>22</v>
      </c>
      <c r="AB1" s="1" t="s">
        <v>23</v>
      </c>
      <c r="AC1" s="1" t="s">
        <v>24</v>
      </c>
      <c r="AD1" s="1" t="s">
        <v>25</v>
      </c>
      <c r="AE1" s="1" t="s">
        <v>26</v>
      </c>
      <c r="AF1" s="1" t="s">
        <v>27</v>
      </c>
      <c r="AG1" s="1" t="s">
        <v>28</v>
      </c>
      <c r="AH1" s="1" t="s">
        <v>29</v>
      </c>
      <c r="AI1" s="1" t="s">
        <v>30</v>
      </c>
      <c r="AJ1" s="1" t="s">
        <v>31</v>
      </c>
      <c r="AK1" s="1" t="s">
        <v>32</v>
      </c>
      <c r="AL1" s="1" t="s">
        <v>33</v>
      </c>
      <c r="AM1" s="1" t="s">
        <v>34</v>
      </c>
      <c r="AN1" s="1" t="s">
        <v>35</v>
      </c>
      <c r="AP1" s="1">
        <f>COUNTIF(B2:B99,"M")</f>
        <v>37</v>
      </c>
      <c r="AQ1" s="1">
        <f>COUNTIF(B2:B99,"B")</f>
        <v>61</v>
      </c>
    </row>
    <row r="2" spans="1:43" s="1" customFormat="1" ht="15" x14ac:dyDescent="0.25">
      <c r="A2" s="1">
        <v>862548</v>
      </c>
      <c r="B2" s="1" t="s">
        <v>36</v>
      </c>
      <c r="C2" s="1">
        <v>14.42</v>
      </c>
      <c r="D2" s="1">
        <v>19.77</v>
      </c>
      <c r="E2" s="2"/>
      <c r="F2" s="2"/>
      <c r="G2" s="2"/>
      <c r="H2" s="2"/>
      <c r="I2" s="2"/>
      <c r="J2" s="2"/>
      <c r="K2" s="2"/>
      <c r="L2" s="2"/>
      <c r="M2" s="1">
        <v>94.48</v>
      </c>
      <c r="N2" s="1">
        <v>642.5</v>
      </c>
      <c r="O2" s="1">
        <v>9.7519999999999996E-2</v>
      </c>
      <c r="P2" s="1">
        <v>0.11409999999999999</v>
      </c>
      <c r="Q2" s="1">
        <v>9.3880000000000005E-2</v>
      </c>
      <c r="R2" s="1">
        <v>5.8389999999999997E-2</v>
      </c>
      <c r="S2" s="1">
        <v>0.18790000000000001</v>
      </c>
      <c r="T2" s="1">
        <v>6.3899999999999998E-2</v>
      </c>
      <c r="U2" s="1">
        <v>0.28949999999999998</v>
      </c>
      <c r="V2" s="1">
        <v>1.851</v>
      </c>
      <c r="W2" s="1">
        <v>2.3759999999999999</v>
      </c>
      <c r="X2" s="1">
        <v>26.85</v>
      </c>
      <c r="Y2" s="1">
        <v>8.005E-3</v>
      </c>
      <c r="Z2" s="1">
        <v>2.895E-2</v>
      </c>
      <c r="AA2" s="1">
        <v>3.3210000000000003E-2</v>
      </c>
      <c r="AB2" s="1">
        <v>1.4239999999999999E-2</v>
      </c>
      <c r="AC2" s="1">
        <v>1.4619999999999999E-2</v>
      </c>
      <c r="AD2" s="1">
        <v>4.4520000000000002E-3</v>
      </c>
      <c r="AE2" s="1">
        <v>16.329999999999998</v>
      </c>
      <c r="AF2" s="1">
        <v>30.86</v>
      </c>
      <c r="AG2" s="1">
        <v>109.5</v>
      </c>
      <c r="AH2" s="1">
        <v>826.4</v>
      </c>
      <c r="AI2" s="1">
        <v>0.1431</v>
      </c>
      <c r="AJ2" s="1">
        <v>0.30259999999999998</v>
      </c>
      <c r="AK2" s="1">
        <v>0.31940000000000002</v>
      </c>
      <c r="AL2" s="1">
        <v>0.1565</v>
      </c>
      <c r="AM2" s="1">
        <v>0.27179999999999999</v>
      </c>
      <c r="AN2" s="1">
        <v>9.3530000000000002E-2</v>
      </c>
    </row>
    <row r="3" spans="1:43" s="1" customFormat="1" ht="15" x14ac:dyDescent="0.25">
      <c r="A3" s="1">
        <v>862717</v>
      </c>
      <c r="B3" s="1" t="s">
        <v>36</v>
      </c>
      <c r="C3" s="1">
        <v>13.61</v>
      </c>
      <c r="D3" s="1">
        <v>24.98</v>
      </c>
      <c r="E3" s="2"/>
      <c r="F3" s="2"/>
      <c r="G3" s="2"/>
      <c r="H3" s="2"/>
      <c r="I3" s="2"/>
      <c r="J3" s="2"/>
      <c r="K3" s="2"/>
      <c r="L3" s="2"/>
      <c r="M3" s="1">
        <v>88.05</v>
      </c>
      <c r="N3" s="1">
        <v>582.70000000000005</v>
      </c>
      <c r="O3" s="1">
        <v>9.4880000000000006E-2</v>
      </c>
      <c r="P3" s="1">
        <v>8.5110000000000005E-2</v>
      </c>
      <c r="Q3" s="1">
        <v>8.6249999999999993E-2</v>
      </c>
      <c r="R3" s="1">
        <v>4.4889999999999999E-2</v>
      </c>
      <c r="S3" s="1">
        <v>0.16089999999999999</v>
      </c>
      <c r="T3" s="1">
        <v>5.8709999999999998E-2</v>
      </c>
      <c r="U3" s="1">
        <v>0.45650000000000002</v>
      </c>
      <c r="V3" s="1">
        <v>1.29</v>
      </c>
      <c r="W3" s="1">
        <v>2.8610000000000002</v>
      </c>
      <c r="X3" s="1">
        <v>43.14</v>
      </c>
      <c r="Y3" s="1">
        <v>5.8719999999999996E-3</v>
      </c>
      <c r="Z3" s="1">
        <v>1.4880000000000001E-2</v>
      </c>
      <c r="AA3" s="1">
        <v>2.647E-2</v>
      </c>
      <c r="AB3" s="1">
        <v>9.9209999999999993E-3</v>
      </c>
      <c r="AC3" s="1">
        <v>1.465E-2</v>
      </c>
      <c r="AD3" s="1">
        <v>2.3549999999999999E-3</v>
      </c>
      <c r="AE3" s="1">
        <v>16.989999999999998</v>
      </c>
      <c r="AF3" s="1">
        <v>35.270000000000003</v>
      </c>
      <c r="AG3" s="1">
        <v>108.6</v>
      </c>
      <c r="AH3" s="1">
        <v>906.5</v>
      </c>
      <c r="AI3" s="1">
        <v>0.1265</v>
      </c>
      <c r="AJ3" s="1">
        <v>0.1943</v>
      </c>
      <c r="AK3" s="1">
        <v>0.31690000000000002</v>
      </c>
      <c r="AL3" s="1">
        <v>0.11840000000000001</v>
      </c>
      <c r="AM3" s="1">
        <v>0.2651</v>
      </c>
      <c r="AN3" s="1">
        <v>7.3969999999999994E-2</v>
      </c>
    </row>
    <row r="4" spans="1:43" s="1" customFormat="1" ht="15" x14ac:dyDescent="0.25">
      <c r="A4" s="1">
        <v>862722</v>
      </c>
      <c r="B4" s="1" t="s">
        <v>37</v>
      </c>
      <c r="C4" s="1">
        <v>6.9809999999999999</v>
      </c>
      <c r="D4" s="1">
        <v>13.43</v>
      </c>
      <c r="E4" s="2"/>
      <c r="F4" s="2"/>
      <c r="G4" s="2"/>
      <c r="H4" s="2"/>
      <c r="I4" s="2"/>
      <c r="J4" s="2"/>
      <c r="K4" s="2"/>
      <c r="L4" s="2"/>
      <c r="M4" s="1">
        <v>43.79</v>
      </c>
      <c r="N4" s="1">
        <v>143.5</v>
      </c>
      <c r="O4" s="1">
        <v>0.11700000000000001</v>
      </c>
      <c r="P4" s="1">
        <v>7.5679999999999997E-2</v>
      </c>
      <c r="Q4" s="1">
        <v>0</v>
      </c>
      <c r="R4" s="1">
        <v>0</v>
      </c>
      <c r="S4" s="1">
        <v>0.193</v>
      </c>
      <c r="T4" s="1">
        <v>7.8179999999999999E-2</v>
      </c>
      <c r="U4" s="1">
        <v>0.22409999999999999</v>
      </c>
      <c r="V4" s="1">
        <v>1.508</v>
      </c>
      <c r="W4" s="1">
        <v>1.5529999999999999</v>
      </c>
      <c r="X4" s="1">
        <v>9.8330000000000002</v>
      </c>
      <c r="Y4" s="1">
        <v>1.0189999999999999E-2</v>
      </c>
      <c r="Z4" s="1">
        <v>1.0840000000000001E-2</v>
      </c>
      <c r="AA4" s="1">
        <v>0</v>
      </c>
      <c r="AB4" s="1">
        <v>0</v>
      </c>
      <c r="AC4" s="1">
        <v>2.6589999999999999E-2</v>
      </c>
      <c r="AD4" s="1">
        <v>4.1000000000000003E-3</v>
      </c>
      <c r="AE4" s="1">
        <v>7.93</v>
      </c>
      <c r="AF4" s="1">
        <v>19.54</v>
      </c>
      <c r="AG4" s="1">
        <v>50.41</v>
      </c>
      <c r="AH4" s="1">
        <v>185.2</v>
      </c>
      <c r="AI4" s="1">
        <v>0.15840000000000001</v>
      </c>
      <c r="AJ4" s="1">
        <v>0.1202</v>
      </c>
      <c r="AK4" s="1">
        <v>0</v>
      </c>
      <c r="AL4" s="1">
        <v>0</v>
      </c>
      <c r="AM4" s="1">
        <v>0.29320000000000002</v>
      </c>
      <c r="AN4" s="1">
        <v>9.3820000000000001E-2</v>
      </c>
    </row>
    <row r="5" spans="1:43" s="1" customFormat="1" ht="15" x14ac:dyDescent="0.25">
      <c r="A5" s="1">
        <v>862965</v>
      </c>
      <c r="B5" s="1" t="s">
        <v>37</v>
      </c>
      <c r="C5" s="1">
        <v>12.18</v>
      </c>
      <c r="D5" s="1">
        <v>20.52</v>
      </c>
      <c r="E5" s="2"/>
      <c r="F5" s="2"/>
      <c r="G5" s="2"/>
      <c r="H5" s="2"/>
      <c r="I5" s="2"/>
      <c r="J5" s="2"/>
      <c r="K5" s="2"/>
      <c r="L5" s="2"/>
      <c r="M5" s="1">
        <v>77.22</v>
      </c>
      <c r="N5" s="1">
        <v>458.7</v>
      </c>
      <c r="O5" s="1">
        <v>8.0130000000000007E-2</v>
      </c>
      <c r="P5" s="1">
        <v>4.0379999999999999E-2</v>
      </c>
      <c r="Q5" s="1">
        <v>2.383E-2</v>
      </c>
      <c r="R5" s="1">
        <v>1.77E-2</v>
      </c>
      <c r="S5" s="1">
        <v>0.1739</v>
      </c>
      <c r="T5" s="1">
        <v>5.6770000000000001E-2</v>
      </c>
      <c r="U5" s="1">
        <v>0.19239999999999999</v>
      </c>
      <c r="V5" s="1">
        <v>1.571</v>
      </c>
      <c r="W5" s="1">
        <v>1.1830000000000001</v>
      </c>
      <c r="X5" s="1">
        <v>14.68</v>
      </c>
      <c r="Y5" s="1">
        <v>5.0800000000000003E-3</v>
      </c>
      <c r="Z5" s="1">
        <v>6.0980000000000001E-3</v>
      </c>
      <c r="AA5" s="1">
        <v>1.069E-2</v>
      </c>
      <c r="AB5" s="1">
        <v>6.7970000000000001E-3</v>
      </c>
      <c r="AC5" s="1">
        <v>1.447E-2</v>
      </c>
      <c r="AD5" s="1">
        <v>1.5319999999999999E-3</v>
      </c>
      <c r="AE5" s="1">
        <v>13.34</v>
      </c>
      <c r="AF5" s="1">
        <v>32.840000000000003</v>
      </c>
      <c r="AG5" s="1">
        <v>84.58</v>
      </c>
      <c r="AH5" s="1">
        <v>547.79999999999995</v>
      </c>
      <c r="AI5" s="1">
        <v>0.1123</v>
      </c>
      <c r="AJ5" s="1">
        <v>8.8620000000000004E-2</v>
      </c>
      <c r="AK5" s="1">
        <v>0.1145</v>
      </c>
      <c r="AL5" s="1">
        <v>7.4310000000000001E-2</v>
      </c>
      <c r="AM5" s="1">
        <v>0.26939999999999997</v>
      </c>
      <c r="AN5" s="1">
        <v>6.8779999999999994E-2</v>
      </c>
    </row>
    <row r="6" spans="1:43" s="1" customFormat="1" ht="15" x14ac:dyDescent="0.25">
      <c r="A6" s="1">
        <v>862980</v>
      </c>
      <c r="B6" s="1" t="s">
        <v>37</v>
      </c>
      <c r="C6" s="1">
        <v>9.8759999999999994</v>
      </c>
      <c r="D6" s="1">
        <v>19.399999999999999</v>
      </c>
      <c r="E6" s="2"/>
      <c r="F6" s="2"/>
      <c r="G6" s="2"/>
      <c r="H6" s="2"/>
      <c r="I6" s="2"/>
      <c r="J6" s="2"/>
      <c r="K6" s="2"/>
      <c r="L6" s="2"/>
      <c r="M6" s="1">
        <v>63.95</v>
      </c>
      <c r="N6" s="1">
        <v>298.3</v>
      </c>
      <c r="O6" s="1">
        <v>0.10050000000000001</v>
      </c>
      <c r="P6" s="1">
        <v>9.6970000000000001E-2</v>
      </c>
      <c r="Q6" s="1">
        <v>6.1539999999999997E-2</v>
      </c>
      <c r="R6" s="1">
        <v>3.0290000000000001E-2</v>
      </c>
      <c r="S6" s="1">
        <v>0.19450000000000001</v>
      </c>
      <c r="T6" s="1">
        <v>6.3219999999999998E-2</v>
      </c>
      <c r="U6" s="1">
        <v>0.18029999999999999</v>
      </c>
      <c r="V6" s="1">
        <v>1.222</v>
      </c>
      <c r="W6" s="1">
        <v>1.528</v>
      </c>
      <c r="X6" s="1">
        <v>11.77</v>
      </c>
      <c r="Y6" s="1">
        <v>9.0580000000000001E-3</v>
      </c>
      <c r="Z6" s="1">
        <v>2.196E-2</v>
      </c>
      <c r="AA6" s="1">
        <v>3.0290000000000001E-2</v>
      </c>
      <c r="AB6" s="1">
        <v>1.112E-2</v>
      </c>
      <c r="AC6" s="1">
        <v>1.609E-2</v>
      </c>
      <c r="AD6" s="1">
        <v>3.5699999999999998E-3</v>
      </c>
      <c r="AE6" s="1">
        <v>10.76</v>
      </c>
      <c r="AF6" s="1">
        <v>26.83</v>
      </c>
      <c r="AG6" s="1">
        <v>72.22</v>
      </c>
      <c r="AH6" s="1">
        <v>361.2</v>
      </c>
      <c r="AI6" s="1">
        <v>0.15590000000000001</v>
      </c>
      <c r="AJ6" s="1">
        <v>0.23019999999999999</v>
      </c>
      <c r="AK6" s="1">
        <v>0.26440000000000002</v>
      </c>
      <c r="AL6" s="1">
        <v>9.7489999999999993E-2</v>
      </c>
      <c r="AM6" s="1">
        <v>0.26219999999999999</v>
      </c>
      <c r="AN6" s="1">
        <v>8.4900000000000003E-2</v>
      </c>
    </row>
    <row r="7" spans="1:43" s="1" customFormat="1" ht="15" x14ac:dyDescent="0.25">
      <c r="A7" s="1">
        <v>862989</v>
      </c>
      <c r="B7" s="1" t="s">
        <v>37</v>
      </c>
      <c r="C7" s="1">
        <v>10.49</v>
      </c>
      <c r="D7" s="1">
        <v>19.29</v>
      </c>
      <c r="E7" s="2"/>
      <c r="F7" s="2"/>
      <c r="G7" s="2"/>
      <c r="H7" s="2"/>
      <c r="I7" s="2"/>
      <c r="J7" s="2"/>
      <c r="K7" s="2"/>
      <c r="L7" s="2"/>
      <c r="M7" s="1">
        <v>67.41</v>
      </c>
      <c r="N7" s="1">
        <v>336.1</v>
      </c>
      <c r="O7" s="1">
        <v>9.9890000000000007E-2</v>
      </c>
      <c r="P7" s="1">
        <v>8.5779999999999995E-2</v>
      </c>
      <c r="Q7" s="1">
        <v>2.9950000000000001E-2</v>
      </c>
      <c r="R7" s="1">
        <v>1.201E-2</v>
      </c>
      <c r="S7" s="1">
        <v>0.22170000000000001</v>
      </c>
      <c r="T7" s="1">
        <v>6.4810000000000006E-2</v>
      </c>
      <c r="U7" s="1">
        <v>0.35499999999999998</v>
      </c>
      <c r="V7" s="1">
        <v>1.534</v>
      </c>
      <c r="W7" s="1">
        <v>2.302</v>
      </c>
      <c r="X7" s="1">
        <v>23.13</v>
      </c>
      <c r="Y7" s="1">
        <v>7.5950000000000002E-3</v>
      </c>
      <c r="Z7" s="1">
        <v>2.2190000000000001E-2</v>
      </c>
      <c r="AA7" s="1">
        <v>2.8799999999999999E-2</v>
      </c>
      <c r="AB7" s="1">
        <v>8.6140000000000001E-3</v>
      </c>
      <c r="AC7" s="1">
        <v>2.7099999999999999E-2</v>
      </c>
      <c r="AD7" s="1">
        <v>3.4510000000000001E-3</v>
      </c>
      <c r="AE7" s="1">
        <v>11.54</v>
      </c>
      <c r="AF7" s="1">
        <v>23.31</v>
      </c>
      <c r="AG7" s="1">
        <v>74.22</v>
      </c>
      <c r="AH7" s="1">
        <v>402.8</v>
      </c>
      <c r="AI7" s="1">
        <v>0.12189999999999999</v>
      </c>
      <c r="AJ7" s="1">
        <v>0.14860000000000001</v>
      </c>
      <c r="AK7" s="1">
        <v>7.9869999999999997E-2</v>
      </c>
      <c r="AL7" s="1">
        <v>3.2030000000000003E-2</v>
      </c>
      <c r="AM7" s="1">
        <v>0.28260000000000002</v>
      </c>
      <c r="AN7" s="1">
        <v>7.5520000000000004E-2</v>
      </c>
    </row>
    <row r="8" spans="1:43" s="1" customFormat="1" ht="15" x14ac:dyDescent="0.25">
      <c r="A8" s="1">
        <v>863030</v>
      </c>
      <c r="B8" s="1" t="s">
        <v>36</v>
      </c>
      <c r="C8" s="1">
        <v>13.11</v>
      </c>
      <c r="D8" s="1">
        <v>15.56</v>
      </c>
      <c r="E8" s="2"/>
      <c r="F8" s="2"/>
      <c r="G8" s="2"/>
      <c r="H8" s="2"/>
      <c r="I8" s="2"/>
      <c r="J8" s="2"/>
      <c r="K8" s="2"/>
      <c r="L8" s="2"/>
      <c r="M8" s="1">
        <v>87.21</v>
      </c>
      <c r="N8" s="1">
        <v>530.20000000000005</v>
      </c>
      <c r="O8" s="1">
        <v>0.13980000000000001</v>
      </c>
      <c r="P8" s="1">
        <v>0.17649999999999999</v>
      </c>
      <c r="Q8" s="1">
        <v>0.20710000000000001</v>
      </c>
      <c r="R8" s="1">
        <v>9.6009999999999998E-2</v>
      </c>
      <c r="S8" s="1">
        <v>0.1925</v>
      </c>
      <c r="T8" s="1">
        <v>7.6920000000000002E-2</v>
      </c>
      <c r="U8" s="1">
        <v>0.39079999999999998</v>
      </c>
      <c r="V8" s="1">
        <v>0.92379999999999995</v>
      </c>
      <c r="W8" s="1">
        <v>2.41</v>
      </c>
      <c r="X8" s="1">
        <v>34.659999999999997</v>
      </c>
      <c r="Y8" s="1">
        <v>7.162E-3</v>
      </c>
      <c r="Z8" s="1">
        <v>2.912E-2</v>
      </c>
      <c r="AA8" s="1">
        <v>5.4730000000000001E-2</v>
      </c>
      <c r="AB8" s="1">
        <v>1.388E-2</v>
      </c>
      <c r="AC8" s="1">
        <v>1.5469999999999999E-2</v>
      </c>
      <c r="AD8" s="1">
        <v>7.0980000000000001E-3</v>
      </c>
      <c r="AE8" s="1">
        <v>16.309999999999999</v>
      </c>
      <c r="AF8" s="1">
        <v>22.4</v>
      </c>
      <c r="AG8" s="1">
        <v>106.4</v>
      </c>
      <c r="AH8" s="1">
        <v>827.2</v>
      </c>
      <c r="AI8" s="1">
        <v>0.1862</v>
      </c>
      <c r="AJ8" s="1">
        <v>0.40989999999999999</v>
      </c>
      <c r="AK8" s="1">
        <v>0.63759999999999994</v>
      </c>
      <c r="AL8" s="1">
        <v>0.1986</v>
      </c>
      <c r="AM8" s="1">
        <v>0.31469999999999998</v>
      </c>
      <c r="AN8" s="1">
        <v>0.14050000000000001</v>
      </c>
    </row>
    <row r="9" spans="1:43" s="1" customFormat="1" ht="15" x14ac:dyDescent="0.25">
      <c r="A9" s="1">
        <v>863031</v>
      </c>
      <c r="B9" s="1" t="s">
        <v>37</v>
      </c>
      <c r="C9" s="1">
        <v>11.64</v>
      </c>
      <c r="D9" s="1">
        <v>18.329999999999998</v>
      </c>
      <c r="E9" s="2"/>
      <c r="F9" s="2"/>
      <c r="G9" s="2"/>
      <c r="H9" s="2"/>
      <c r="I9" s="2"/>
      <c r="J9" s="2"/>
      <c r="K9" s="2"/>
      <c r="L9" s="2"/>
      <c r="M9" s="1">
        <v>75.17</v>
      </c>
      <c r="N9" s="1">
        <v>412.5</v>
      </c>
      <c r="O9" s="1">
        <v>0.1142</v>
      </c>
      <c r="P9" s="1">
        <v>0.1017</v>
      </c>
      <c r="Q9" s="1">
        <v>7.0699999999999999E-2</v>
      </c>
      <c r="R9" s="1">
        <v>3.4849999999999999E-2</v>
      </c>
      <c r="S9" s="1">
        <v>0.18010000000000001</v>
      </c>
      <c r="T9" s="1">
        <v>6.5199999999999994E-2</v>
      </c>
      <c r="U9" s="1">
        <v>0.30599999999999999</v>
      </c>
      <c r="V9" s="1">
        <v>1.657</v>
      </c>
      <c r="W9" s="1">
        <v>2.1549999999999998</v>
      </c>
      <c r="X9" s="1">
        <v>20.62</v>
      </c>
      <c r="Y9" s="1">
        <v>8.5400000000000007E-3</v>
      </c>
      <c r="Z9" s="1">
        <v>2.3099999999999999E-2</v>
      </c>
      <c r="AA9" s="1">
        <v>2.945E-2</v>
      </c>
      <c r="AB9" s="1">
        <v>1.3979999999999999E-2</v>
      </c>
      <c r="AC9" s="1">
        <v>1.5650000000000001E-2</v>
      </c>
      <c r="AD9" s="1">
        <v>3.8400000000000001E-3</v>
      </c>
      <c r="AE9" s="1">
        <v>13.14</v>
      </c>
      <c r="AF9" s="1">
        <v>29.26</v>
      </c>
      <c r="AG9" s="1">
        <v>85.51</v>
      </c>
      <c r="AH9" s="1">
        <v>521.70000000000005</v>
      </c>
      <c r="AI9" s="1">
        <v>0.16880000000000001</v>
      </c>
      <c r="AJ9" s="1">
        <v>0.26600000000000001</v>
      </c>
      <c r="AK9" s="1">
        <v>0.2873</v>
      </c>
      <c r="AL9" s="1">
        <v>0.12180000000000001</v>
      </c>
      <c r="AM9" s="1">
        <v>0.28060000000000002</v>
      </c>
      <c r="AN9" s="1">
        <v>9.0969999999999995E-2</v>
      </c>
    </row>
    <row r="10" spans="1:43" s="1" customFormat="1" ht="15" x14ac:dyDescent="0.25">
      <c r="A10" s="1">
        <v>863270</v>
      </c>
      <c r="B10" s="1" t="s">
        <v>37</v>
      </c>
      <c r="C10" s="1">
        <v>12.36</v>
      </c>
      <c r="D10" s="1">
        <v>18.54</v>
      </c>
      <c r="E10" s="2"/>
      <c r="F10" s="2"/>
      <c r="G10" s="2"/>
      <c r="H10" s="2"/>
      <c r="I10" s="2"/>
      <c r="J10" s="2"/>
      <c r="K10" s="2"/>
      <c r="L10" s="2"/>
      <c r="M10" s="1">
        <v>79.010000000000005</v>
      </c>
      <c r="N10" s="1">
        <v>466.7</v>
      </c>
      <c r="O10" s="1">
        <v>8.4769999999999998E-2</v>
      </c>
      <c r="P10" s="1">
        <v>6.8150000000000002E-2</v>
      </c>
      <c r="Q10" s="1">
        <v>2.6429999999999999E-2</v>
      </c>
      <c r="R10" s="1">
        <v>1.9210000000000001E-2</v>
      </c>
      <c r="S10" s="1">
        <v>0.16020000000000001</v>
      </c>
      <c r="T10" s="1">
        <v>6.0659999999999999E-2</v>
      </c>
      <c r="U10" s="1">
        <v>0.11990000000000001</v>
      </c>
      <c r="V10" s="1">
        <v>0.89439999999999997</v>
      </c>
      <c r="W10" s="1">
        <v>0.84840000000000004</v>
      </c>
      <c r="X10" s="1">
        <v>9.2270000000000003</v>
      </c>
      <c r="Y10" s="1">
        <v>3.457E-3</v>
      </c>
      <c r="Z10" s="1">
        <v>1.047E-2</v>
      </c>
      <c r="AA10" s="1">
        <v>1.167E-2</v>
      </c>
      <c r="AB10" s="1">
        <v>5.5579999999999996E-3</v>
      </c>
      <c r="AC10" s="1">
        <v>1.251E-2</v>
      </c>
      <c r="AD10" s="1">
        <v>1.356E-3</v>
      </c>
      <c r="AE10" s="1">
        <v>13.29</v>
      </c>
      <c r="AF10" s="1">
        <v>27.49</v>
      </c>
      <c r="AG10" s="1">
        <v>85.56</v>
      </c>
      <c r="AH10" s="1">
        <v>544.1</v>
      </c>
      <c r="AI10" s="1">
        <v>0.11840000000000001</v>
      </c>
      <c r="AJ10" s="1">
        <v>0.1963</v>
      </c>
      <c r="AK10" s="1">
        <v>0.19370000000000001</v>
      </c>
      <c r="AL10" s="1">
        <v>8.4419999999999995E-2</v>
      </c>
      <c r="AM10" s="1">
        <v>0.29830000000000001</v>
      </c>
      <c r="AN10" s="1">
        <v>7.1849999999999997E-2</v>
      </c>
    </row>
    <row r="11" spans="1:43" s="1" customFormat="1" ht="15" x14ac:dyDescent="0.25">
      <c r="A11" s="1">
        <v>86355</v>
      </c>
      <c r="B11" s="1" t="s">
        <v>36</v>
      </c>
      <c r="C11" s="1">
        <v>22.27</v>
      </c>
      <c r="D11" s="1">
        <v>19.670000000000002</v>
      </c>
      <c r="E11" s="2"/>
      <c r="F11" s="2"/>
      <c r="G11" s="2"/>
      <c r="H11" s="2"/>
      <c r="I11" s="2"/>
      <c r="J11" s="2"/>
      <c r="K11" s="2"/>
      <c r="L11" s="2"/>
      <c r="M11" s="1">
        <v>152.80000000000001</v>
      </c>
      <c r="N11" s="1">
        <v>1509</v>
      </c>
      <c r="O11" s="1">
        <v>0.1326</v>
      </c>
      <c r="P11" s="1">
        <v>0.27679999999999999</v>
      </c>
      <c r="Q11" s="1">
        <v>0.4264</v>
      </c>
      <c r="R11" s="1">
        <v>0.18229999999999999</v>
      </c>
      <c r="S11" s="1">
        <v>0.25559999999999999</v>
      </c>
      <c r="T11" s="1">
        <v>7.0389999999999994E-2</v>
      </c>
      <c r="U11" s="1">
        <v>1.2150000000000001</v>
      </c>
      <c r="V11" s="1">
        <v>1.5449999999999999</v>
      </c>
      <c r="W11" s="1">
        <v>10.050000000000001</v>
      </c>
      <c r="X11" s="1">
        <v>170</v>
      </c>
      <c r="Y11" s="1">
        <v>6.515E-3</v>
      </c>
      <c r="Z11" s="1">
        <v>8.6679999999999993E-2</v>
      </c>
      <c r="AA11" s="1">
        <v>0.104</v>
      </c>
      <c r="AB11" s="1">
        <v>2.4799999999999999E-2</v>
      </c>
      <c r="AC11" s="1">
        <v>3.1119999999999998E-2</v>
      </c>
      <c r="AD11" s="1">
        <v>5.0369999999999998E-3</v>
      </c>
      <c r="AE11" s="1">
        <v>28.4</v>
      </c>
      <c r="AF11" s="1">
        <v>28.01</v>
      </c>
      <c r="AG11" s="1">
        <v>206.8</v>
      </c>
      <c r="AH11" s="1">
        <v>2360</v>
      </c>
      <c r="AI11" s="1">
        <v>0.1701</v>
      </c>
      <c r="AJ11" s="1">
        <v>0.69969999999999999</v>
      </c>
      <c r="AK11" s="1">
        <v>0.96079999999999999</v>
      </c>
      <c r="AL11" s="1">
        <v>0.29099999999999998</v>
      </c>
      <c r="AM11" s="1">
        <v>0.40550000000000003</v>
      </c>
      <c r="AN11" s="1">
        <v>9.7890000000000005E-2</v>
      </c>
    </row>
    <row r="12" spans="1:43" s="1" customFormat="1" ht="15" x14ac:dyDescent="0.25">
      <c r="A12" s="1">
        <v>864018</v>
      </c>
      <c r="B12" s="1" t="s">
        <v>37</v>
      </c>
      <c r="C12" s="1">
        <v>11.34</v>
      </c>
      <c r="D12" s="1">
        <v>21.26</v>
      </c>
      <c r="E12" s="2"/>
      <c r="F12" s="2"/>
      <c r="G12" s="2"/>
      <c r="H12" s="2"/>
      <c r="I12" s="2"/>
      <c r="J12" s="2"/>
      <c r="K12" s="2"/>
      <c r="L12" s="2"/>
      <c r="M12" s="1">
        <v>72.48</v>
      </c>
      <c r="N12" s="1">
        <v>396.5</v>
      </c>
      <c r="O12" s="1">
        <v>8.7590000000000001E-2</v>
      </c>
      <c r="P12" s="1">
        <v>6.5750000000000003E-2</v>
      </c>
      <c r="Q12" s="1">
        <v>5.1330000000000001E-2</v>
      </c>
      <c r="R12" s="1">
        <v>1.899E-2</v>
      </c>
      <c r="S12" s="1">
        <v>0.1487</v>
      </c>
      <c r="T12" s="1">
        <v>6.5290000000000001E-2</v>
      </c>
      <c r="U12" s="1">
        <v>0.2344</v>
      </c>
      <c r="V12" s="1">
        <v>0.98609999999999998</v>
      </c>
      <c r="W12" s="1">
        <v>1.597</v>
      </c>
      <c r="X12" s="1">
        <v>16.41</v>
      </c>
      <c r="Y12" s="1">
        <v>9.1129999999999996E-3</v>
      </c>
      <c r="Z12" s="1">
        <v>1.5570000000000001E-2</v>
      </c>
      <c r="AA12" s="1">
        <v>2.443E-2</v>
      </c>
      <c r="AB12" s="1">
        <v>6.4349999999999997E-3</v>
      </c>
      <c r="AC12" s="1">
        <v>1.5679999999999999E-2</v>
      </c>
      <c r="AD12" s="1">
        <v>2.477E-3</v>
      </c>
      <c r="AE12" s="1">
        <v>13.01</v>
      </c>
      <c r="AF12" s="1">
        <v>29.15</v>
      </c>
      <c r="AG12" s="1">
        <v>83.99</v>
      </c>
      <c r="AH12" s="1">
        <v>518.1</v>
      </c>
      <c r="AI12" s="1">
        <v>0.1699</v>
      </c>
      <c r="AJ12" s="1">
        <v>0.21959999999999999</v>
      </c>
      <c r="AK12" s="1">
        <v>0.312</v>
      </c>
      <c r="AL12" s="1">
        <v>8.2780000000000006E-2</v>
      </c>
      <c r="AM12" s="1">
        <v>0.28289999999999998</v>
      </c>
      <c r="AN12" s="1">
        <v>8.8319999999999996E-2</v>
      </c>
    </row>
    <row r="13" spans="1:43" s="1" customFormat="1" ht="15" x14ac:dyDescent="0.25">
      <c r="A13" s="1">
        <v>864033</v>
      </c>
      <c r="B13" s="1" t="s">
        <v>37</v>
      </c>
      <c r="C13" s="1">
        <v>9.7769999999999992</v>
      </c>
      <c r="D13" s="1">
        <v>16.989999999999998</v>
      </c>
      <c r="E13" s="2"/>
      <c r="F13" s="2"/>
      <c r="G13" s="2"/>
      <c r="H13" s="2"/>
      <c r="I13" s="2"/>
      <c r="J13" s="2"/>
      <c r="K13" s="2"/>
      <c r="L13" s="2"/>
      <c r="M13" s="1">
        <v>62.5</v>
      </c>
      <c r="N13" s="1">
        <v>290.2</v>
      </c>
      <c r="O13" s="1">
        <v>0.1037</v>
      </c>
      <c r="P13" s="1">
        <v>8.4040000000000004E-2</v>
      </c>
      <c r="Q13" s="1">
        <v>4.3339999999999997E-2</v>
      </c>
      <c r="R13" s="1">
        <v>1.7780000000000001E-2</v>
      </c>
      <c r="S13" s="1">
        <v>0.15840000000000001</v>
      </c>
      <c r="T13" s="1">
        <v>7.0650000000000004E-2</v>
      </c>
      <c r="U13" s="1">
        <v>0.40300000000000002</v>
      </c>
      <c r="V13" s="1">
        <v>1.4239999999999999</v>
      </c>
      <c r="W13" s="1">
        <v>2.7469999999999999</v>
      </c>
      <c r="X13" s="1">
        <v>22.87</v>
      </c>
      <c r="Y13" s="1">
        <v>1.3849999999999999E-2</v>
      </c>
      <c r="Z13" s="1">
        <v>2.9319999999999999E-2</v>
      </c>
      <c r="AA13" s="1">
        <v>2.7220000000000001E-2</v>
      </c>
      <c r="AB13" s="1">
        <v>1.023E-2</v>
      </c>
      <c r="AC13" s="1">
        <v>3.2809999999999999E-2</v>
      </c>
      <c r="AD13" s="1">
        <v>4.6379999999999998E-3</v>
      </c>
      <c r="AE13" s="1">
        <v>11.05</v>
      </c>
      <c r="AF13" s="1">
        <v>21.47</v>
      </c>
      <c r="AG13" s="1">
        <v>71.680000000000007</v>
      </c>
      <c r="AH13" s="1">
        <v>367</v>
      </c>
      <c r="AI13" s="1">
        <v>0.1467</v>
      </c>
      <c r="AJ13" s="1">
        <v>0.17649999999999999</v>
      </c>
      <c r="AK13" s="1">
        <v>0.13</v>
      </c>
      <c r="AL13" s="1">
        <v>5.3339999999999999E-2</v>
      </c>
      <c r="AM13" s="1">
        <v>0.25330000000000003</v>
      </c>
      <c r="AN13" s="1">
        <v>8.4680000000000005E-2</v>
      </c>
    </row>
    <row r="14" spans="1:43" s="1" customFormat="1" ht="15" x14ac:dyDescent="0.25">
      <c r="A14" s="1">
        <v>86408</v>
      </c>
      <c r="B14" s="1" t="s">
        <v>37</v>
      </c>
      <c r="C14" s="1">
        <v>12.63</v>
      </c>
      <c r="D14" s="1">
        <v>20.76</v>
      </c>
      <c r="E14" s="2"/>
      <c r="F14" s="2"/>
      <c r="G14" s="2"/>
      <c r="H14" s="2"/>
      <c r="I14" s="2"/>
      <c r="J14" s="2"/>
      <c r="K14" s="2"/>
      <c r="L14" s="2"/>
      <c r="M14" s="1">
        <v>82.15</v>
      </c>
      <c r="N14" s="1">
        <v>480.4</v>
      </c>
      <c r="O14" s="1">
        <v>9.9330000000000002E-2</v>
      </c>
      <c r="P14" s="1">
        <v>0.12089999999999999</v>
      </c>
      <c r="Q14" s="1">
        <v>0.1065</v>
      </c>
      <c r="R14" s="1">
        <v>6.021E-2</v>
      </c>
      <c r="S14" s="1">
        <v>0.17349999999999999</v>
      </c>
      <c r="T14" s="1">
        <v>7.0699999999999999E-2</v>
      </c>
      <c r="U14" s="1">
        <v>0.34239999999999998</v>
      </c>
      <c r="V14" s="1">
        <v>1.8029999999999999</v>
      </c>
      <c r="W14" s="1">
        <v>2.7109999999999999</v>
      </c>
      <c r="X14" s="1">
        <v>20.48</v>
      </c>
      <c r="Y14" s="1">
        <v>1.291E-2</v>
      </c>
      <c r="Z14" s="1">
        <v>4.0419999999999998E-2</v>
      </c>
      <c r="AA14" s="1">
        <v>5.101E-2</v>
      </c>
      <c r="AB14" s="1">
        <v>2.2950000000000002E-2</v>
      </c>
      <c r="AC14" s="1">
        <v>2.1440000000000001E-2</v>
      </c>
      <c r="AD14" s="1">
        <v>5.8910000000000004E-3</v>
      </c>
      <c r="AE14" s="1">
        <v>13.33</v>
      </c>
      <c r="AF14" s="1">
        <v>25.47</v>
      </c>
      <c r="AG14" s="1">
        <v>89</v>
      </c>
      <c r="AH14" s="1">
        <v>527.4</v>
      </c>
      <c r="AI14" s="1">
        <v>0.12870000000000001</v>
      </c>
      <c r="AJ14" s="1">
        <v>0.22500000000000001</v>
      </c>
      <c r="AK14" s="1">
        <v>0.22159999999999999</v>
      </c>
      <c r="AL14" s="1">
        <v>0.1105</v>
      </c>
      <c r="AM14" s="1">
        <v>0.22259999999999999</v>
      </c>
      <c r="AN14" s="1">
        <v>8.4860000000000005E-2</v>
      </c>
    </row>
    <row r="15" spans="1:43" s="1" customFormat="1" ht="15" x14ac:dyDescent="0.25">
      <c r="A15" s="1">
        <v>86409</v>
      </c>
      <c r="B15" s="1" t="s">
        <v>37</v>
      </c>
      <c r="C15" s="1">
        <v>14.26</v>
      </c>
      <c r="D15" s="1">
        <v>19.649999999999999</v>
      </c>
      <c r="E15" s="2"/>
      <c r="F15" s="2"/>
      <c r="G15" s="2"/>
      <c r="H15" s="2"/>
      <c r="I15" s="2"/>
      <c r="J15" s="2"/>
      <c r="K15" s="2"/>
      <c r="L15" s="2"/>
      <c r="M15" s="1">
        <v>97.83</v>
      </c>
      <c r="N15" s="1">
        <v>629.9</v>
      </c>
      <c r="O15" s="1">
        <v>7.8369999999999995E-2</v>
      </c>
      <c r="P15" s="1">
        <v>0.2233</v>
      </c>
      <c r="Q15" s="1">
        <v>0.30030000000000001</v>
      </c>
      <c r="R15" s="1">
        <v>7.7979999999999994E-2</v>
      </c>
      <c r="S15" s="1">
        <v>0.1704</v>
      </c>
      <c r="T15" s="1">
        <v>7.7689999999999995E-2</v>
      </c>
      <c r="U15" s="1">
        <v>0.36280000000000001</v>
      </c>
      <c r="V15" s="1">
        <v>1.49</v>
      </c>
      <c r="W15" s="1">
        <v>3.399</v>
      </c>
      <c r="X15" s="1">
        <v>29.25</v>
      </c>
      <c r="Y15" s="1">
        <v>5.2979999999999998E-3</v>
      </c>
      <c r="Z15" s="1">
        <v>7.4459999999999998E-2</v>
      </c>
      <c r="AA15" s="1">
        <v>0.14349999999999999</v>
      </c>
      <c r="AB15" s="1">
        <v>2.2919999999999999E-2</v>
      </c>
      <c r="AC15" s="1">
        <v>2.5659999999999999E-2</v>
      </c>
      <c r="AD15" s="1">
        <v>1.298E-2</v>
      </c>
      <c r="AE15" s="1">
        <v>15.3</v>
      </c>
      <c r="AF15" s="1">
        <v>23.73</v>
      </c>
      <c r="AG15" s="1">
        <v>107</v>
      </c>
      <c r="AH15" s="1">
        <v>709</v>
      </c>
      <c r="AI15" s="1">
        <v>8.949E-2</v>
      </c>
      <c r="AJ15" s="1">
        <v>0.41930000000000001</v>
      </c>
      <c r="AK15" s="1">
        <v>0.67830000000000001</v>
      </c>
      <c r="AL15" s="1">
        <v>0.15049999999999999</v>
      </c>
      <c r="AM15" s="1">
        <v>0.23980000000000001</v>
      </c>
      <c r="AN15" s="1">
        <v>0.1082</v>
      </c>
    </row>
    <row r="16" spans="1:43" s="1" customFormat="1" ht="15" x14ac:dyDescent="0.25">
      <c r="A16" s="1">
        <v>864292</v>
      </c>
      <c r="B16" s="1" t="s">
        <v>37</v>
      </c>
      <c r="C16" s="1">
        <v>10.51</v>
      </c>
      <c r="D16" s="1">
        <v>20.190000000000001</v>
      </c>
      <c r="E16" s="2"/>
      <c r="F16" s="2"/>
      <c r="G16" s="2"/>
      <c r="H16" s="2"/>
      <c r="I16" s="2"/>
      <c r="J16" s="2"/>
      <c r="K16" s="2"/>
      <c r="L16" s="2"/>
      <c r="M16" s="1">
        <v>68.64</v>
      </c>
      <c r="N16" s="1">
        <v>334.2</v>
      </c>
      <c r="O16" s="1">
        <v>0.11219999999999999</v>
      </c>
      <c r="P16" s="1">
        <v>0.1303</v>
      </c>
      <c r="Q16" s="1">
        <v>6.4759999999999998E-2</v>
      </c>
      <c r="R16" s="1">
        <v>3.0679999999999999E-2</v>
      </c>
      <c r="S16" s="1">
        <v>0.19220000000000001</v>
      </c>
      <c r="T16" s="1">
        <v>7.782E-2</v>
      </c>
      <c r="U16" s="1">
        <v>0.33360000000000001</v>
      </c>
      <c r="V16" s="1">
        <v>1.86</v>
      </c>
      <c r="W16" s="1">
        <v>2.0409999999999999</v>
      </c>
      <c r="X16" s="1">
        <v>19.91</v>
      </c>
      <c r="Y16" s="1">
        <v>1.188E-2</v>
      </c>
      <c r="Z16" s="1">
        <v>3.7470000000000003E-2</v>
      </c>
      <c r="AA16" s="1">
        <v>4.5909999999999999E-2</v>
      </c>
      <c r="AB16" s="1">
        <v>1.5440000000000001E-2</v>
      </c>
      <c r="AC16" s="1">
        <v>2.2870000000000001E-2</v>
      </c>
      <c r="AD16" s="1">
        <v>6.7920000000000003E-3</v>
      </c>
      <c r="AE16" s="1">
        <v>11.16</v>
      </c>
      <c r="AF16" s="1">
        <v>22.75</v>
      </c>
      <c r="AG16" s="1">
        <v>72.62</v>
      </c>
      <c r="AH16" s="1">
        <v>374.4</v>
      </c>
      <c r="AI16" s="1">
        <v>0.13</v>
      </c>
      <c r="AJ16" s="1">
        <v>0.2049</v>
      </c>
      <c r="AK16" s="1">
        <v>0.1295</v>
      </c>
      <c r="AL16" s="1">
        <v>6.1359999999999998E-2</v>
      </c>
      <c r="AM16" s="1">
        <v>0.23830000000000001</v>
      </c>
      <c r="AN16" s="1">
        <v>9.0260000000000007E-2</v>
      </c>
    </row>
    <row r="17" spans="1:40" s="1" customFormat="1" ht="15" x14ac:dyDescent="0.25">
      <c r="A17" s="1">
        <v>864496</v>
      </c>
      <c r="B17" s="1" t="s">
        <v>37</v>
      </c>
      <c r="C17" s="1">
        <v>8.7260000000000009</v>
      </c>
      <c r="D17" s="1">
        <v>15.83</v>
      </c>
      <c r="E17" s="2"/>
      <c r="F17" s="2"/>
      <c r="G17" s="2"/>
      <c r="H17" s="2"/>
      <c r="I17" s="2"/>
      <c r="J17" s="2"/>
      <c r="K17" s="2"/>
      <c r="L17" s="2"/>
      <c r="M17" s="1">
        <v>55.84</v>
      </c>
      <c r="N17" s="1">
        <v>230.9</v>
      </c>
      <c r="O17" s="1">
        <v>0.115</v>
      </c>
      <c r="P17" s="1">
        <v>8.201E-2</v>
      </c>
      <c r="Q17" s="1">
        <v>4.1320000000000003E-2</v>
      </c>
      <c r="R17" s="1">
        <v>1.924E-2</v>
      </c>
      <c r="S17" s="1">
        <v>0.16489999999999999</v>
      </c>
      <c r="T17" s="1">
        <v>7.6329999999999995E-2</v>
      </c>
      <c r="U17" s="1">
        <v>0.16650000000000001</v>
      </c>
      <c r="V17" s="1">
        <v>0.58640000000000003</v>
      </c>
      <c r="W17" s="1">
        <v>1.3540000000000001</v>
      </c>
      <c r="X17" s="1">
        <v>8.9659999999999993</v>
      </c>
      <c r="Y17" s="1">
        <v>8.2609999999999992E-3</v>
      </c>
      <c r="Z17" s="1">
        <v>2.213E-2</v>
      </c>
      <c r="AA17" s="1">
        <v>3.2590000000000001E-2</v>
      </c>
      <c r="AB17" s="1">
        <v>1.04E-2</v>
      </c>
      <c r="AC17" s="1">
        <v>1.7080000000000001E-2</v>
      </c>
      <c r="AD17" s="1">
        <v>3.8059999999999999E-3</v>
      </c>
      <c r="AE17" s="1">
        <v>9.6280000000000001</v>
      </c>
      <c r="AF17" s="1">
        <v>19.62</v>
      </c>
      <c r="AG17" s="1">
        <v>64.48</v>
      </c>
      <c r="AH17" s="1">
        <v>284.39999999999998</v>
      </c>
      <c r="AI17" s="1">
        <v>0.1724</v>
      </c>
      <c r="AJ17" s="1">
        <v>0.2364</v>
      </c>
      <c r="AK17" s="1">
        <v>0.24560000000000001</v>
      </c>
      <c r="AL17" s="1">
        <v>0.105</v>
      </c>
      <c r="AM17" s="1">
        <v>0.29260000000000003</v>
      </c>
      <c r="AN17" s="1">
        <v>0.1017</v>
      </c>
    </row>
    <row r="18" spans="1:40" s="1" customFormat="1" ht="15" x14ac:dyDescent="0.25">
      <c r="A18" s="1">
        <v>864685</v>
      </c>
      <c r="B18" s="1" t="s">
        <v>37</v>
      </c>
      <c r="C18" s="1">
        <v>11.93</v>
      </c>
      <c r="D18" s="1">
        <v>21.53</v>
      </c>
      <c r="E18" s="2"/>
      <c r="F18" s="2"/>
      <c r="G18" s="2"/>
      <c r="H18" s="2"/>
      <c r="I18" s="2"/>
      <c r="J18" s="2"/>
      <c r="K18" s="2"/>
      <c r="L18" s="2"/>
      <c r="M18" s="1">
        <v>76.53</v>
      </c>
      <c r="N18" s="1">
        <v>438.6</v>
      </c>
      <c r="O18" s="1">
        <v>9.7680000000000003E-2</v>
      </c>
      <c r="P18" s="1">
        <v>7.8490000000000004E-2</v>
      </c>
      <c r="Q18" s="1">
        <v>3.3279999999999997E-2</v>
      </c>
      <c r="R18" s="1">
        <v>2.0080000000000001E-2</v>
      </c>
      <c r="S18" s="1">
        <v>0.16880000000000001</v>
      </c>
      <c r="T18" s="1">
        <v>6.1940000000000002E-2</v>
      </c>
      <c r="U18" s="1">
        <v>0.31180000000000002</v>
      </c>
      <c r="V18" s="1">
        <v>0.92269999999999996</v>
      </c>
      <c r="W18" s="1">
        <v>2</v>
      </c>
      <c r="X18" s="1">
        <v>24.79</v>
      </c>
      <c r="Y18" s="1">
        <v>7.803E-3</v>
      </c>
      <c r="Z18" s="1">
        <v>2.5069999999999999E-2</v>
      </c>
      <c r="AA18" s="1">
        <v>1.8350000000000002E-2</v>
      </c>
      <c r="AB18" s="1">
        <v>7.711E-3</v>
      </c>
      <c r="AC18" s="1">
        <v>1.278E-2</v>
      </c>
      <c r="AD18" s="1">
        <v>3.8560000000000001E-3</v>
      </c>
      <c r="AE18" s="1">
        <v>13.67</v>
      </c>
      <c r="AF18" s="1">
        <v>26.15</v>
      </c>
      <c r="AG18" s="1">
        <v>87.54</v>
      </c>
      <c r="AH18" s="1">
        <v>583</v>
      </c>
      <c r="AI18" s="1">
        <v>0.15</v>
      </c>
      <c r="AJ18" s="1">
        <v>0.2399</v>
      </c>
      <c r="AK18" s="1">
        <v>0.15029999999999999</v>
      </c>
      <c r="AL18" s="1">
        <v>7.2470000000000007E-2</v>
      </c>
      <c r="AM18" s="1">
        <v>0.24379999999999999</v>
      </c>
      <c r="AN18" s="1">
        <v>8.541E-2</v>
      </c>
    </row>
    <row r="19" spans="1:40" s="1" customFormat="1" ht="15" x14ac:dyDescent="0.25">
      <c r="A19" s="1">
        <v>864726</v>
      </c>
      <c r="B19" s="1" t="s">
        <v>37</v>
      </c>
      <c r="C19" s="1">
        <v>8.9499999999999993</v>
      </c>
      <c r="D19" s="1">
        <v>15.76</v>
      </c>
      <c r="E19" s="2"/>
      <c r="F19" s="2"/>
      <c r="G19" s="2"/>
      <c r="H19" s="2"/>
      <c r="I19" s="2"/>
      <c r="J19" s="2"/>
      <c r="K19" s="2"/>
      <c r="L19" s="2"/>
      <c r="M19" s="1">
        <v>58.74</v>
      </c>
      <c r="N19" s="1">
        <v>245.2</v>
      </c>
      <c r="O19" s="1">
        <v>9.4619999999999996E-2</v>
      </c>
      <c r="P19" s="1">
        <v>0.12429999999999999</v>
      </c>
      <c r="Q19" s="1">
        <v>9.2630000000000004E-2</v>
      </c>
      <c r="R19" s="1">
        <v>2.308E-2</v>
      </c>
      <c r="S19" s="1">
        <v>0.1305</v>
      </c>
      <c r="T19" s="1">
        <v>7.1629999999999999E-2</v>
      </c>
      <c r="U19" s="1">
        <v>0.31319999999999998</v>
      </c>
      <c r="V19" s="1">
        <v>0.97889999999999999</v>
      </c>
      <c r="W19" s="1">
        <v>3.28</v>
      </c>
      <c r="X19" s="1">
        <v>16.940000000000001</v>
      </c>
      <c r="Y19" s="1">
        <v>1.8350000000000002E-2</v>
      </c>
      <c r="Z19" s="1">
        <v>6.7599999999999993E-2</v>
      </c>
      <c r="AA19" s="1">
        <v>9.2630000000000004E-2</v>
      </c>
      <c r="AB19" s="1">
        <v>2.308E-2</v>
      </c>
      <c r="AC19" s="1">
        <v>2.384E-2</v>
      </c>
      <c r="AD19" s="1">
        <v>5.6010000000000001E-3</v>
      </c>
      <c r="AE19" s="1">
        <v>9.4139999999999997</v>
      </c>
      <c r="AF19" s="1">
        <v>17.07</v>
      </c>
      <c r="AG19" s="1">
        <v>63.34</v>
      </c>
      <c r="AH19" s="1">
        <v>270</v>
      </c>
      <c r="AI19" s="1">
        <v>0.1179</v>
      </c>
      <c r="AJ19" s="1">
        <v>0.18790000000000001</v>
      </c>
      <c r="AK19" s="1">
        <v>0.15440000000000001</v>
      </c>
      <c r="AL19" s="1">
        <v>3.8460000000000001E-2</v>
      </c>
      <c r="AM19" s="1">
        <v>0.16520000000000001</v>
      </c>
      <c r="AN19" s="1">
        <v>7.7219999999999997E-2</v>
      </c>
    </row>
    <row r="20" spans="1:40" s="1" customFormat="1" ht="15" x14ac:dyDescent="0.25">
      <c r="A20" s="1">
        <v>864729</v>
      </c>
      <c r="B20" s="1" t="s">
        <v>36</v>
      </c>
      <c r="C20" s="1">
        <v>14.87</v>
      </c>
      <c r="D20" s="1">
        <v>16.670000000000002</v>
      </c>
      <c r="E20" s="2"/>
      <c r="F20" s="2"/>
      <c r="G20" s="2"/>
      <c r="H20" s="2"/>
      <c r="I20" s="2"/>
      <c r="J20" s="2"/>
      <c r="K20" s="2"/>
      <c r="L20" s="2"/>
      <c r="M20" s="1">
        <v>98.64</v>
      </c>
      <c r="N20" s="1">
        <v>682.5</v>
      </c>
      <c r="O20" s="1">
        <v>0.1162</v>
      </c>
      <c r="P20" s="1">
        <v>0.16489999999999999</v>
      </c>
      <c r="Q20" s="1">
        <v>0.16900000000000001</v>
      </c>
      <c r="R20" s="1">
        <v>8.9230000000000004E-2</v>
      </c>
      <c r="S20" s="1">
        <v>0.2157</v>
      </c>
      <c r="T20" s="1">
        <v>6.7680000000000004E-2</v>
      </c>
      <c r="U20" s="1">
        <v>0.42659999999999998</v>
      </c>
      <c r="V20" s="1">
        <v>0.94889999999999997</v>
      </c>
      <c r="W20" s="1">
        <v>2.9889999999999999</v>
      </c>
      <c r="X20" s="1">
        <v>41.18</v>
      </c>
      <c r="Y20" s="1">
        <v>6.9849999999999999E-3</v>
      </c>
      <c r="Z20" s="1">
        <v>2.563E-2</v>
      </c>
      <c r="AA20" s="1">
        <v>3.0110000000000001E-2</v>
      </c>
      <c r="AB20" s="1">
        <v>1.2710000000000001E-2</v>
      </c>
      <c r="AC20" s="1">
        <v>1.602E-2</v>
      </c>
      <c r="AD20" s="1">
        <v>3.8839999999999999E-3</v>
      </c>
      <c r="AE20" s="1">
        <v>18.809999999999999</v>
      </c>
      <c r="AF20" s="1">
        <v>27.37</v>
      </c>
      <c r="AG20" s="1">
        <v>127.1</v>
      </c>
      <c r="AH20" s="1">
        <v>1095</v>
      </c>
      <c r="AI20" s="1">
        <v>0.18779999999999999</v>
      </c>
      <c r="AJ20" s="1">
        <v>0.44800000000000001</v>
      </c>
      <c r="AK20" s="1">
        <v>0.47039999999999998</v>
      </c>
      <c r="AL20" s="1">
        <v>0.20269999999999999</v>
      </c>
      <c r="AM20" s="1">
        <v>0.35849999999999999</v>
      </c>
      <c r="AN20" s="1">
        <v>0.1065</v>
      </c>
    </row>
    <row r="21" spans="1:40" s="1" customFormat="1" ht="15" x14ac:dyDescent="0.25">
      <c r="A21" s="1">
        <v>864877</v>
      </c>
      <c r="B21" s="1" t="s">
        <v>36</v>
      </c>
      <c r="C21" s="1">
        <v>15.78</v>
      </c>
      <c r="D21" s="1">
        <v>22.91</v>
      </c>
      <c r="E21" s="2"/>
      <c r="F21" s="2"/>
      <c r="G21" s="2"/>
      <c r="H21" s="2"/>
      <c r="I21" s="2"/>
      <c r="J21" s="2"/>
      <c r="K21" s="2"/>
      <c r="L21" s="2"/>
      <c r="M21" s="1">
        <v>105.7</v>
      </c>
      <c r="N21" s="1">
        <v>782.6</v>
      </c>
      <c r="O21" s="1">
        <v>0.11550000000000001</v>
      </c>
      <c r="P21" s="1">
        <v>0.17519999999999999</v>
      </c>
      <c r="Q21" s="1">
        <v>0.21329999999999999</v>
      </c>
      <c r="R21" s="1">
        <v>9.4789999999999999E-2</v>
      </c>
      <c r="S21" s="1">
        <v>0.20960000000000001</v>
      </c>
      <c r="T21" s="1">
        <v>7.331E-2</v>
      </c>
      <c r="U21" s="1">
        <v>0.55200000000000005</v>
      </c>
      <c r="V21" s="1">
        <v>1.0720000000000001</v>
      </c>
      <c r="W21" s="1">
        <v>3.5979999999999999</v>
      </c>
      <c r="X21" s="1">
        <v>58.63</v>
      </c>
      <c r="Y21" s="1">
        <v>8.6990000000000001E-3</v>
      </c>
      <c r="Z21" s="1">
        <v>3.9759999999999997E-2</v>
      </c>
      <c r="AA21" s="1">
        <v>5.9499999999999997E-2</v>
      </c>
      <c r="AB21" s="1">
        <v>1.3899999999999999E-2</v>
      </c>
      <c r="AC21" s="1">
        <v>1.495E-2</v>
      </c>
      <c r="AD21" s="1">
        <v>5.9839999999999997E-3</v>
      </c>
      <c r="AE21" s="1">
        <v>20.190000000000001</v>
      </c>
      <c r="AF21" s="1">
        <v>30.5</v>
      </c>
      <c r="AG21" s="1">
        <v>130.30000000000001</v>
      </c>
      <c r="AH21" s="1">
        <v>1272</v>
      </c>
      <c r="AI21" s="1">
        <v>0.1855</v>
      </c>
      <c r="AJ21" s="1">
        <v>0.49249999999999999</v>
      </c>
      <c r="AK21" s="1">
        <v>0.73560000000000003</v>
      </c>
      <c r="AL21" s="1">
        <v>0.2034</v>
      </c>
      <c r="AM21" s="1">
        <v>0.32740000000000002</v>
      </c>
      <c r="AN21" s="1">
        <v>0.12520000000000001</v>
      </c>
    </row>
    <row r="22" spans="1:40" s="1" customFormat="1" ht="15" x14ac:dyDescent="0.25">
      <c r="A22" s="1">
        <v>865128</v>
      </c>
      <c r="B22" s="1" t="s">
        <v>36</v>
      </c>
      <c r="C22" s="1">
        <v>17.95</v>
      </c>
      <c r="D22" s="1">
        <v>20.010000000000002</v>
      </c>
      <c r="E22" s="2"/>
      <c r="F22" s="2"/>
      <c r="G22" s="2"/>
      <c r="H22" s="2"/>
      <c r="I22" s="2"/>
      <c r="J22" s="2"/>
      <c r="K22" s="2"/>
      <c r="L22" s="2"/>
      <c r="M22" s="1">
        <v>114.2</v>
      </c>
      <c r="N22" s="1">
        <v>982</v>
      </c>
      <c r="O22" s="1">
        <v>8.4019999999999997E-2</v>
      </c>
      <c r="P22" s="1">
        <v>6.7220000000000002E-2</v>
      </c>
      <c r="Q22" s="1">
        <v>7.2929999999999995E-2</v>
      </c>
      <c r="R22" s="1">
        <v>5.5960000000000003E-2</v>
      </c>
      <c r="S22" s="1">
        <v>0.21290000000000001</v>
      </c>
      <c r="T22" s="1">
        <v>5.0250000000000003E-2</v>
      </c>
      <c r="U22" s="1">
        <v>0.55059999999999998</v>
      </c>
      <c r="V22" s="1">
        <v>1.214</v>
      </c>
      <c r="W22" s="1">
        <v>3.3570000000000002</v>
      </c>
      <c r="X22" s="1">
        <v>54.04</v>
      </c>
      <c r="Y22" s="1">
        <v>4.0239999999999998E-3</v>
      </c>
      <c r="Z22" s="1">
        <v>8.4220000000000007E-3</v>
      </c>
      <c r="AA22" s="1">
        <v>2.291E-2</v>
      </c>
      <c r="AB22" s="1">
        <v>9.8630000000000002E-3</v>
      </c>
      <c r="AC22" s="1">
        <v>5.0139999999999997E-2</v>
      </c>
      <c r="AD22" s="1">
        <v>1.902E-3</v>
      </c>
      <c r="AE22" s="1">
        <v>20.58</v>
      </c>
      <c r="AF22" s="1">
        <v>27.83</v>
      </c>
      <c r="AG22" s="1">
        <v>129.19999999999999</v>
      </c>
      <c r="AH22" s="1">
        <v>1261</v>
      </c>
      <c r="AI22" s="1">
        <v>0.1072</v>
      </c>
      <c r="AJ22" s="1">
        <v>0.1202</v>
      </c>
      <c r="AK22" s="1">
        <v>0.22489999999999999</v>
      </c>
      <c r="AL22" s="1">
        <v>0.11849999999999999</v>
      </c>
      <c r="AM22" s="1">
        <v>0.48820000000000002</v>
      </c>
      <c r="AN22" s="1">
        <v>6.1109999999999998E-2</v>
      </c>
    </row>
    <row r="23" spans="1:40" s="1" customFormat="1" ht="15" x14ac:dyDescent="0.25">
      <c r="A23" s="1">
        <v>865137</v>
      </c>
      <c r="B23" s="1" t="s">
        <v>37</v>
      </c>
      <c r="C23" s="1">
        <v>11.41</v>
      </c>
      <c r="D23" s="1">
        <v>10.82</v>
      </c>
      <c r="E23" s="2"/>
      <c r="F23" s="2"/>
      <c r="G23" s="2"/>
      <c r="H23" s="2"/>
      <c r="I23" s="2"/>
      <c r="J23" s="2"/>
      <c r="K23" s="2"/>
      <c r="L23" s="2"/>
      <c r="M23" s="1">
        <v>73.34</v>
      </c>
      <c r="N23" s="1">
        <v>403.3</v>
      </c>
      <c r="O23" s="1">
        <v>9.3729999999999994E-2</v>
      </c>
      <c r="P23" s="1">
        <v>6.6850000000000007E-2</v>
      </c>
      <c r="Q23" s="1">
        <v>3.5119999999999998E-2</v>
      </c>
      <c r="R23" s="1">
        <v>2.623E-2</v>
      </c>
      <c r="S23" s="1">
        <v>0.16669999999999999</v>
      </c>
      <c r="T23" s="1">
        <v>6.1129999999999997E-2</v>
      </c>
      <c r="U23" s="1">
        <v>0.14080000000000001</v>
      </c>
      <c r="V23" s="1">
        <v>0.4607</v>
      </c>
      <c r="W23" s="1">
        <v>1.103</v>
      </c>
      <c r="X23" s="1">
        <v>10.5</v>
      </c>
      <c r="Y23" s="1">
        <v>6.0400000000000002E-3</v>
      </c>
      <c r="Z23" s="1">
        <v>1.529E-2</v>
      </c>
      <c r="AA23" s="1">
        <v>1.5140000000000001E-2</v>
      </c>
      <c r="AB23" s="1">
        <v>6.4599999999999996E-3</v>
      </c>
      <c r="AC23" s="1">
        <v>1.3440000000000001E-2</v>
      </c>
      <c r="AD23" s="1">
        <v>2.2060000000000001E-3</v>
      </c>
      <c r="AE23" s="1">
        <v>12.82</v>
      </c>
      <c r="AF23" s="1">
        <v>15.97</v>
      </c>
      <c r="AG23" s="1">
        <v>83.74</v>
      </c>
      <c r="AH23" s="1">
        <v>510.5</v>
      </c>
      <c r="AI23" s="1">
        <v>0.15479999999999999</v>
      </c>
      <c r="AJ23" s="1">
        <v>0.23899999999999999</v>
      </c>
      <c r="AK23" s="1">
        <v>0.2102</v>
      </c>
      <c r="AL23" s="1">
        <v>8.9580000000000007E-2</v>
      </c>
      <c r="AM23" s="1">
        <v>0.30159999999999998</v>
      </c>
      <c r="AN23" s="1">
        <v>8.523E-2</v>
      </c>
    </row>
    <row r="24" spans="1:40" s="1" customFormat="1" ht="15" x14ac:dyDescent="0.25">
      <c r="A24" s="1">
        <v>86517</v>
      </c>
      <c r="B24" s="1" t="s">
        <v>36</v>
      </c>
      <c r="C24" s="1">
        <v>18.66</v>
      </c>
      <c r="D24" s="1">
        <v>17.12</v>
      </c>
      <c r="E24" s="2"/>
      <c r="F24" s="2"/>
      <c r="G24" s="2"/>
      <c r="H24" s="2"/>
      <c r="I24" s="2"/>
      <c r="J24" s="2"/>
      <c r="K24" s="2"/>
      <c r="L24" s="2"/>
      <c r="M24" s="1">
        <v>121.4</v>
      </c>
      <c r="N24" s="1">
        <v>1077</v>
      </c>
      <c r="O24" s="1">
        <v>0.10539999999999999</v>
      </c>
      <c r="P24" s="1">
        <v>0.11</v>
      </c>
      <c r="Q24" s="1">
        <v>0.1457</v>
      </c>
      <c r="R24" s="1">
        <v>8.6650000000000005E-2</v>
      </c>
      <c r="S24" s="1">
        <v>0.1966</v>
      </c>
      <c r="T24" s="1">
        <v>6.2129999999999998E-2</v>
      </c>
      <c r="U24" s="1">
        <v>0.71279999999999999</v>
      </c>
      <c r="V24" s="1">
        <v>1.581</v>
      </c>
      <c r="W24" s="1">
        <v>4.8949999999999996</v>
      </c>
      <c r="X24" s="1">
        <v>90.47</v>
      </c>
      <c r="Y24" s="1">
        <v>8.1019999999999998E-3</v>
      </c>
      <c r="Z24" s="1">
        <v>2.1010000000000001E-2</v>
      </c>
      <c r="AA24" s="1">
        <v>3.3419999999999998E-2</v>
      </c>
      <c r="AB24" s="1">
        <v>1.601E-2</v>
      </c>
      <c r="AC24" s="1">
        <v>2.0449999999999999E-2</v>
      </c>
      <c r="AD24" s="1">
        <v>4.5700000000000003E-3</v>
      </c>
      <c r="AE24" s="1">
        <v>22.25</v>
      </c>
      <c r="AF24" s="1">
        <v>24.9</v>
      </c>
      <c r="AG24" s="1">
        <v>145.4</v>
      </c>
      <c r="AH24" s="1">
        <v>1549</v>
      </c>
      <c r="AI24" s="1">
        <v>0.15029999999999999</v>
      </c>
      <c r="AJ24" s="1">
        <v>0.2291</v>
      </c>
      <c r="AK24" s="1">
        <v>0.32719999999999999</v>
      </c>
      <c r="AL24" s="1">
        <v>0.16739999999999999</v>
      </c>
      <c r="AM24" s="1">
        <v>0.28939999999999999</v>
      </c>
      <c r="AN24" s="1">
        <v>8.4559999999999996E-2</v>
      </c>
    </row>
    <row r="25" spans="1:40" s="1" customFormat="1" ht="15" x14ac:dyDescent="0.25">
      <c r="A25" s="1">
        <v>865423</v>
      </c>
      <c r="B25" s="1" t="s">
        <v>36</v>
      </c>
      <c r="C25" s="1">
        <v>24.25</v>
      </c>
      <c r="D25" s="1">
        <v>20.2</v>
      </c>
      <c r="E25" s="2"/>
      <c r="F25" s="2"/>
      <c r="G25" s="2"/>
      <c r="H25" s="2"/>
      <c r="I25" s="2"/>
      <c r="J25" s="2"/>
      <c r="K25" s="2"/>
      <c r="L25" s="2"/>
      <c r="M25" s="1">
        <v>166.2</v>
      </c>
      <c r="N25" s="1">
        <v>1761</v>
      </c>
      <c r="O25" s="1">
        <v>0.1447</v>
      </c>
      <c r="P25" s="1">
        <v>0.28670000000000001</v>
      </c>
      <c r="Q25" s="1">
        <v>0.42680000000000001</v>
      </c>
      <c r="R25" s="1">
        <v>0.20119999999999999</v>
      </c>
      <c r="S25" s="1">
        <v>0.26550000000000001</v>
      </c>
      <c r="T25" s="1">
        <v>6.8769999999999998E-2</v>
      </c>
      <c r="U25" s="1">
        <v>1.5089999999999999</v>
      </c>
      <c r="V25" s="1">
        <v>3.12</v>
      </c>
      <c r="W25" s="1">
        <v>9.8070000000000004</v>
      </c>
      <c r="X25" s="1">
        <v>233</v>
      </c>
      <c r="Y25" s="1">
        <v>2.333E-2</v>
      </c>
      <c r="Z25" s="1">
        <v>9.8059999999999994E-2</v>
      </c>
      <c r="AA25" s="1">
        <v>0.1278</v>
      </c>
      <c r="AB25" s="1">
        <v>1.822E-2</v>
      </c>
      <c r="AC25" s="1">
        <v>4.5469999999999997E-2</v>
      </c>
      <c r="AD25" s="1">
        <v>9.8750000000000001E-3</v>
      </c>
      <c r="AE25" s="1">
        <v>26.02</v>
      </c>
      <c r="AF25" s="1">
        <v>23.99</v>
      </c>
      <c r="AG25" s="1">
        <v>180.9</v>
      </c>
      <c r="AH25" s="1">
        <v>2073</v>
      </c>
      <c r="AI25" s="1">
        <v>0.1696</v>
      </c>
      <c r="AJ25" s="1">
        <v>0.4244</v>
      </c>
      <c r="AK25" s="1">
        <v>0.58030000000000004</v>
      </c>
      <c r="AL25" s="1">
        <v>0.2248</v>
      </c>
      <c r="AM25" s="1">
        <v>0.32219999999999999</v>
      </c>
      <c r="AN25" s="1">
        <v>8.0089999999999995E-2</v>
      </c>
    </row>
    <row r="26" spans="1:40" s="1" customFormat="1" ht="15" x14ac:dyDescent="0.25">
      <c r="A26" s="1">
        <v>865432</v>
      </c>
      <c r="B26" s="1" t="s">
        <v>37</v>
      </c>
      <c r="C26" s="1">
        <v>14.5</v>
      </c>
      <c r="D26" s="1">
        <v>10.89</v>
      </c>
      <c r="E26" s="2"/>
      <c r="F26" s="2"/>
      <c r="G26" s="2"/>
      <c r="H26" s="2"/>
      <c r="I26" s="2"/>
      <c r="J26" s="2"/>
      <c r="K26" s="2"/>
      <c r="L26" s="2"/>
      <c r="M26" s="1">
        <v>94.28</v>
      </c>
      <c r="N26" s="1">
        <v>640.70000000000005</v>
      </c>
      <c r="O26" s="1">
        <v>0.1101</v>
      </c>
      <c r="P26" s="1">
        <v>0.1099</v>
      </c>
      <c r="Q26" s="1">
        <v>8.8419999999999999E-2</v>
      </c>
      <c r="R26" s="1">
        <v>5.7779999999999998E-2</v>
      </c>
      <c r="S26" s="1">
        <v>0.18559999999999999</v>
      </c>
      <c r="T26" s="1">
        <v>6.4019999999999994E-2</v>
      </c>
      <c r="U26" s="1">
        <v>0.29289999999999999</v>
      </c>
      <c r="V26" s="1">
        <v>0.85699999999999998</v>
      </c>
      <c r="W26" s="1">
        <v>1.9279999999999999</v>
      </c>
      <c r="X26" s="1">
        <v>24.19</v>
      </c>
      <c r="Y26" s="1">
        <v>3.8180000000000002E-3</v>
      </c>
      <c r="Z26" s="1">
        <v>1.2760000000000001E-2</v>
      </c>
      <c r="AA26" s="1">
        <v>2.8819999999999998E-2</v>
      </c>
      <c r="AB26" s="1">
        <v>1.2E-2</v>
      </c>
      <c r="AC26" s="1">
        <v>1.9099999999999999E-2</v>
      </c>
      <c r="AD26" s="1">
        <v>2.8080000000000002E-3</v>
      </c>
      <c r="AE26" s="1">
        <v>15.7</v>
      </c>
      <c r="AF26" s="1">
        <v>15.98</v>
      </c>
      <c r="AG26" s="1">
        <v>102.8</v>
      </c>
      <c r="AH26" s="1">
        <v>745.5</v>
      </c>
      <c r="AI26" s="1">
        <v>0.1313</v>
      </c>
      <c r="AJ26" s="1">
        <v>0.17879999999999999</v>
      </c>
      <c r="AK26" s="1">
        <v>0.25600000000000001</v>
      </c>
      <c r="AL26" s="1">
        <v>0.1221</v>
      </c>
      <c r="AM26" s="1">
        <v>0.28889999999999999</v>
      </c>
      <c r="AN26" s="1">
        <v>8.0060000000000006E-2</v>
      </c>
    </row>
    <row r="27" spans="1:40" s="1" customFormat="1" ht="15" x14ac:dyDescent="0.25">
      <c r="A27" s="1">
        <v>865468</v>
      </c>
      <c r="B27" s="1" t="s">
        <v>37</v>
      </c>
      <c r="C27" s="1">
        <v>13.37</v>
      </c>
      <c r="D27" s="1">
        <v>16.39</v>
      </c>
      <c r="E27" s="2"/>
      <c r="F27" s="2"/>
      <c r="G27" s="2"/>
      <c r="H27" s="2"/>
      <c r="I27" s="2"/>
      <c r="J27" s="2"/>
      <c r="K27" s="2"/>
      <c r="L27" s="2"/>
      <c r="M27" s="1">
        <v>86.1</v>
      </c>
      <c r="N27" s="1">
        <v>553.5</v>
      </c>
      <c r="O27" s="1">
        <v>7.1150000000000005E-2</v>
      </c>
      <c r="P27" s="1">
        <v>7.3249999999999996E-2</v>
      </c>
      <c r="Q27" s="1">
        <v>8.0920000000000006E-2</v>
      </c>
      <c r="R27" s="1">
        <v>2.8000000000000001E-2</v>
      </c>
      <c r="S27" s="1">
        <v>0.14219999999999999</v>
      </c>
      <c r="T27" s="1">
        <v>5.8229999999999997E-2</v>
      </c>
      <c r="U27" s="1">
        <v>0.16389999999999999</v>
      </c>
      <c r="V27" s="1">
        <v>1.1399999999999999</v>
      </c>
      <c r="W27" s="1">
        <v>1.2230000000000001</v>
      </c>
      <c r="X27" s="1">
        <v>14.66</v>
      </c>
      <c r="Y27" s="1">
        <v>5.9189999999999998E-3</v>
      </c>
      <c r="Z27" s="1">
        <v>3.27E-2</v>
      </c>
      <c r="AA27" s="1">
        <v>4.9570000000000003E-2</v>
      </c>
      <c r="AB27" s="1">
        <v>1.038E-2</v>
      </c>
      <c r="AC27" s="1">
        <v>1.208E-2</v>
      </c>
      <c r="AD27" s="1">
        <v>4.0759999999999998E-3</v>
      </c>
      <c r="AE27" s="1">
        <v>14.26</v>
      </c>
      <c r="AF27" s="1">
        <v>22.75</v>
      </c>
      <c r="AG27" s="1">
        <v>91.99</v>
      </c>
      <c r="AH27" s="1">
        <v>632.1</v>
      </c>
      <c r="AI27" s="1">
        <v>0.10249999999999999</v>
      </c>
      <c r="AJ27" s="1">
        <v>0.25309999999999999</v>
      </c>
      <c r="AK27" s="1">
        <v>0.33079999999999998</v>
      </c>
      <c r="AL27" s="1">
        <v>8.9779999999999999E-2</v>
      </c>
      <c r="AM27" s="1">
        <v>0.20480000000000001</v>
      </c>
      <c r="AN27" s="1">
        <v>7.6280000000000001E-2</v>
      </c>
    </row>
    <row r="28" spans="1:40" s="1" customFormat="1" ht="15" x14ac:dyDescent="0.25">
      <c r="A28" s="1">
        <v>86561</v>
      </c>
      <c r="B28" s="1" t="s">
        <v>37</v>
      </c>
      <c r="C28" s="1">
        <v>13.85</v>
      </c>
      <c r="D28" s="1">
        <v>17.21</v>
      </c>
      <c r="E28" s="2"/>
      <c r="F28" s="2"/>
      <c r="G28" s="2"/>
      <c r="H28" s="2"/>
      <c r="I28" s="2"/>
      <c r="J28" s="2"/>
      <c r="K28" s="2"/>
      <c r="L28" s="2"/>
      <c r="M28" s="1">
        <v>88.44</v>
      </c>
      <c r="N28" s="1">
        <v>588.70000000000005</v>
      </c>
      <c r="O28" s="1">
        <v>8.7849999999999998E-2</v>
      </c>
      <c r="P28" s="1">
        <v>6.1359999999999998E-2</v>
      </c>
      <c r="Q28" s="1">
        <v>1.4200000000000001E-2</v>
      </c>
      <c r="R28" s="1">
        <v>1.141E-2</v>
      </c>
      <c r="S28" s="1">
        <v>0.16139999999999999</v>
      </c>
      <c r="T28" s="1">
        <v>5.8900000000000001E-2</v>
      </c>
      <c r="U28" s="1">
        <v>0.2185</v>
      </c>
      <c r="V28" s="1">
        <v>0.85609999999999997</v>
      </c>
      <c r="W28" s="1">
        <v>1.4950000000000001</v>
      </c>
      <c r="X28" s="1">
        <v>17.91</v>
      </c>
      <c r="Y28" s="1">
        <v>4.5989999999999998E-3</v>
      </c>
      <c r="Z28" s="1">
        <v>9.1690000000000001E-3</v>
      </c>
      <c r="AA28" s="1">
        <v>9.1269999999999997E-3</v>
      </c>
      <c r="AB28" s="1">
        <v>4.8139999999999997E-3</v>
      </c>
      <c r="AC28" s="1">
        <v>1.247E-2</v>
      </c>
      <c r="AD28" s="1">
        <v>1.7080000000000001E-3</v>
      </c>
      <c r="AE28" s="1">
        <v>15.49</v>
      </c>
      <c r="AF28" s="1">
        <v>23.58</v>
      </c>
      <c r="AG28" s="1">
        <v>100.3</v>
      </c>
      <c r="AH28" s="1">
        <v>725.9</v>
      </c>
      <c r="AI28" s="1">
        <v>0.1157</v>
      </c>
      <c r="AJ28" s="1">
        <v>0.13500000000000001</v>
      </c>
      <c r="AK28" s="1">
        <v>8.115E-2</v>
      </c>
      <c r="AL28" s="1">
        <v>5.1040000000000002E-2</v>
      </c>
      <c r="AM28" s="1">
        <v>0.2364</v>
      </c>
      <c r="AN28" s="1">
        <v>7.1819999999999995E-2</v>
      </c>
    </row>
    <row r="29" spans="1:40" s="1" customFormat="1" ht="15" x14ac:dyDescent="0.25">
      <c r="A29" s="1">
        <v>866083</v>
      </c>
      <c r="B29" s="1" t="s">
        <v>36</v>
      </c>
      <c r="C29" s="1">
        <v>13.61</v>
      </c>
      <c r="D29" s="1">
        <v>24.69</v>
      </c>
      <c r="E29" s="2"/>
      <c r="F29" s="2"/>
      <c r="G29" s="2"/>
      <c r="H29" s="2"/>
      <c r="I29" s="2"/>
      <c r="J29" s="2"/>
      <c r="K29" s="2"/>
      <c r="L29" s="2"/>
      <c r="M29" s="1">
        <v>87.76</v>
      </c>
      <c r="N29" s="1">
        <v>572.6</v>
      </c>
      <c r="O29" s="1">
        <v>9.2579999999999996E-2</v>
      </c>
      <c r="P29" s="1">
        <v>7.8619999999999995E-2</v>
      </c>
      <c r="Q29" s="1">
        <v>5.2850000000000001E-2</v>
      </c>
      <c r="R29" s="1">
        <v>3.0849999999999999E-2</v>
      </c>
      <c r="S29" s="1">
        <v>0.17610000000000001</v>
      </c>
      <c r="T29" s="1">
        <v>6.13E-2</v>
      </c>
      <c r="U29" s="1">
        <v>0.23100000000000001</v>
      </c>
      <c r="V29" s="1">
        <v>1.0049999999999999</v>
      </c>
      <c r="W29" s="1">
        <v>1.752</v>
      </c>
      <c r="X29" s="1">
        <v>19.829999999999998</v>
      </c>
      <c r="Y29" s="1">
        <v>4.0879999999999996E-3</v>
      </c>
      <c r="Z29" s="1">
        <v>1.174E-2</v>
      </c>
      <c r="AA29" s="1">
        <v>1.796E-2</v>
      </c>
      <c r="AB29" s="1">
        <v>6.8799999999999998E-3</v>
      </c>
      <c r="AC29" s="1">
        <v>1.323E-2</v>
      </c>
      <c r="AD29" s="1">
        <v>1.4649999999999999E-3</v>
      </c>
      <c r="AE29" s="1">
        <v>16.89</v>
      </c>
      <c r="AF29" s="1">
        <v>35.64</v>
      </c>
      <c r="AG29" s="1">
        <v>113.2</v>
      </c>
      <c r="AH29" s="1">
        <v>848.7</v>
      </c>
      <c r="AI29" s="1">
        <v>0.14710000000000001</v>
      </c>
      <c r="AJ29" s="1">
        <v>0.28839999999999999</v>
      </c>
      <c r="AK29" s="1">
        <v>0.37959999999999999</v>
      </c>
      <c r="AL29" s="1">
        <v>0.13289999999999999</v>
      </c>
      <c r="AM29" s="1">
        <v>0.34699999999999998</v>
      </c>
      <c r="AN29" s="1">
        <v>7.9000000000000001E-2</v>
      </c>
    </row>
    <row r="30" spans="1:40" s="1" customFormat="1" ht="15" x14ac:dyDescent="0.25">
      <c r="A30" s="1">
        <v>866203</v>
      </c>
      <c r="B30" s="1" t="s">
        <v>36</v>
      </c>
      <c r="C30" s="1">
        <v>19</v>
      </c>
      <c r="D30" s="1">
        <v>18.91</v>
      </c>
      <c r="E30" s="2"/>
      <c r="F30" s="2"/>
      <c r="G30" s="2"/>
      <c r="H30" s="2"/>
      <c r="I30" s="2"/>
      <c r="J30" s="2"/>
      <c r="K30" s="2"/>
      <c r="L30" s="2"/>
      <c r="M30" s="1">
        <v>123.4</v>
      </c>
      <c r="N30" s="1">
        <v>1138</v>
      </c>
      <c r="O30" s="1">
        <v>8.2170000000000007E-2</v>
      </c>
      <c r="P30" s="1">
        <v>8.0280000000000004E-2</v>
      </c>
      <c r="Q30" s="1">
        <v>9.2710000000000001E-2</v>
      </c>
      <c r="R30" s="1">
        <v>5.6270000000000001E-2</v>
      </c>
      <c r="S30" s="1">
        <v>0.1946</v>
      </c>
      <c r="T30" s="1">
        <v>5.0439999999999999E-2</v>
      </c>
      <c r="U30" s="1">
        <v>0.68959999999999999</v>
      </c>
      <c r="V30" s="1">
        <v>1.3420000000000001</v>
      </c>
      <c r="W30" s="1">
        <v>5.2160000000000002</v>
      </c>
      <c r="X30" s="1">
        <v>81.23</v>
      </c>
      <c r="Y30" s="1">
        <v>4.4279999999999996E-3</v>
      </c>
      <c r="Z30" s="1">
        <v>2.7310000000000001E-2</v>
      </c>
      <c r="AA30" s="1">
        <v>4.0399999999999998E-2</v>
      </c>
      <c r="AB30" s="1">
        <v>1.3610000000000001E-2</v>
      </c>
      <c r="AC30" s="1">
        <v>2.0299999999999999E-2</v>
      </c>
      <c r="AD30" s="1">
        <v>2.686E-3</v>
      </c>
      <c r="AE30" s="1">
        <v>22.32</v>
      </c>
      <c r="AF30" s="1">
        <v>25.73</v>
      </c>
      <c r="AG30" s="1">
        <v>148.19999999999999</v>
      </c>
      <c r="AH30" s="1">
        <v>1538</v>
      </c>
      <c r="AI30" s="1">
        <v>0.1021</v>
      </c>
      <c r="AJ30" s="1">
        <v>0.22639999999999999</v>
      </c>
      <c r="AK30" s="1">
        <v>0.32069999999999999</v>
      </c>
      <c r="AL30" s="1">
        <v>0.12180000000000001</v>
      </c>
      <c r="AM30" s="1">
        <v>0.28410000000000002</v>
      </c>
      <c r="AN30" s="1">
        <v>6.5409999999999996E-2</v>
      </c>
    </row>
    <row r="31" spans="1:40" s="1" customFormat="1" ht="15" x14ac:dyDescent="0.25">
      <c r="A31" s="1">
        <v>866458</v>
      </c>
      <c r="B31" s="1" t="s">
        <v>37</v>
      </c>
      <c r="C31" s="1">
        <v>15.1</v>
      </c>
      <c r="D31" s="1">
        <v>16.39</v>
      </c>
      <c r="E31" s="2"/>
      <c r="F31" s="2"/>
      <c r="G31" s="2"/>
      <c r="H31" s="2"/>
      <c r="I31" s="2"/>
      <c r="J31" s="2"/>
      <c r="K31" s="2"/>
      <c r="L31" s="2"/>
      <c r="M31" s="1">
        <v>99.58</v>
      </c>
      <c r="N31" s="1">
        <v>674.5</v>
      </c>
      <c r="O31" s="1">
        <v>0.115</v>
      </c>
      <c r="P31" s="1">
        <v>0.1807</v>
      </c>
      <c r="Q31" s="1">
        <v>0.1138</v>
      </c>
      <c r="R31" s="1">
        <v>8.5339999999999999E-2</v>
      </c>
      <c r="S31" s="1">
        <v>0.2001</v>
      </c>
      <c r="T31" s="1">
        <v>6.4670000000000005E-2</v>
      </c>
      <c r="U31" s="1">
        <v>0.43090000000000001</v>
      </c>
      <c r="V31" s="1">
        <v>1.0680000000000001</v>
      </c>
      <c r="W31" s="1">
        <v>2.7959999999999998</v>
      </c>
      <c r="X31" s="1">
        <v>39.840000000000003</v>
      </c>
      <c r="Y31" s="1">
        <v>9.0060000000000001E-3</v>
      </c>
      <c r="Z31" s="1">
        <v>4.1849999999999998E-2</v>
      </c>
      <c r="AA31" s="1">
        <v>3.2039999999999999E-2</v>
      </c>
      <c r="AB31" s="1">
        <v>2.2579999999999999E-2</v>
      </c>
      <c r="AC31" s="1">
        <v>2.3529999999999999E-2</v>
      </c>
      <c r="AD31" s="1">
        <v>4.9839999999999997E-3</v>
      </c>
      <c r="AE31" s="1">
        <v>16.11</v>
      </c>
      <c r="AF31" s="1">
        <v>18.329999999999998</v>
      </c>
      <c r="AG31" s="1">
        <v>105.9</v>
      </c>
      <c r="AH31" s="1">
        <v>762.6</v>
      </c>
      <c r="AI31" s="1">
        <v>0.1386</v>
      </c>
      <c r="AJ31" s="1">
        <v>0.2883</v>
      </c>
      <c r="AK31" s="1">
        <v>0.19600000000000001</v>
      </c>
      <c r="AL31" s="1">
        <v>0.14230000000000001</v>
      </c>
      <c r="AM31" s="1">
        <v>0.25900000000000001</v>
      </c>
      <c r="AN31" s="1">
        <v>7.7789999999999998E-2</v>
      </c>
    </row>
    <row r="32" spans="1:40" s="1" customFormat="1" ht="15" x14ac:dyDescent="0.25">
      <c r="A32" s="1">
        <v>866674</v>
      </c>
      <c r="B32" s="1" t="s">
        <v>36</v>
      </c>
      <c r="C32" s="1">
        <v>19.79</v>
      </c>
      <c r="D32" s="1">
        <v>25.12</v>
      </c>
      <c r="E32" s="2"/>
      <c r="F32" s="2"/>
      <c r="G32" s="2"/>
      <c r="H32" s="2"/>
      <c r="I32" s="2"/>
      <c r="J32" s="2"/>
      <c r="K32" s="2"/>
      <c r="L32" s="2"/>
      <c r="M32" s="1">
        <v>130.4</v>
      </c>
      <c r="N32" s="1">
        <v>1192</v>
      </c>
      <c r="O32" s="1">
        <v>0.10150000000000001</v>
      </c>
      <c r="P32" s="1">
        <v>0.15890000000000001</v>
      </c>
      <c r="Q32" s="1">
        <v>0.2545</v>
      </c>
      <c r="R32" s="1">
        <v>0.1149</v>
      </c>
      <c r="S32" s="1">
        <v>0.22020000000000001</v>
      </c>
      <c r="T32" s="1">
        <v>6.1129999999999997E-2</v>
      </c>
      <c r="U32" s="1">
        <v>0.49530000000000002</v>
      </c>
      <c r="V32" s="1">
        <v>1.1990000000000001</v>
      </c>
      <c r="W32" s="1">
        <v>2.7650000000000001</v>
      </c>
      <c r="X32" s="1">
        <v>63.33</v>
      </c>
      <c r="Y32" s="1">
        <v>5.0330000000000001E-3</v>
      </c>
      <c r="Z32" s="1">
        <v>3.1789999999999999E-2</v>
      </c>
      <c r="AA32" s="1">
        <v>4.7550000000000002E-2</v>
      </c>
      <c r="AB32" s="1">
        <v>1.043E-2</v>
      </c>
      <c r="AC32" s="1">
        <v>1.5779999999999999E-2</v>
      </c>
      <c r="AD32" s="1">
        <v>3.2239999999999999E-3</v>
      </c>
      <c r="AE32" s="1">
        <v>22.63</v>
      </c>
      <c r="AF32" s="1">
        <v>33.58</v>
      </c>
      <c r="AG32" s="1">
        <v>148.69999999999999</v>
      </c>
      <c r="AH32" s="1">
        <v>1589</v>
      </c>
      <c r="AI32" s="1">
        <v>0.1275</v>
      </c>
      <c r="AJ32" s="1">
        <v>0.3861</v>
      </c>
      <c r="AK32" s="1">
        <v>0.56730000000000003</v>
      </c>
      <c r="AL32" s="1">
        <v>0.17319999999999999</v>
      </c>
      <c r="AM32" s="1">
        <v>0.33050000000000002</v>
      </c>
      <c r="AN32" s="1">
        <v>8.4650000000000003E-2</v>
      </c>
    </row>
    <row r="33" spans="1:40" s="1" customFormat="1" ht="15" x14ac:dyDescent="0.25">
      <c r="A33" s="1">
        <v>866714</v>
      </c>
      <c r="B33" s="1" t="s">
        <v>37</v>
      </c>
      <c r="C33" s="1">
        <v>12.19</v>
      </c>
      <c r="D33" s="1">
        <v>13.29</v>
      </c>
      <c r="E33" s="2"/>
      <c r="F33" s="2"/>
      <c r="G33" s="2"/>
      <c r="H33" s="2"/>
      <c r="I33" s="2"/>
      <c r="J33" s="2"/>
      <c r="K33" s="2"/>
      <c r="L33" s="2"/>
      <c r="M33" s="1">
        <v>79.08</v>
      </c>
      <c r="N33" s="1">
        <v>455.8</v>
      </c>
      <c r="O33" s="1">
        <v>0.1066</v>
      </c>
      <c r="P33" s="1">
        <v>9.5089999999999994E-2</v>
      </c>
      <c r="Q33" s="1">
        <v>2.8549999999999999E-2</v>
      </c>
      <c r="R33" s="1">
        <v>2.8819999999999998E-2</v>
      </c>
      <c r="S33" s="1">
        <v>0.188</v>
      </c>
      <c r="T33" s="1">
        <v>6.4710000000000004E-2</v>
      </c>
      <c r="U33" s="1">
        <v>0.20050000000000001</v>
      </c>
      <c r="V33" s="1">
        <v>0.81630000000000003</v>
      </c>
      <c r="W33" s="1">
        <v>1.9730000000000001</v>
      </c>
      <c r="X33" s="1">
        <v>15.24</v>
      </c>
      <c r="Y33" s="1">
        <v>6.7730000000000004E-3</v>
      </c>
      <c r="Z33" s="1">
        <v>2.4559999999999998E-2</v>
      </c>
      <c r="AA33" s="1">
        <v>1.018E-2</v>
      </c>
      <c r="AB33" s="1">
        <v>8.0940000000000005E-3</v>
      </c>
      <c r="AC33" s="1">
        <v>2.6620000000000001E-2</v>
      </c>
      <c r="AD33" s="1">
        <v>4.143E-3</v>
      </c>
      <c r="AE33" s="1">
        <v>13.34</v>
      </c>
      <c r="AF33" s="1">
        <v>17.809999999999999</v>
      </c>
      <c r="AG33" s="1">
        <v>91.38</v>
      </c>
      <c r="AH33" s="1">
        <v>545.20000000000005</v>
      </c>
      <c r="AI33" s="1">
        <v>0.14269999999999999</v>
      </c>
      <c r="AJ33" s="1">
        <v>0.25850000000000001</v>
      </c>
      <c r="AK33" s="1">
        <v>9.9150000000000002E-2</v>
      </c>
      <c r="AL33" s="1">
        <v>8.1869999999999998E-2</v>
      </c>
      <c r="AM33" s="1">
        <v>0.34689999999999999</v>
      </c>
      <c r="AN33" s="1">
        <v>9.2410000000000006E-2</v>
      </c>
    </row>
    <row r="34" spans="1:40" s="1" customFormat="1" ht="15" x14ac:dyDescent="0.25">
      <c r="A34" s="1">
        <v>8670</v>
      </c>
      <c r="B34" s="1" t="s">
        <v>36</v>
      </c>
      <c r="C34" s="1">
        <v>15.46</v>
      </c>
      <c r="D34" s="1">
        <v>19.48</v>
      </c>
      <c r="E34" s="2"/>
      <c r="F34" s="2"/>
      <c r="G34" s="2"/>
      <c r="H34" s="2"/>
      <c r="I34" s="2"/>
      <c r="J34" s="2"/>
      <c r="K34" s="2"/>
      <c r="L34" s="2"/>
      <c r="M34" s="1">
        <v>101.7</v>
      </c>
      <c r="N34" s="1">
        <v>748.9</v>
      </c>
      <c r="O34" s="1">
        <v>0.10920000000000001</v>
      </c>
      <c r="P34" s="1">
        <v>0.12230000000000001</v>
      </c>
      <c r="Q34" s="1">
        <v>0.14660000000000001</v>
      </c>
      <c r="R34" s="1">
        <v>8.0869999999999997E-2</v>
      </c>
      <c r="S34" s="1">
        <v>0.19309999999999999</v>
      </c>
      <c r="T34" s="1">
        <v>5.7959999999999998E-2</v>
      </c>
      <c r="U34" s="1">
        <v>0.4743</v>
      </c>
      <c r="V34" s="1">
        <v>0.78590000000000004</v>
      </c>
      <c r="W34" s="1">
        <v>3.0939999999999999</v>
      </c>
      <c r="X34" s="1">
        <v>48.31</v>
      </c>
      <c r="Y34" s="1">
        <v>6.2399999999999999E-3</v>
      </c>
      <c r="Z34" s="1">
        <v>1.4840000000000001E-2</v>
      </c>
      <c r="AA34" s="1">
        <v>2.8129999999999999E-2</v>
      </c>
      <c r="AB34" s="1">
        <v>1.093E-2</v>
      </c>
      <c r="AC34" s="1">
        <v>1.397E-2</v>
      </c>
      <c r="AD34" s="1">
        <v>2.4610000000000001E-3</v>
      </c>
      <c r="AE34" s="1">
        <v>19.260000000000002</v>
      </c>
      <c r="AF34" s="1">
        <v>26</v>
      </c>
      <c r="AG34" s="1">
        <v>124.9</v>
      </c>
      <c r="AH34" s="1">
        <v>1156</v>
      </c>
      <c r="AI34" s="1">
        <v>0.15459999999999999</v>
      </c>
      <c r="AJ34" s="1">
        <v>0.2394</v>
      </c>
      <c r="AK34" s="1">
        <v>0.37909999999999999</v>
      </c>
      <c r="AL34" s="1">
        <v>0.15140000000000001</v>
      </c>
      <c r="AM34" s="1">
        <v>0.28370000000000001</v>
      </c>
      <c r="AN34" s="1">
        <v>8.0189999999999997E-2</v>
      </c>
    </row>
    <row r="35" spans="1:40" s="1" customFormat="1" ht="15" x14ac:dyDescent="0.25">
      <c r="A35" s="1">
        <v>86730502</v>
      </c>
      <c r="B35" s="1" t="s">
        <v>36</v>
      </c>
      <c r="C35" s="1">
        <v>16.16</v>
      </c>
      <c r="D35" s="1">
        <v>21.54</v>
      </c>
      <c r="E35" s="2"/>
      <c r="F35" s="2"/>
      <c r="G35" s="2"/>
      <c r="H35" s="2"/>
      <c r="I35" s="2"/>
      <c r="J35" s="2"/>
      <c r="K35" s="2"/>
      <c r="L35" s="2"/>
      <c r="M35" s="1">
        <v>106.2</v>
      </c>
      <c r="N35" s="1">
        <v>809.8</v>
      </c>
      <c r="O35" s="1">
        <v>0.1008</v>
      </c>
      <c r="P35" s="1">
        <v>0.12839999999999999</v>
      </c>
      <c r="Q35" s="1">
        <v>0.1043</v>
      </c>
      <c r="R35" s="1">
        <v>5.6129999999999999E-2</v>
      </c>
      <c r="S35" s="1">
        <v>0.216</v>
      </c>
      <c r="T35" s="1">
        <v>5.8909999999999997E-2</v>
      </c>
      <c r="U35" s="1">
        <v>0.43319999999999997</v>
      </c>
      <c r="V35" s="1">
        <v>1.2649999999999999</v>
      </c>
      <c r="W35" s="1">
        <v>2.8439999999999999</v>
      </c>
      <c r="X35" s="1">
        <v>43.68</v>
      </c>
      <c r="Y35" s="1">
        <v>4.8770000000000003E-3</v>
      </c>
      <c r="Z35" s="1">
        <v>1.9519999999999999E-2</v>
      </c>
      <c r="AA35" s="1">
        <v>2.2190000000000001E-2</v>
      </c>
      <c r="AB35" s="1">
        <v>9.2309999999999996E-3</v>
      </c>
      <c r="AC35" s="1">
        <v>1.5350000000000001E-2</v>
      </c>
      <c r="AD35" s="1">
        <v>2.3730000000000001E-3</v>
      </c>
      <c r="AE35" s="1">
        <v>19.47</v>
      </c>
      <c r="AF35" s="1">
        <v>31.68</v>
      </c>
      <c r="AG35" s="1">
        <v>129.69999999999999</v>
      </c>
      <c r="AH35" s="1">
        <v>1175</v>
      </c>
      <c r="AI35" s="1">
        <v>0.13950000000000001</v>
      </c>
      <c r="AJ35" s="1">
        <v>0.30549999999999999</v>
      </c>
      <c r="AK35" s="1">
        <v>0.29920000000000002</v>
      </c>
      <c r="AL35" s="1">
        <v>0.13120000000000001</v>
      </c>
      <c r="AM35" s="1">
        <v>0.34799999999999998</v>
      </c>
      <c r="AN35" s="1">
        <v>7.6189999999999994E-2</v>
      </c>
    </row>
    <row r="36" spans="1:40" s="1" customFormat="1" ht="15" x14ac:dyDescent="0.25">
      <c r="A36" s="1">
        <v>867387</v>
      </c>
      <c r="B36" s="1" t="s">
        <v>37</v>
      </c>
      <c r="C36" s="1">
        <v>15.71</v>
      </c>
      <c r="D36" s="1">
        <v>13.93</v>
      </c>
      <c r="E36" s="2"/>
      <c r="F36" s="2"/>
      <c r="G36" s="2"/>
      <c r="H36" s="2"/>
      <c r="I36" s="2"/>
      <c r="J36" s="2"/>
      <c r="K36" s="2"/>
      <c r="L36" s="2"/>
      <c r="M36" s="1">
        <v>102</v>
      </c>
      <c r="N36" s="1">
        <v>761.7</v>
      </c>
      <c r="O36" s="1">
        <v>9.4619999999999996E-2</v>
      </c>
      <c r="P36" s="1">
        <v>9.4619999999999996E-2</v>
      </c>
      <c r="Q36" s="1">
        <v>7.1349999999999997E-2</v>
      </c>
      <c r="R36" s="1">
        <v>5.9330000000000001E-2</v>
      </c>
      <c r="S36" s="1">
        <v>0.18160000000000001</v>
      </c>
      <c r="T36" s="1">
        <v>5.7230000000000003E-2</v>
      </c>
      <c r="U36" s="1">
        <v>0.31169999999999998</v>
      </c>
      <c r="V36" s="1">
        <v>0.8155</v>
      </c>
      <c r="W36" s="1">
        <v>1.972</v>
      </c>
      <c r="X36" s="1">
        <v>27.94</v>
      </c>
      <c r="Y36" s="1">
        <v>5.2170000000000003E-3</v>
      </c>
      <c r="Z36" s="1">
        <v>1.515E-2</v>
      </c>
      <c r="AA36" s="1">
        <v>1.678E-2</v>
      </c>
      <c r="AB36" s="1">
        <v>1.268E-2</v>
      </c>
      <c r="AC36" s="1">
        <v>1.669E-2</v>
      </c>
      <c r="AD36" s="1">
        <v>2.33E-3</v>
      </c>
      <c r="AE36" s="1">
        <v>17.5</v>
      </c>
      <c r="AF36" s="1">
        <v>19.25</v>
      </c>
      <c r="AG36" s="1">
        <v>114.3</v>
      </c>
      <c r="AH36" s="1">
        <v>922.8</v>
      </c>
      <c r="AI36" s="1">
        <v>0.12230000000000001</v>
      </c>
      <c r="AJ36" s="1">
        <v>0.19489999999999999</v>
      </c>
      <c r="AK36" s="1">
        <v>0.1709</v>
      </c>
      <c r="AL36" s="1">
        <v>0.13739999999999999</v>
      </c>
      <c r="AM36" s="1">
        <v>0.27229999999999999</v>
      </c>
      <c r="AN36" s="1">
        <v>7.0709999999999995E-2</v>
      </c>
    </row>
    <row r="37" spans="1:40" s="1" customFormat="1" ht="15" x14ac:dyDescent="0.25">
      <c r="A37" s="1">
        <v>867739</v>
      </c>
      <c r="B37" s="1" t="s">
        <v>36</v>
      </c>
      <c r="C37" s="1">
        <v>18.45</v>
      </c>
      <c r="D37" s="1">
        <v>21.91</v>
      </c>
      <c r="E37" s="2"/>
      <c r="F37" s="2"/>
      <c r="G37" s="2"/>
      <c r="H37" s="2"/>
      <c r="I37" s="2"/>
      <c r="J37" s="2"/>
      <c r="K37" s="2"/>
      <c r="L37" s="2"/>
      <c r="M37" s="1">
        <v>120.2</v>
      </c>
      <c r="N37" s="1">
        <v>1075</v>
      </c>
      <c r="O37" s="1">
        <v>9.4299999999999995E-2</v>
      </c>
      <c r="P37" s="1">
        <v>9.7089999999999996E-2</v>
      </c>
      <c r="Q37" s="1">
        <v>0.1153</v>
      </c>
      <c r="R37" s="1">
        <v>6.8470000000000003E-2</v>
      </c>
      <c r="S37" s="1">
        <v>0.16919999999999999</v>
      </c>
      <c r="T37" s="1">
        <v>5.7270000000000001E-2</v>
      </c>
      <c r="U37" s="1">
        <v>0.59589999999999999</v>
      </c>
      <c r="V37" s="1">
        <v>1.202</v>
      </c>
      <c r="W37" s="1">
        <v>3.766</v>
      </c>
      <c r="X37" s="1">
        <v>68.349999999999994</v>
      </c>
      <c r="Y37" s="1">
        <v>6.0010000000000003E-3</v>
      </c>
      <c r="Z37" s="1">
        <v>1.422E-2</v>
      </c>
      <c r="AA37" s="1">
        <v>2.8549999999999999E-2</v>
      </c>
      <c r="AB37" s="1">
        <v>9.1479999999999999E-3</v>
      </c>
      <c r="AC37" s="1">
        <v>1.4919999999999999E-2</v>
      </c>
      <c r="AD37" s="1">
        <v>2.2049999999999999E-3</v>
      </c>
      <c r="AE37" s="1">
        <v>22.52</v>
      </c>
      <c r="AF37" s="1">
        <v>31.39</v>
      </c>
      <c r="AG37" s="1">
        <v>145.6</v>
      </c>
      <c r="AH37" s="1">
        <v>1590</v>
      </c>
      <c r="AI37" s="1">
        <v>0.14649999999999999</v>
      </c>
      <c r="AJ37" s="1">
        <v>0.22750000000000001</v>
      </c>
      <c r="AK37" s="1">
        <v>0.39650000000000002</v>
      </c>
      <c r="AL37" s="1">
        <v>0.13789999999999999</v>
      </c>
      <c r="AM37" s="1">
        <v>0.31090000000000001</v>
      </c>
      <c r="AN37" s="1">
        <v>7.6100000000000001E-2</v>
      </c>
    </row>
    <row r="38" spans="1:40" s="1" customFormat="1" ht="15" x14ac:dyDescent="0.25">
      <c r="A38" s="1">
        <v>868202</v>
      </c>
      <c r="B38" s="1" t="s">
        <v>36</v>
      </c>
      <c r="C38" s="1">
        <v>12.77</v>
      </c>
      <c r="D38" s="1">
        <v>22.47</v>
      </c>
      <c r="E38" s="2"/>
      <c r="F38" s="2"/>
      <c r="G38" s="2"/>
      <c r="H38" s="2"/>
      <c r="I38" s="2"/>
      <c r="J38" s="2"/>
      <c r="K38" s="2"/>
      <c r="L38" s="2"/>
      <c r="M38" s="1">
        <v>81.72</v>
      </c>
      <c r="N38" s="1">
        <v>506.3</v>
      </c>
      <c r="O38" s="1">
        <v>9.0550000000000005E-2</v>
      </c>
      <c r="P38" s="1">
        <v>5.7610000000000001E-2</v>
      </c>
      <c r="Q38" s="1">
        <v>4.7109999999999999E-2</v>
      </c>
      <c r="R38" s="1">
        <v>2.7040000000000002E-2</v>
      </c>
      <c r="S38" s="1">
        <v>0.1585</v>
      </c>
      <c r="T38" s="1">
        <v>6.0650000000000003E-2</v>
      </c>
      <c r="U38" s="1">
        <v>0.23669999999999999</v>
      </c>
      <c r="V38" s="1">
        <v>1.38</v>
      </c>
      <c r="W38" s="1">
        <v>1.4570000000000001</v>
      </c>
      <c r="X38" s="1">
        <v>19.87</v>
      </c>
      <c r="Y38" s="1">
        <v>7.4989999999999996E-3</v>
      </c>
      <c r="Z38" s="1">
        <v>1.2019999999999999E-2</v>
      </c>
      <c r="AA38" s="1">
        <v>2.332E-2</v>
      </c>
      <c r="AB38" s="1">
        <v>8.9200000000000008E-3</v>
      </c>
      <c r="AC38" s="1">
        <v>1.6469999999999999E-2</v>
      </c>
      <c r="AD38" s="1">
        <v>2.6289999999999998E-3</v>
      </c>
      <c r="AE38" s="1">
        <v>14.49</v>
      </c>
      <c r="AF38" s="1">
        <v>33.369999999999997</v>
      </c>
      <c r="AG38" s="1">
        <v>92.04</v>
      </c>
      <c r="AH38" s="1">
        <v>653.6</v>
      </c>
      <c r="AI38" s="1">
        <v>0.1419</v>
      </c>
      <c r="AJ38" s="1">
        <v>0.15229999999999999</v>
      </c>
      <c r="AK38" s="1">
        <v>0.2177</v>
      </c>
      <c r="AL38" s="1">
        <v>9.3310000000000004E-2</v>
      </c>
      <c r="AM38" s="1">
        <v>0.28289999999999998</v>
      </c>
      <c r="AN38" s="1">
        <v>8.0670000000000006E-2</v>
      </c>
    </row>
    <row r="39" spans="1:40" s="1" customFormat="1" ht="15" x14ac:dyDescent="0.25">
      <c r="A39" s="1">
        <v>868223</v>
      </c>
      <c r="B39" s="1" t="s">
        <v>37</v>
      </c>
      <c r="C39" s="1">
        <v>11.71</v>
      </c>
      <c r="D39" s="1">
        <v>16.670000000000002</v>
      </c>
      <c r="E39" s="2"/>
      <c r="F39" s="2"/>
      <c r="G39" s="2"/>
      <c r="H39" s="2"/>
      <c r="I39" s="2"/>
      <c r="J39" s="2"/>
      <c r="K39" s="2"/>
      <c r="L39" s="2"/>
      <c r="M39" s="1">
        <v>74.72</v>
      </c>
      <c r="N39" s="1">
        <v>423.6</v>
      </c>
      <c r="O39" s="1">
        <v>0.1051</v>
      </c>
      <c r="P39" s="1">
        <v>6.0949999999999997E-2</v>
      </c>
      <c r="Q39" s="1">
        <v>3.5920000000000001E-2</v>
      </c>
      <c r="R39" s="1">
        <v>2.5999999999999999E-2</v>
      </c>
      <c r="S39" s="1">
        <v>0.13389999999999999</v>
      </c>
      <c r="T39" s="1">
        <v>5.9450000000000003E-2</v>
      </c>
      <c r="U39" s="1">
        <v>0.44890000000000002</v>
      </c>
      <c r="V39" s="1">
        <v>2.508</v>
      </c>
      <c r="W39" s="1">
        <v>3.258</v>
      </c>
      <c r="X39" s="1">
        <v>34.369999999999997</v>
      </c>
      <c r="Y39" s="1">
        <v>6.5779999999999996E-3</v>
      </c>
      <c r="Z39" s="1">
        <v>1.38E-2</v>
      </c>
      <c r="AA39" s="1">
        <v>2.6620000000000001E-2</v>
      </c>
      <c r="AB39" s="1">
        <v>1.307E-2</v>
      </c>
      <c r="AC39" s="1">
        <v>1.359E-2</v>
      </c>
      <c r="AD39" s="1">
        <v>3.7069999999999998E-3</v>
      </c>
      <c r="AE39" s="1">
        <v>13.33</v>
      </c>
      <c r="AF39" s="1">
        <v>25.48</v>
      </c>
      <c r="AG39" s="1">
        <v>86.16</v>
      </c>
      <c r="AH39" s="1">
        <v>546.70000000000005</v>
      </c>
      <c r="AI39" s="1">
        <v>0.12709999999999999</v>
      </c>
      <c r="AJ39" s="1">
        <v>0.1028</v>
      </c>
      <c r="AK39" s="1">
        <v>0.1046</v>
      </c>
      <c r="AL39" s="1">
        <v>6.9680000000000006E-2</v>
      </c>
      <c r="AM39" s="1">
        <v>0.17119999999999999</v>
      </c>
      <c r="AN39" s="1">
        <v>7.3429999999999995E-2</v>
      </c>
    </row>
    <row r="40" spans="1:40" s="1" customFormat="1" ht="15" x14ac:dyDescent="0.25">
      <c r="A40" s="1">
        <v>868682</v>
      </c>
      <c r="B40" s="1" t="s">
        <v>37</v>
      </c>
      <c r="C40" s="1">
        <v>11.43</v>
      </c>
      <c r="D40" s="1">
        <v>15.39</v>
      </c>
      <c r="E40" s="2"/>
      <c r="F40" s="2"/>
      <c r="G40" s="2"/>
      <c r="H40" s="2"/>
      <c r="I40" s="2"/>
      <c r="J40" s="2"/>
      <c r="K40" s="2"/>
      <c r="L40" s="2"/>
      <c r="M40" s="1">
        <v>73.06</v>
      </c>
      <c r="N40" s="1">
        <v>399.8</v>
      </c>
      <c r="O40" s="1">
        <v>9.6390000000000003E-2</v>
      </c>
      <c r="P40" s="1">
        <v>6.8890000000000007E-2</v>
      </c>
      <c r="Q40" s="1">
        <v>3.5029999999999999E-2</v>
      </c>
      <c r="R40" s="1">
        <v>2.8750000000000001E-2</v>
      </c>
      <c r="S40" s="1">
        <v>0.1734</v>
      </c>
      <c r="T40" s="1">
        <v>5.8650000000000001E-2</v>
      </c>
      <c r="U40" s="1">
        <v>0.1759</v>
      </c>
      <c r="V40" s="1">
        <v>0.99380000000000002</v>
      </c>
      <c r="W40" s="1">
        <v>1.143</v>
      </c>
      <c r="X40" s="1">
        <v>12.67</v>
      </c>
      <c r="Y40" s="1">
        <v>5.1330000000000004E-3</v>
      </c>
      <c r="Z40" s="1">
        <v>1.521E-2</v>
      </c>
      <c r="AA40" s="1">
        <v>1.434E-2</v>
      </c>
      <c r="AB40" s="1">
        <v>8.6020000000000003E-3</v>
      </c>
      <c r="AC40" s="1">
        <v>1.5010000000000001E-2</v>
      </c>
      <c r="AD40" s="1">
        <v>1.588E-3</v>
      </c>
      <c r="AE40" s="1">
        <v>12.32</v>
      </c>
      <c r="AF40" s="1">
        <v>22.02</v>
      </c>
      <c r="AG40" s="1">
        <v>79.930000000000007</v>
      </c>
      <c r="AH40" s="1">
        <v>462</v>
      </c>
      <c r="AI40" s="1">
        <v>0.11899999999999999</v>
      </c>
      <c r="AJ40" s="1">
        <v>0.1648</v>
      </c>
      <c r="AK40" s="1">
        <v>0.1399</v>
      </c>
      <c r="AL40" s="1">
        <v>8.4760000000000002E-2</v>
      </c>
      <c r="AM40" s="1">
        <v>0.2676</v>
      </c>
      <c r="AN40" s="1">
        <v>6.7650000000000002E-2</v>
      </c>
    </row>
    <row r="41" spans="1:40" s="1" customFormat="1" ht="15" x14ac:dyDescent="0.25">
      <c r="A41" s="1">
        <v>868826</v>
      </c>
      <c r="B41" s="1" t="s">
        <v>36</v>
      </c>
      <c r="C41" s="1">
        <v>14.95</v>
      </c>
      <c r="D41" s="1">
        <v>17.57</v>
      </c>
      <c r="E41" s="2"/>
      <c r="F41" s="2"/>
      <c r="G41" s="2"/>
      <c r="H41" s="2"/>
      <c r="I41" s="2"/>
      <c r="J41" s="2"/>
      <c r="K41" s="2"/>
      <c r="L41" s="2"/>
      <c r="M41" s="1">
        <v>96.85</v>
      </c>
      <c r="N41" s="1">
        <v>678.1</v>
      </c>
      <c r="O41" s="1">
        <v>0.1167</v>
      </c>
      <c r="P41" s="1">
        <v>0.1305</v>
      </c>
      <c r="Q41" s="1">
        <v>0.15390000000000001</v>
      </c>
      <c r="R41" s="1">
        <v>8.6239999999999997E-2</v>
      </c>
      <c r="S41" s="1">
        <v>0.19570000000000001</v>
      </c>
      <c r="T41" s="1">
        <v>6.216E-2</v>
      </c>
      <c r="U41" s="1">
        <v>1.296</v>
      </c>
      <c r="V41" s="1">
        <v>1.452</v>
      </c>
      <c r="W41" s="1">
        <v>8.4190000000000005</v>
      </c>
      <c r="X41" s="1">
        <v>101.9</v>
      </c>
      <c r="Y41" s="1">
        <v>0.01</v>
      </c>
      <c r="Z41" s="1">
        <v>3.4799999999999998E-2</v>
      </c>
      <c r="AA41" s="1">
        <v>6.5769999999999995E-2</v>
      </c>
      <c r="AB41" s="1">
        <v>2.801E-2</v>
      </c>
      <c r="AC41" s="1">
        <v>5.1679999999999997E-2</v>
      </c>
      <c r="AD41" s="1">
        <v>2.8869999999999998E-3</v>
      </c>
      <c r="AE41" s="1">
        <v>18.55</v>
      </c>
      <c r="AF41" s="1">
        <v>21.43</v>
      </c>
      <c r="AG41" s="1">
        <v>121.4</v>
      </c>
      <c r="AH41" s="1">
        <v>971.4</v>
      </c>
      <c r="AI41" s="1">
        <v>0.1411</v>
      </c>
      <c r="AJ41" s="1">
        <v>0.21640000000000001</v>
      </c>
      <c r="AK41" s="1">
        <v>0.33550000000000002</v>
      </c>
      <c r="AL41" s="1">
        <v>0.16669999999999999</v>
      </c>
      <c r="AM41" s="1">
        <v>0.34139999999999998</v>
      </c>
      <c r="AN41" s="1">
        <v>7.1470000000000006E-2</v>
      </c>
    </row>
    <row r="42" spans="1:40" s="1" customFormat="1" ht="15" x14ac:dyDescent="0.25">
      <c r="A42" s="1">
        <v>868871</v>
      </c>
      <c r="B42" s="1" t="s">
        <v>37</v>
      </c>
      <c r="C42" s="1">
        <v>11.28</v>
      </c>
      <c r="D42" s="1">
        <v>13.39</v>
      </c>
      <c r="E42" s="2"/>
      <c r="F42" s="2"/>
      <c r="G42" s="2"/>
      <c r="H42" s="2"/>
      <c r="I42" s="2"/>
      <c r="J42" s="2"/>
      <c r="K42" s="2"/>
      <c r="L42" s="2"/>
      <c r="M42" s="1">
        <v>73</v>
      </c>
      <c r="N42" s="1">
        <v>384.8</v>
      </c>
      <c r="O42" s="1">
        <v>0.1164</v>
      </c>
      <c r="P42" s="1">
        <v>0.11360000000000001</v>
      </c>
      <c r="Q42" s="1">
        <v>4.6350000000000002E-2</v>
      </c>
      <c r="R42" s="1">
        <v>4.7960000000000003E-2</v>
      </c>
      <c r="S42" s="1">
        <v>0.17710000000000001</v>
      </c>
      <c r="T42" s="1">
        <v>6.0720000000000003E-2</v>
      </c>
      <c r="U42" s="1">
        <v>0.33839999999999998</v>
      </c>
      <c r="V42" s="1">
        <v>1.343</v>
      </c>
      <c r="W42" s="1">
        <v>1.851</v>
      </c>
      <c r="X42" s="1">
        <v>26.33</v>
      </c>
      <c r="Y42" s="1">
        <v>1.1270000000000001E-2</v>
      </c>
      <c r="Z42" s="1">
        <v>3.4979999999999997E-2</v>
      </c>
      <c r="AA42" s="1">
        <v>2.1870000000000001E-2</v>
      </c>
      <c r="AB42" s="1">
        <v>1.9650000000000001E-2</v>
      </c>
      <c r="AC42" s="1">
        <v>1.5800000000000002E-2</v>
      </c>
      <c r="AD42" s="1">
        <v>3.4420000000000002E-3</v>
      </c>
      <c r="AE42" s="1">
        <v>11.92</v>
      </c>
      <c r="AF42" s="1">
        <v>15.77</v>
      </c>
      <c r="AG42" s="1">
        <v>76.53</v>
      </c>
      <c r="AH42" s="1">
        <v>434</v>
      </c>
      <c r="AI42" s="1">
        <v>0.13669999999999999</v>
      </c>
      <c r="AJ42" s="1">
        <v>0.1822</v>
      </c>
      <c r="AK42" s="1">
        <v>8.6690000000000003E-2</v>
      </c>
      <c r="AL42" s="1">
        <v>8.6110000000000006E-2</v>
      </c>
      <c r="AM42" s="1">
        <v>0.2102</v>
      </c>
      <c r="AN42" s="1">
        <v>6.7839999999999998E-2</v>
      </c>
    </row>
    <row r="43" spans="1:40" s="1" customFormat="1" ht="15" x14ac:dyDescent="0.25">
      <c r="A43" s="1">
        <v>868999</v>
      </c>
      <c r="B43" s="1" t="s">
        <v>37</v>
      </c>
      <c r="C43" s="1">
        <v>9.7379999999999995</v>
      </c>
      <c r="D43" s="1">
        <v>11.97</v>
      </c>
      <c r="E43" s="2"/>
      <c r="F43" s="2"/>
      <c r="G43" s="2"/>
      <c r="H43" s="2"/>
      <c r="I43" s="2"/>
      <c r="J43" s="2"/>
      <c r="K43" s="2"/>
      <c r="L43" s="2"/>
      <c r="M43" s="1">
        <v>61.24</v>
      </c>
      <c r="N43" s="1">
        <v>288.5</v>
      </c>
      <c r="O43" s="1">
        <v>9.2499999999999999E-2</v>
      </c>
      <c r="P43" s="1">
        <v>4.1020000000000001E-2</v>
      </c>
      <c r="Q43" s="1">
        <v>0</v>
      </c>
      <c r="R43" s="1">
        <v>0</v>
      </c>
      <c r="S43" s="1">
        <v>0.1903</v>
      </c>
      <c r="T43" s="1">
        <v>6.4219999999999999E-2</v>
      </c>
      <c r="U43" s="1">
        <v>0.1988</v>
      </c>
      <c r="V43" s="1">
        <v>0.496</v>
      </c>
      <c r="W43" s="1">
        <v>1.218</v>
      </c>
      <c r="X43" s="1">
        <v>12.26</v>
      </c>
      <c r="Y43" s="1">
        <v>6.0400000000000002E-3</v>
      </c>
      <c r="Z43" s="1">
        <v>5.6559999999999996E-3</v>
      </c>
      <c r="AA43" s="1">
        <v>0</v>
      </c>
      <c r="AB43" s="1">
        <v>0</v>
      </c>
      <c r="AC43" s="1">
        <v>2.2769999999999999E-2</v>
      </c>
      <c r="AD43" s="1">
        <v>3.2200000000000002E-3</v>
      </c>
      <c r="AE43" s="1">
        <v>10.62</v>
      </c>
      <c r="AF43" s="1">
        <v>14.1</v>
      </c>
      <c r="AG43" s="1">
        <v>66.53</v>
      </c>
      <c r="AH43" s="1">
        <v>342.9</v>
      </c>
      <c r="AI43" s="1">
        <v>0.1234</v>
      </c>
      <c r="AJ43" s="1">
        <v>7.2040000000000007E-2</v>
      </c>
      <c r="AK43" s="1">
        <v>0</v>
      </c>
      <c r="AL43" s="1">
        <v>0</v>
      </c>
      <c r="AM43" s="1">
        <v>0.3105</v>
      </c>
      <c r="AN43" s="1">
        <v>8.1509999999999999E-2</v>
      </c>
    </row>
    <row r="44" spans="1:40" s="1" customFormat="1" ht="15" x14ac:dyDescent="0.25">
      <c r="A44" s="1">
        <v>869104</v>
      </c>
      <c r="B44" s="1" t="s">
        <v>36</v>
      </c>
      <c r="C44" s="1">
        <v>16.11</v>
      </c>
      <c r="D44" s="1">
        <v>18.05</v>
      </c>
      <c r="E44" s="2"/>
      <c r="F44" s="2"/>
      <c r="G44" s="2"/>
      <c r="H44" s="2"/>
      <c r="I44" s="2"/>
      <c r="J44" s="2"/>
      <c r="K44" s="2"/>
      <c r="L44" s="2"/>
      <c r="M44" s="1">
        <v>105.1</v>
      </c>
      <c r="N44" s="1">
        <v>813</v>
      </c>
      <c r="O44" s="1">
        <v>9.7210000000000005E-2</v>
      </c>
      <c r="P44" s="1">
        <v>0.1137</v>
      </c>
      <c r="Q44" s="1">
        <v>9.4469999999999998E-2</v>
      </c>
      <c r="R44" s="1">
        <v>5.9429999999999997E-2</v>
      </c>
      <c r="S44" s="1">
        <v>0.18609999999999999</v>
      </c>
      <c r="T44" s="1">
        <v>6.2480000000000001E-2</v>
      </c>
      <c r="U44" s="1">
        <v>0.70489999999999997</v>
      </c>
      <c r="V44" s="1">
        <v>1.3320000000000001</v>
      </c>
      <c r="W44" s="1">
        <v>4.5330000000000004</v>
      </c>
      <c r="X44" s="1">
        <v>74.08</v>
      </c>
      <c r="Y44" s="1">
        <v>6.77E-3</v>
      </c>
      <c r="Z44" s="1">
        <v>1.9380000000000001E-2</v>
      </c>
      <c r="AA44" s="1">
        <v>3.0669999999999999E-2</v>
      </c>
      <c r="AB44" s="1">
        <v>1.167E-2</v>
      </c>
      <c r="AC44" s="1">
        <v>1.8749999999999999E-2</v>
      </c>
      <c r="AD44" s="1">
        <v>3.434E-3</v>
      </c>
      <c r="AE44" s="1">
        <v>19.920000000000002</v>
      </c>
      <c r="AF44" s="1">
        <v>25.27</v>
      </c>
      <c r="AG44" s="1">
        <v>129</v>
      </c>
      <c r="AH44" s="1">
        <v>1233</v>
      </c>
      <c r="AI44" s="1">
        <v>0.13139999999999999</v>
      </c>
      <c r="AJ44" s="1">
        <v>0.22359999999999999</v>
      </c>
      <c r="AK44" s="1">
        <v>0.2802</v>
      </c>
      <c r="AL44" s="1">
        <v>0.1216</v>
      </c>
      <c r="AM44" s="1">
        <v>0.2792</v>
      </c>
      <c r="AN44" s="1">
        <v>8.158E-2</v>
      </c>
    </row>
    <row r="45" spans="1:40" s="1" customFormat="1" ht="15" x14ac:dyDescent="0.25">
      <c r="A45" s="1">
        <v>869218</v>
      </c>
      <c r="B45" s="1" t="s">
        <v>37</v>
      </c>
      <c r="C45" s="1">
        <v>11.43</v>
      </c>
      <c r="D45" s="1">
        <v>17.309999999999999</v>
      </c>
      <c r="E45" s="2"/>
      <c r="F45" s="2"/>
      <c r="G45" s="2"/>
      <c r="H45" s="2"/>
      <c r="I45" s="2"/>
      <c r="J45" s="2"/>
      <c r="K45" s="2"/>
      <c r="L45" s="2"/>
      <c r="M45" s="1">
        <v>73.66</v>
      </c>
      <c r="N45" s="1">
        <v>398</v>
      </c>
      <c r="O45" s="1">
        <v>0.10920000000000001</v>
      </c>
      <c r="P45" s="1">
        <v>9.486E-2</v>
      </c>
      <c r="Q45" s="1">
        <v>2.0310000000000002E-2</v>
      </c>
      <c r="R45" s="1">
        <v>1.8610000000000002E-2</v>
      </c>
      <c r="S45" s="1">
        <v>0.16450000000000001</v>
      </c>
      <c r="T45" s="1">
        <v>6.5619999999999998E-2</v>
      </c>
      <c r="U45" s="1">
        <v>0.2843</v>
      </c>
      <c r="V45" s="1">
        <v>1.9079999999999999</v>
      </c>
      <c r="W45" s="1">
        <v>1.9370000000000001</v>
      </c>
      <c r="X45" s="1">
        <v>21.38</v>
      </c>
      <c r="Y45" s="1">
        <v>6.6639999999999998E-3</v>
      </c>
      <c r="Z45" s="1">
        <v>1.7350000000000001E-2</v>
      </c>
      <c r="AA45" s="1">
        <v>1.158E-2</v>
      </c>
      <c r="AB45" s="1">
        <v>9.5200000000000007E-3</v>
      </c>
      <c r="AC45" s="1">
        <v>2.282E-2</v>
      </c>
      <c r="AD45" s="1">
        <v>3.5260000000000001E-3</v>
      </c>
      <c r="AE45" s="1">
        <v>12.78</v>
      </c>
      <c r="AF45" s="1">
        <v>26.76</v>
      </c>
      <c r="AG45" s="1">
        <v>82.66</v>
      </c>
      <c r="AH45" s="1">
        <v>503</v>
      </c>
      <c r="AI45" s="1">
        <v>0.14130000000000001</v>
      </c>
      <c r="AJ45" s="1">
        <v>0.1792</v>
      </c>
      <c r="AK45" s="1">
        <v>7.7079999999999996E-2</v>
      </c>
      <c r="AL45" s="1">
        <v>6.4019999999999994E-2</v>
      </c>
      <c r="AM45" s="1">
        <v>0.25840000000000002</v>
      </c>
      <c r="AN45" s="1">
        <v>8.0960000000000004E-2</v>
      </c>
    </row>
    <row r="46" spans="1:40" s="1" customFormat="1" ht="15" x14ac:dyDescent="0.25">
      <c r="A46" s="1">
        <v>869224</v>
      </c>
      <c r="B46" s="1" t="s">
        <v>37</v>
      </c>
      <c r="C46" s="1">
        <v>12.9</v>
      </c>
      <c r="D46" s="1">
        <v>15.92</v>
      </c>
      <c r="E46" s="2"/>
      <c r="F46" s="2"/>
      <c r="G46" s="2"/>
      <c r="H46" s="2"/>
      <c r="I46" s="2"/>
      <c r="J46" s="2"/>
      <c r="K46" s="2"/>
      <c r="L46" s="2"/>
      <c r="M46" s="1">
        <v>83.74</v>
      </c>
      <c r="N46" s="1">
        <v>512.20000000000005</v>
      </c>
      <c r="O46" s="1">
        <v>8.677E-2</v>
      </c>
      <c r="P46" s="1">
        <v>9.5089999999999994E-2</v>
      </c>
      <c r="Q46" s="1">
        <v>4.8939999999999997E-2</v>
      </c>
      <c r="R46" s="1">
        <v>3.0880000000000001E-2</v>
      </c>
      <c r="S46" s="1">
        <v>0.17780000000000001</v>
      </c>
      <c r="T46" s="1">
        <v>6.2350000000000003E-2</v>
      </c>
      <c r="U46" s="1">
        <v>0.21429999999999999</v>
      </c>
      <c r="V46" s="1">
        <v>0.7712</v>
      </c>
      <c r="W46" s="1">
        <v>1.6890000000000001</v>
      </c>
      <c r="X46" s="1">
        <v>16.64</v>
      </c>
      <c r="Y46" s="1">
        <v>5.3239999999999997E-3</v>
      </c>
      <c r="Z46" s="1">
        <v>1.5630000000000002E-2</v>
      </c>
      <c r="AA46" s="1">
        <v>1.5100000000000001E-2</v>
      </c>
      <c r="AB46" s="1">
        <v>7.5839999999999996E-3</v>
      </c>
      <c r="AC46" s="1">
        <v>2.104E-2</v>
      </c>
      <c r="AD46" s="1">
        <v>1.887E-3</v>
      </c>
      <c r="AE46" s="1">
        <v>14.48</v>
      </c>
      <c r="AF46" s="1">
        <v>21.82</v>
      </c>
      <c r="AG46" s="1">
        <v>97.17</v>
      </c>
      <c r="AH46" s="1">
        <v>643.79999999999995</v>
      </c>
      <c r="AI46" s="1">
        <v>0.13120000000000001</v>
      </c>
      <c r="AJ46" s="1">
        <v>0.25480000000000003</v>
      </c>
      <c r="AK46" s="1">
        <v>0.20899999999999999</v>
      </c>
      <c r="AL46" s="1">
        <v>0.1012</v>
      </c>
      <c r="AM46" s="1">
        <v>0.35489999999999999</v>
      </c>
      <c r="AN46" s="1">
        <v>8.1180000000000002E-2</v>
      </c>
    </row>
    <row r="47" spans="1:40" s="1" customFormat="1" ht="15" x14ac:dyDescent="0.25">
      <c r="A47" s="1">
        <v>869254</v>
      </c>
      <c r="B47" s="1" t="s">
        <v>37</v>
      </c>
      <c r="C47" s="1">
        <v>10.75</v>
      </c>
      <c r="D47" s="1">
        <v>14.97</v>
      </c>
      <c r="E47" s="2"/>
      <c r="F47" s="2"/>
      <c r="G47" s="2"/>
      <c r="H47" s="2"/>
      <c r="I47" s="2"/>
      <c r="J47" s="2"/>
      <c r="K47" s="2"/>
      <c r="L47" s="2"/>
      <c r="M47" s="1">
        <v>68.260000000000005</v>
      </c>
      <c r="N47" s="1">
        <v>355.3</v>
      </c>
      <c r="O47" s="1">
        <v>7.7929999999999999E-2</v>
      </c>
      <c r="P47" s="1">
        <v>5.1389999999999998E-2</v>
      </c>
      <c r="Q47" s="1">
        <v>2.2509999999999999E-2</v>
      </c>
      <c r="R47" s="1">
        <v>7.8750000000000001E-3</v>
      </c>
      <c r="S47" s="1">
        <v>0.1399</v>
      </c>
      <c r="T47" s="1">
        <v>5.688E-2</v>
      </c>
      <c r="U47" s="1">
        <v>0.2525</v>
      </c>
      <c r="V47" s="1">
        <v>1.2390000000000001</v>
      </c>
      <c r="W47" s="1">
        <v>1.806</v>
      </c>
      <c r="X47" s="1">
        <v>17.739999999999998</v>
      </c>
      <c r="Y47" s="1">
        <v>6.5469999999999999E-3</v>
      </c>
      <c r="Z47" s="1">
        <v>1.7809999999999999E-2</v>
      </c>
      <c r="AA47" s="1">
        <v>2.018E-2</v>
      </c>
      <c r="AB47" s="1">
        <v>5.6119999999999998E-3</v>
      </c>
      <c r="AC47" s="1">
        <v>1.6709999999999999E-2</v>
      </c>
      <c r="AD47" s="1">
        <v>2.3600000000000001E-3</v>
      </c>
      <c r="AE47" s="1">
        <v>11.95</v>
      </c>
      <c r="AF47" s="1">
        <v>20.72</v>
      </c>
      <c r="AG47" s="1">
        <v>77.790000000000006</v>
      </c>
      <c r="AH47" s="1">
        <v>441.2</v>
      </c>
      <c r="AI47" s="1">
        <v>0.1076</v>
      </c>
      <c r="AJ47" s="1">
        <v>0.12230000000000001</v>
      </c>
      <c r="AK47" s="1">
        <v>9.7549999999999998E-2</v>
      </c>
      <c r="AL47" s="1">
        <v>3.4130000000000001E-2</v>
      </c>
      <c r="AM47" s="1">
        <v>0.23</v>
      </c>
      <c r="AN47" s="1">
        <v>6.769E-2</v>
      </c>
    </row>
    <row r="48" spans="1:40" s="1" customFormat="1" ht="15" x14ac:dyDescent="0.25">
      <c r="A48" s="1">
        <v>869476</v>
      </c>
      <c r="B48" s="1" t="s">
        <v>37</v>
      </c>
      <c r="C48" s="1">
        <v>11.9</v>
      </c>
      <c r="D48" s="1">
        <v>14.65</v>
      </c>
      <c r="E48" s="2"/>
      <c r="F48" s="2"/>
      <c r="G48" s="2"/>
      <c r="H48" s="2"/>
      <c r="I48" s="2"/>
      <c r="J48" s="2"/>
      <c r="K48" s="2"/>
      <c r="L48" s="2"/>
      <c r="M48" s="1">
        <v>78.11</v>
      </c>
      <c r="N48" s="1">
        <v>432.8</v>
      </c>
      <c r="O48" s="1">
        <v>0.1152</v>
      </c>
      <c r="P48" s="1">
        <v>0.12959999999999999</v>
      </c>
      <c r="Q48" s="1">
        <v>3.7100000000000001E-2</v>
      </c>
      <c r="R48" s="1">
        <v>3.0030000000000001E-2</v>
      </c>
      <c r="S48" s="1">
        <v>0.19950000000000001</v>
      </c>
      <c r="T48" s="1">
        <v>7.8390000000000001E-2</v>
      </c>
      <c r="U48" s="1">
        <v>0.3962</v>
      </c>
      <c r="V48" s="1">
        <v>0.65380000000000005</v>
      </c>
      <c r="W48" s="1">
        <v>3.0209999999999999</v>
      </c>
      <c r="X48" s="1">
        <v>25.03</v>
      </c>
      <c r="Y48" s="1">
        <v>1.017E-2</v>
      </c>
      <c r="Z48" s="1">
        <v>4.7410000000000001E-2</v>
      </c>
      <c r="AA48" s="1">
        <v>2.7890000000000002E-2</v>
      </c>
      <c r="AB48" s="1">
        <v>1.11E-2</v>
      </c>
      <c r="AC48" s="1">
        <v>3.1269999999999999E-2</v>
      </c>
      <c r="AD48" s="1">
        <v>9.4230000000000008E-3</v>
      </c>
      <c r="AE48" s="1">
        <v>13.15</v>
      </c>
      <c r="AF48" s="1">
        <v>16.510000000000002</v>
      </c>
      <c r="AG48" s="1">
        <v>86.26</v>
      </c>
      <c r="AH48" s="1">
        <v>509.6</v>
      </c>
      <c r="AI48" s="1">
        <v>0.1424</v>
      </c>
      <c r="AJ48" s="1">
        <v>0.25169999999999998</v>
      </c>
      <c r="AK48" s="1">
        <v>9.4200000000000006E-2</v>
      </c>
      <c r="AL48" s="1">
        <v>6.0420000000000001E-2</v>
      </c>
      <c r="AM48" s="1">
        <v>0.2727</v>
      </c>
      <c r="AN48" s="1">
        <v>0.1036</v>
      </c>
    </row>
    <row r="49" spans="1:40" s="1" customFormat="1" ht="15" x14ac:dyDescent="0.25">
      <c r="A49" s="1">
        <v>869691</v>
      </c>
      <c r="B49" s="1" t="s">
        <v>36</v>
      </c>
      <c r="C49" s="1">
        <v>11.8</v>
      </c>
      <c r="D49" s="1">
        <v>16.579999999999998</v>
      </c>
      <c r="E49" s="2"/>
      <c r="F49" s="2"/>
      <c r="G49" s="2"/>
      <c r="H49" s="2"/>
      <c r="I49" s="2"/>
      <c r="J49" s="2"/>
      <c r="K49" s="2"/>
      <c r="L49" s="2"/>
      <c r="M49" s="1">
        <v>78.989999999999995</v>
      </c>
      <c r="N49" s="1">
        <v>432</v>
      </c>
      <c r="O49" s="1">
        <v>0.1091</v>
      </c>
      <c r="P49" s="1">
        <v>0.17</v>
      </c>
      <c r="Q49" s="1">
        <v>0.16589999999999999</v>
      </c>
      <c r="R49" s="1">
        <v>7.4149999999999994E-2</v>
      </c>
      <c r="S49" s="1">
        <v>0.26779999999999998</v>
      </c>
      <c r="T49" s="1">
        <v>7.3709999999999998E-2</v>
      </c>
      <c r="U49" s="1">
        <v>0.31969999999999998</v>
      </c>
      <c r="V49" s="1">
        <v>1.4259999999999999</v>
      </c>
      <c r="W49" s="1">
        <v>2.2810000000000001</v>
      </c>
      <c r="X49" s="1">
        <v>24.72</v>
      </c>
      <c r="Y49" s="1">
        <v>5.4270000000000004E-3</v>
      </c>
      <c r="Z49" s="1">
        <v>3.6330000000000001E-2</v>
      </c>
      <c r="AA49" s="1">
        <v>4.6489999999999997E-2</v>
      </c>
      <c r="AB49" s="1">
        <v>1.8429999999999998E-2</v>
      </c>
      <c r="AC49" s="1">
        <v>5.6279999999999997E-2</v>
      </c>
      <c r="AD49" s="1">
        <v>4.6350000000000002E-3</v>
      </c>
      <c r="AE49" s="1">
        <v>13.74</v>
      </c>
      <c r="AF49" s="1">
        <v>26.38</v>
      </c>
      <c r="AG49" s="1">
        <v>91.93</v>
      </c>
      <c r="AH49" s="1">
        <v>591.70000000000005</v>
      </c>
      <c r="AI49" s="1">
        <v>0.13850000000000001</v>
      </c>
      <c r="AJ49" s="1">
        <v>0.40920000000000001</v>
      </c>
      <c r="AK49" s="1">
        <v>0.45040000000000002</v>
      </c>
      <c r="AL49" s="1">
        <v>0.1865</v>
      </c>
      <c r="AM49" s="1">
        <v>0.57740000000000002</v>
      </c>
      <c r="AN49" s="1">
        <v>0.10299999999999999</v>
      </c>
    </row>
    <row r="50" spans="1:40" s="1" customFormat="1" ht="15" x14ac:dyDescent="0.25">
      <c r="A50" s="1">
        <v>86973701</v>
      </c>
      <c r="B50" s="1" t="s">
        <v>37</v>
      </c>
      <c r="C50" s="1">
        <v>14.95</v>
      </c>
      <c r="D50" s="1">
        <v>18.77</v>
      </c>
      <c r="E50" s="2"/>
      <c r="F50" s="2"/>
      <c r="G50" s="2"/>
      <c r="H50" s="2"/>
      <c r="I50" s="2"/>
      <c r="J50" s="2"/>
      <c r="K50" s="2"/>
      <c r="L50" s="2"/>
      <c r="M50" s="1">
        <v>97.84</v>
      </c>
      <c r="N50" s="1">
        <v>689.5</v>
      </c>
      <c r="O50" s="1">
        <v>8.1379999999999994E-2</v>
      </c>
      <c r="P50" s="1">
        <v>0.1167</v>
      </c>
      <c r="Q50" s="1">
        <v>9.0499999999999997E-2</v>
      </c>
      <c r="R50" s="1">
        <v>3.5619999999999999E-2</v>
      </c>
      <c r="S50" s="1">
        <v>0.1744</v>
      </c>
      <c r="T50" s="1">
        <v>6.4930000000000002E-2</v>
      </c>
      <c r="U50" s="1">
        <v>0.42199999999999999</v>
      </c>
      <c r="V50" s="1">
        <v>1.909</v>
      </c>
      <c r="W50" s="1">
        <v>3.2709999999999999</v>
      </c>
      <c r="X50" s="1">
        <v>39.43</v>
      </c>
      <c r="Y50" s="1">
        <v>5.79E-3</v>
      </c>
      <c r="Z50" s="1">
        <v>4.8770000000000001E-2</v>
      </c>
      <c r="AA50" s="1">
        <v>5.3030000000000001E-2</v>
      </c>
      <c r="AB50" s="1">
        <v>1.5270000000000001E-2</v>
      </c>
      <c r="AC50" s="1">
        <v>3.356E-2</v>
      </c>
      <c r="AD50" s="1">
        <v>9.3679999999999996E-3</v>
      </c>
      <c r="AE50" s="1">
        <v>16.25</v>
      </c>
      <c r="AF50" s="1">
        <v>25.47</v>
      </c>
      <c r="AG50" s="1">
        <v>107.1</v>
      </c>
      <c r="AH50" s="1">
        <v>809.7</v>
      </c>
      <c r="AI50" s="1">
        <v>9.9699999999999997E-2</v>
      </c>
      <c r="AJ50" s="1">
        <v>0.25209999999999999</v>
      </c>
      <c r="AK50" s="1">
        <v>0.25</v>
      </c>
      <c r="AL50" s="1">
        <v>8.405E-2</v>
      </c>
      <c r="AM50" s="1">
        <v>0.28520000000000001</v>
      </c>
      <c r="AN50" s="1">
        <v>9.2179999999999998E-2</v>
      </c>
    </row>
    <row r="51" spans="1:40" s="1" customFormat="1" ht="15" x14ac:dyDescent="0.25">
      <c r="A51" s="1">
        <v>86973702</v>
      </c>
      <c r="B51" s="1" t="s">
        <v>37</v>
      </c>
      <c r="C51" s="1">
        <v>14.44</v>
      </c>
      <c r="D51" s="1">
        <v>15.18</v>
      </c>
      <c r="E51" s="2"/>
      <c r="F51" s="2"/>
      <c r="G51" s="2"/>
      <c r="H51" s="2"/>
      <c r="I51" s="2"/>
      <c r="J51" s="2"/>
      <c r="K51" s="2"/>
      <c r="L51" s="2"/>
      <c r="M51" s="1">
        <v>93.97</v>
      </c>
      <c r="N51" s="1">
        <v>640.1</v>
      </c>
      <c r="O51" s="1">
        <v>9.9699999999999997E-2</v>
      </c>
      <c r="P51" s="1">
        <v>0.1021</v>
      </c>
      <c r="Q51" s="1">
        <v>8.4870000000000001E-2</v>
      </c>
      <c r="R51" s="1">
        <v>5.5320000000000001E-2</v>
      </c>
      <c r="S51" s="1">
        <v>0.1724</v>
      </c>
      <c r="T51" s="1">
        <v>6.0810000000000003E-2</v>
      </c>
      <c r="U51" s="1">
        <v>0.24060000000000001</v>
      </c>
      <c r="V51" s="1">
        <v>0.73939999999999995</v>
      </c>
      <c r="W51" s="1">
        <v>2.12</v>
      </c>
      <c r="X51" s="1">
        <v>21.2</v>
      </c>
      <c r="Y51" s="1">
        <v>5.7060000000000001E-3</v>
      </c>
      <c r="Z51" s="1">
        <v>2.2970000000000001E-2</v>
      </c>
      <c r="AA51" s="1">
        <v>3.1140000000000001E-2</v>
      </c>
      <c r="AB51" s="1">
        <v>1.4930000000000001E-2</v>
      </c>
      <c r="AC51" s="1">
        <v>1.4540000000000001E-2</v>
      </c>
      <c r="AD51" s="1">
        <v>2.5279999999999999E-3</v>
      </c>
      <c r="AE51" s="1">
        <v>15.85</v>
      </c>
      <c r="AF51" s="1">
        <v>19.850000000000001</v>
      </c>
      <c r="AG51" s="1">
        <v>108.6</v>
      </c>
      <c r="AH51" s="1">
        <v>766.9</v>
      </c>
      <c r="AI51" s="1">
        <v>0.13159999999999999</v>
      </c>
      <c r="AJ51" s="1">
        <v>0.27350000000000002</v>
      </c>
      <c r="AK51" s="1">
        <v>0.31030000000000002</v>
      </c>
      <c r="AL51" s="1">
        <v>0.15989999999999999</v>
      </c>
      <c r="AM51" s="1">
        <v>0.26910000000000001</v>
      </c>
      <c r="AN51" s="1">
        <v>7.6829999999999996E-2</v>
      </c>
    </row>
    <row r="52" spans="1:40" s="1" customFormat="1" ht="15" x14ac:dyDescent="0.25">
      <c r="A52" s="1">
        <v>869931</v>
      </c>
      <c r="B52" s="1" t="s">
        <v>37</v>
      </c>
      <c r="C52" s="1">
        <v>13.74</v>
      </c>
      <c r="D52" s="1">
        <v>17.91</v>
      </c>
      <c r="E52" s="2"/>
      <c r="F52" s="2"/>
      <c r="G52" s="2"/>
      <c r="H52" s="2"/>
      <c r="I52" s="2"/>
      <c r="J52" s="2"/>
      <c r="K52" s="2"/>
      <c r="L52" s="2"/>
      <c r="M52" s="1">
        <v>88.12</v>
      </c>
      <c r="N52" s="1">
        <v>585</v>
      </c>
      <c r="O52" s="1">
        <v>7.9439999999999997E-2</v>
      </c>
      <c r="P52" s="1">
        <v>6.3759999999999997E-2</v>
      </c>
      <c r="Q52" s="1">
        <v>2.8809999999999999E-2</v>
      </c>
      <c r="R52" s="1">
        <v>1.329E-2</v>
      </c>
      <c r="S52" s="1">
        <v>0.14729999999999999</v>
      </c>
      <c r="T52" s="1">
        <v>5.5800000000000002E-2</v>
      </c>
      <c r="U52" s="1">
        <v>0.25</v>
      </c>
      <c r="V52" s="1">
        <v>0.75739999999999996</v>
      </c>
      <c r="W52" s="1">
        <v>1.573</v>
      </c>
      <c r="X52" s="1">
        <v>21.47</v>
      </c>
      <c r="Y52" s="1">
        <v>2.8379999999999998E-3</v>
      </c>
      <c r="Z52" s="1">
        <v>1.592E-2</v>
      </c>
      <c r="AA52" s="1">
        <v>1.78E-2</v>
      </c>
      <c r="AB52" s="1">
        <v>5.8279999999999998E-3</v>
      </c>
      <c r="AC52" s="1">
        <v>1.329E-2</v>
      </c>
      <c r="AD52" s="1">
        <v>1.9759999999999999E-3</v>
      </c>
      <c r="AE52" s="1">
        <v>15.34</v>
      </c>
      <c r="AF52" s="1">
        <v>22.46</v>
      </c>
      <c r="AG52" s="1">
        <v>97.19</v>
      </c>
      <c r="AH52" s="1">
        <v>725.9</v>
      </c>
      <c r="AI52" s="1">
        <v>9.7110000000000002E-2</v>
      </c>
      <c r="AJ52" s="1">
        <v>0.18240000000000001</v>
      </c>
      <c r="AK52" s="1">
        <v>0.15640000000000001</v>
      </c>
      <c r="AL52" s="1">
        <v>6.019E-2</v>
      </c>
      <c r="AM52" s="1">
        <v>0.23499999999999999</v>
      </c>
      <c r="AN52" s="1">
        <v>7.0139999999999994E-2</v>
      </c>
    </row>
    <row r="53" spans="1:40" s="1" customFormat="1" ht="15" x14ac:dyDescent="0.25">
      <c r="A53" s="1">
        <v>871001501</v>
      </c>
      <c r="B53" s="1" t="s">
        <v>37</v>
      </c>
      <c r="C53" s="1">
        <v>13</v>
      </c>
      <c r="D53" s="1">
        <v>20.78</v>
      </c>
      <c r="E53" s="2"/>
      <c r="F53" s="2"/>
      <c r="G53" s="2"/>
      <c r="H53" s="2"/>
      <c r="I53" s="2"/>
      <c r="J53" s="2"/>
      <c r="K53" s="2"/>
      <c r="L53" s="2"/>
      <c r="M53" s="1">
        <v>83.51</v>
      </c>
      <c r="N53" s="1">
        <v>519.4</v>
      </c>
      <c r="O53" s="1">
        <v>0.1135</v>
      </c>
      <c r="P53" s="1">
        <v>7.5889999999999999E-2</v>
      </c>
      <c r="Q53" s="1">
        <v>3.1359999999999999E-2</v>
      </c>
      <c r="R53" s="1">
        <v>2.6450000000000001E-2</v>
      </c>
      <c r="S53" s="1">
        <v>0.254</v>
      </c>
      <c r="T53" s="1">
        <v>6.087E-2</v>
      </c>
      <c r="U53" s="1">
        <v>0.42020000000000002</v>
      </c>
      <c r="V53" s="1">
        <v>1.3220000000000001</v>
      </c>
      <c r="W53" s="1">
        <v>2.8730000000000002</v>
      </c>
      <c r="X53" s="1">
        <v>34.78</v>
      </c>
      <c r="Y53" s="1">
        <v>7.0169999999999998E-3</v>
      </c>
      <c r="Z53" s="1">
        <v>1.142E-2</v>
      </c>
      <c r="AA53" s="1">
        <v>1.949E-2</v>
      </c>
      <c r="AB53" s="1">
        <v>1.153E-2</v>
      </c>
      <c r="AC53" s="1">
        <v>2.9510000000000002E-2</v>
      </c>
      <c r="AD53" s="1">
        <v>1.5330000000000001E-3</v>
      </c>
      <c r="AE53" s="1">
        <v>14.16</v>
      </c>
      <c r="AF53" s="1">
        <v>24.11</v>
      </c>
      <c r="AG53" s="1">
        <v>90.82</v>
      </c>
      <c r="AH53" s="1">
        <v>616.70000000000005</v>
      </c>
      <c r="AI53" s="1">
        <v>0.12970000000000001</v>
      </c>
      <c r="AJ53" s="1">
        <v>0.1105</v>
      </c>
      <c r="AK53" s="1">
        <v>8.1119999999999998E-2</v>
      </c>
      <c r="AL53" s="1">
        <v>6.2960000000000002E-2</v>
      </c>
      <c r="AM53" s="1">
        <v>0.3196</v>
      </c>
      <c r="AN53" s="1">
        <v>6.4350000000000004E-2</v>
      </c>
    </row>
    <row r="54" spans="1:40" s="1" customFormat="1" ht="15" x14ac:dyDescent="0.25">
      <c r="A54" s="1">
        <v>871001502</v>
      </c>
      <c r="B54" s="1" t="s">
        <v>37</v>
      </c>
      <c r="C54" s="1">
        <v>8.2189999999999994</v>
      </c>
      <c r="D54" s="1">
        <v>20.7</v>
      </c>
      <c r="E54" s="2"/>
      <c r="F54" s="2"/>
      <c r="G54" s="2"/>
      <c r="H54" s="2"/>
      <c r="I54" s="2"/>
      <c r="J54" s="2"/>
      <c r="K54" s="2"/>
      <c r="L54" s="2"/>
      <c r="M54" s="1">
        <v>53.27</v>
      </c>
      <c r="N54" s="1">
        <v>203.9</v>
      </c>
      <c r="O54" s="1">
        <v>9.4049999999999995E-2</v>
      </c>
      <c r="P54" s="1">
        <v>0.1305</v>
      </c>
      <c r="Q54" s="1">
        <v>0.1321</v>
      </c>
      <c r="R54" s="1">
        <v>2.1680000000000001E-2</v>
      </c>
      <c r="S54" s="1">
        <v>0.22220000000000001</v>
      </c>
      <c r="T54" s="1">
        <v>8.2610000000000003E-2</v>
      </c>
      <c r="U54" s="1">
        <v>0.19350000000000001</v>
      </c>
      <c r="V54" s="1">
        <v>1.962</v>
      </c>
      <c r="W54" s="1">
        <v>1.2430000000000001</v>
      </c>
      <c r="X54" s="1">
        <v>10.210000000000001</v>
      </c>
      <c r="Y54" s="1">
        <v>1.243E-2</v>
      </c>
      <c r="Z54" s="1">
        <v>5.416E-2</v>
      </c>
      <c r="AA54" s="1">
        <v>7.7530000000000002E-2</v>
      </c>
      <c r="AB54" s="1">
        <v>1.022E-2</v>
      </c>
      <c r="AC54" s="1">
        <v>2.3089999999999999E-2</v>
      </c>
      <c r="AD54" s="1">
        <v>1.1780000000000001E-2</v>
      </c>
      <c r="AE54" s="1">
        <v>9.0920000000000005</v>
      </c>
      <c r="AF54" s="1">
        <v>29.72</v>
      </c>
      <c r="AG54" s="1">
        <v>58.08</v>
      </c>
      <c r="AH54" s="1">
        <v>249.8</v>
      </c>
      <c r="AI54" s="1">
        <v>0.16300000000000001</v>
      </c>
      <c r="AJ54" s="1">
        <v>0.43099999999999999</v>
      </c>
      <c r="AK54" s="1">
        <v>0.53810000000000002</v>
      </c>
      <c r="AL54" s="1">
        <v>7.8789999999999999E-2</v>
      </c>
      <c r="AM54" s="1">
        <v>0.3322</v>
      </c>
      <c r="AN54" s="1">
        <v>0.14860000000000001</v>
      </c>
    </row>
    <row r="55" spans="1:40" s="1" customFormat="1" ht="15" x14ac:dyDescent="0.25">
      <c r="A55" s="1">
        <v>8710441</v>
      </c>
      <c r="B55" s="1" t="s">
        <v>37</v>
      </c>
      <c r="C55" s="1">
        <v>9.7309999999999999</v>
      </c>
      <c r="D55" s="1">
        <v>15.34</v>
      </c>
      <c r="E55" s="2"/>
      <c r="F55" s="2"/>
      <c r="G55" s="2"/>
      <c r="H55" s="2"/>
      <c r="I55" s="2"/>
      <c r="J55" s="2"/>
      <c r="K55" s="2"/>
      <c r="L55" s="2"/>
      <c r="M55" s="1">
        <v>63.78</v>
      </c>
      <c r="N55" s="1">
        <v>300.2</v>
      </c>
      <c r="O55" s="1">
        <v>0.1072</v>
      </c>
      <c r="P55" s="1">
        <v>0.15989999999999999</v>
      </c>
      <c r="Q55" s="1">
        <v>0.4108</v>
      </c>
      <c r="R55" s="1">
        <v>7.8570000000000001E-2</v>
      </c>
      <c r="S55" s="1">
        <v>0.25480000000000003</v>
      </c>
      <c r="T55" s="1">
        <v>9.2960000000000001E-2</v>
      </c>
      <c r="U55" s="1">
        <v>0.82450000000000001</v>
      </c>
      <c r="V55" s="1">
        <v>2.6640000000000001</v>
      </c>
      <c r="W55" s="1">
        <v>4.0730000000000004</v>
      </c>
      <c r="X55" s="1">
        <v>49.85</v>
      </c>
      <c r="Y55" s="1">
        <v>1.0970000000000001E-2</v>
      </c>
      <c r="Z55" s="1">
        <v>9.5860000000000001E-2</v>
      </c>
      <c r="AA55" s="1">
        <v>0.39600000000000002</v>
      </c>
      <c r="AB55" s="1">
        <v>5.2789999999999997E-2</v>
      </c>
      <c r="AC55" s="1">
        <v>3.5459999999999998E-2</v>
      </c>
      <c r="AD55" s="1">
        <v>2.9839999999999998E-2</v>
      </c>
      <c r="AE55" s="1">
        <v>11.02</v>
      </c>
      <c r="AF55" s="1">
        <v>19.489999999999998</v>
      </c>
      <c r="AG55" s="1">
        <v>71.040000000000006</v>
      </c>
      <c r="AH55" s="1">
        <v>380.5</v>
      </c>
      <c r="AI55" s="1">
        <v>0.12920000000000001</v>
      </c>
      <c r="AJ55" s="1">
        <v>0.2772</v>
      </c>
      <c r="AK55" s="1">
        <v>0.8216</v>
      </c>
      <c r="AL55" s="1">
        <v>0.15709999999999999</v>
      </c>
      <c r="AM55" s="1">
        <v>0.31080000000000002</v>
      </c>
      <c r="AN55" s="1">
        <v>0.12590000000000001</v>
      </c>
    </row>
    <row r="56" spans="1:40" s="1" customFormat="1" ht="15" x14ac:dyDescent="0.25">
      <c r="A56" s="1">
        <v>87106</v>
      </c>
      <c r="B56" s="1" t="s">
        <v>37</v>
      </c>
      <c r="C56" s="1">
        <v>11.15</v>
      </c>
      <c r="D56" s="1">
        <v>13.08</v>
      </c>
      <c r="E56" s="2"/>
      <c r="F56" s="2"/>
      <c r="G56" s="2"/>
      <c r="H56" s="2"/>
      <c r="I56" s="2"/>
      <c r="J56" s="2"/>
      <c r="K56" s="2"/>
      <c r="L56" s="2"/>
      <c r="M56" s="1">
        <v>70.87</v>
      </c>
      <c r="N56" s="1">
        <v>381.9</v>
      </c>
      <c r="O56" s="1">
        <v>9.7540000000000002E-2</v>
      </c>
      <c r="P56" s="1">
        <v>5.1130000000000002E-2</v>
      </c>
      <c r="Q56" s="1">
        <v>1.9820000000000001E-2</v>
      </c>
      <c r="R56" s="1">
        <v>1.7860000000000001E-2</v>
      </c>
      <c r="S56" s="1">
        <v>0.183</v>
      </c>
      <c r="T56" s="1">
        <v>6.105E-2</v>
      </c>
      <c r="U56" s="1">
        <v>0.22509999999999999</v>
      </c>
      <c r="V56" s="1">
        <v>0.78149999999999997</v>
      </c>
      <c r="W56" s="1">
        <v>1.429</v>
      </c>
      <c r="X56" s="1">
        <v>15.48</v>
      </c>
      <c r="Y56" s="1">
        <v>9.0189999999999992E-3</v>
      </c>
      <c r="Z56" s="1">
        <v>8.9849999999999999E-3</v>
      </c>
      <c r="AA56" s="1">
        <v>1.196E-2</v>
      </c>
      <c r="AB56" s="1">
        <v>8.2319999999999997E-3</v>
      </c>
      <c r="AC56" s="1">
        <v>2.3879999999999998E-2</v>
      </c>
      <c r="AD56" s="1">
        <v>1.619E-3</v>
      </c>
      <c r="AE56" s="1">
        <v>11.99</v>
      </c>
      <c r="AF56" s="1">
        <v>16.3</v>
      </c>
      <c r="AG56" s="1">
        <v>76.25</v>
      </c>
      <c r="AH56" s="1">
        <v>440.8</v>
      </c>
      <c r="AI56" s="1">
        <v>0.1341</v>
      </c>
      <c r="AJ56" s="1">
        <v>8.9709999999999998E-2</v>
      </c>
      <c r="AK56" s="1">
        <v>7.1160000000000001E-2</v>
      </c>
      <c r="AL56" s="1">
        <v>5.5059999999999998E-2</v>
      </c>
      <c r="AM56" s="1">
        <v>0.28589999999999999</v>
      </c>
      <c r="AN56" s="1">
        <v>6.7720000000000002E-2</v>
      </c>
    </row>
    <row r="57" spans="1:40" s="1" customFormat="1" ht="15" x14ac:dyDescent="0.25">
      <c r="A57" s="1">
        <v>8711002</v>
      </c>
      <c r="B57" s="1" t="s">
        <v>37</v>
      </c>
      <c r="C57" s="1">
        <v>13.15</v>
      </c>
      <c r="D57" s="1">
        <v>15.34</v>
      </c>
      <c r="E57" s="2"/>
      <c r="F57" s="2"/>
      <c r="G57" s="2"/>
      <c r="H57" s="2"/>
      <c r="I57" s="2"/>
      <c r="J57" s="2"/>
      <c r="K57" s="2"/>
      <c r="L57" s="2"/>
      <c r="M57" s="1">
        <v>85.31</v>
      </c>
      <c r="N57" s="1">
        <v>538.9</v>
      </c>
      <c r="O57" s="1">
        <v>9.3840000000000007E-2</v>
      </c>
      <c r="P57" s="1">
        <v>8.498E-2</v>
      </c>
      <c r="Q57" s="1">
        <v>9.2929999999999999E-2</v>
      </c>
      <c r="R57" s="1">
        <v>3.483E-2</v>
      </c>
      <c r="S57" s="1">
        <v>0.1822</v>
      </c>
      <c r="T57" s="1">
        <v>6.207E-2</v>
      </c>
      <c r="U57" s="1">
        <v>0.27100000000000002</v>
      </c>
      <c r="V57" s="1">
        <v>0.79269999999999996</v>
      </c>
      <c r="W57" s="1">
        <v>1.819</v>
      </c>
      <c r="X57" s="1">
        <v>22.79</v>
      </c>
      <c r="Y57" s="1">
        <v>8.5839999999999996E-3</v>
      </c>
      <c r="Z57" s="1">
        <v>2.017E-2</v>
      </c>
      <c r="AA57" s="1">
        <v>3.0470000000000001E-2</v>
      </c>
      <c r="AB57" s="1">
        <v>9.5359999999999993E-3</v>
      </c>
      <c r="AC57" s="1">
        <v>2.7689999999999999E-2</v>
      </c>
      <c r="AD57" s="1">
        <v>3.4789999999999999E-3</v>
      </c>
      <c r="AE57" s="1">
        <v>14.77</v>
      </c>
      <c r="AF57" s="1">
        <v>20.5</v>
      </c>
      <c r="AG57" s="1">
        <v>97.67</v>
      </c>
      <c r="AH57" s="1">
        <v>677.3</v>
      </c>
      <c r="AI57" s="1">
        <v>0.14779999999999999</v>
      </c>
      <c r="AJ57" s="1">
        <v>0.22559999999999999</v>
      </c>
      <c r="AK57" s="1">
        <v>0.3009</v>
      </c>
      <c r="AL57" s="1">
        <v>9.7220000000000001E-2</v>
      </c>
      <c r="AM57" s="1">
        <v>0.38490000000000002</v>
      </c>
      <c r="AN57" s="1">
        <v>8.6330000000000004E-2</v>
      </c>
    </row>
    <row r="58" spans="1:40" s="1" customFormat="1" ht="15" x14ac:dyDescent="0.25">
      <c r="A58" s="1">
        <v>8711003</v>
      </c>
      <c r="B58" s="1" t="s">
        <v>37</v>
      </c>
      <c r="C58" s="1">
        <v>12.25</v>
      </c>
      <c r="D58" s="1">
        <v>17.940000000000001</v>
      </c>
      <c r="E58" s="2"/>
      <c r="F58" s="2"/>
      <c r="G58" s="2"/>
      <c r="H58" s="2"/>
      <c r="I58" s="2"/>
      <c r="J58" s="2"/>
      <c r="K58" s="2"/>
      <c r="L58" s="2"/>
      <c r="M58" s="1">
        <v>78.27</v>
      </c>
      <c r="N58" s="1">
        <v>460.3</v>
      </c>
      <c r="O58" s="1">
        <v>8.6540000000000006E-2</v>
      </c>
      <c r="P58" s="1">
        <v>6.6790000000000002E-2</v>
      </c>
      <c r="Q58" s="1">
        <v>3.8850000000000003E-2</v>
      </c>
      <c r="R58" s="1">
        <v>2.3310000000000001E-2</v>
      </c>
      <c r="S58" s="1">
        <v>0.19700000000000001</v>
      </c>
      <c r="T58" s="1">
        <v>6.2280000000000002E-2</v>
      </c>
      <c r="U58" s="1">
        <v>0.22</v>
      </c>
      <c r="V58" s="1">
        <v>0.98229999999999995</v>
      </c>
      <c r="W58" s="1">
        <v>1.484</v>
      </c>
      <c r="X58" s="1">
        <v>16.510000000000002</v>
      </c>
      <c r="Y58" s="1">
        <v>5.5180000000000003E-3</v>
      </c>
      <c r="Z58" s="1">
        <v>1.562E-2</v>
      </c>
      <c r="AA58" s="1">
        <v>1.9939999999999999E-2</v>
      </c>
      <c r="AB58" s="1">
        <v>7.9240000000000005E-3</v>
      </c>
      <c r="AC58" s="1">
        <v>1.7989999999999999E-2</v>
      </c>
      <c r="AD58" s="1">
        <v>2.4840000000000001E-3</v>
      </c>
      <c r="AE58" s="1">
        <v>13.59</v>
      </c>
      <c r="AF58" s="1">
        <v>25.22</v>
      </c>
      <c r="AG58" s="1">
        <v>86.6</v>
      </c>
      <c r="AH58" s="1">
        <v>564.20000000000005</v>
      </c>
      <c r="AI58" s="1">
        <v>0.1217</v>
      </c>
      <c r="AJ58" s="1">
        <v>0.17879999999999999</v>
      </c>
      <c r="AK58" s="1">
        <v>0.1943</v>
      </c>
      <c r="AL58" s="1">
        <v>8.2110000000000002E-2</v>
      </c>
      <c r="AM58" s="1">
        <v>0.31130000000000002</v>
      </c>
      <c r="AN58" s="1">
        <v>8.1320000000000003E-2</v>
      </c>
    </row>
    <row r="59" spans="1:40" s="1" customFormat="1" ht="15" x14ac:dyDescent="0.25">
      <c r="A59" s="1">
        <v>8711202</v>
      </c>
      <c r="B59" s="1" t="s">
        <v>36</v>
      </c>
      <c r="C59" s="1">
        <v>17.68</v>
      </c>
      <c r="D59" s="1">
        <v>20.74</v>
      </c>
      <c r="E59" s="2"/>
      <c r="F59" s="2"/>
      <c r="G59" s="2"/>
      <c r="H59" s="2"/>
      <c r="I59" s="2"/>
      <c r="J59" s="2"/>
      <c r="K59" s="2"/>
      <c r="L59" s="2"/>
      <c r="M59" s="1">
        <v>117.4</v>
      </c>
      <c r="N59" s="1">
        <v>963.7</v>
      </c>
      <c r="O59" s="1">
        <v>0.1115</v>
      </c>
      <c r="P59" s="1">
        <v>0.16650000000000001</v>
      </c>
      <c r="Q59" s="1">
        <v>0.1855</v>
      </c>
      <c r="R59" s="1">
        <v>0.10539999999999999</v>
      </c>
      <c r="S59" s="1">
        <v>0.1971</v>
      </c>
      <c r="T59" s="1">
        <v>6.166E-2</v>
      </c>
      <c r="U59" s="1">
        <v>0.81130000000000002</v>
      </c>
      <c r="V59" s="1">
        <v>1.4</v>
      </c>
      <c r="W59" s="1">
        <v>5.54</v>
      </c>
      <c r="X59" s="1">
        <v>93.91</v>
      </c>
      <c r="Y59" s="1">
        <v>9.0369999999999999E-3</v>
      </c>
      <c r="Z59" s="1">
        <v>4.9540000000000001E-2</v>
      </c>
      <c r="AA59" s="1">
        <v>5.2060000000000002E-2</v>
      </c>
      <c r="AB59" s="1">
        <v>1.8409999999999999E-2</v>
      </c>
      <c r="AC59" s="1">
        <v>1.7780000000000001E-2</v>
      </c>
      <c r="AD59" s="1">
        <v>4.9680000000000002E-3</v>
      </c>
      <c r="AE59" s="1">
        <v>20.47</v>
      </c>
      <c r="AF59" s="1">
        <v>25.11</v>
      </c>
      <c r="AG59" s="1">
        <v>132.9</v>
      </c>
      <c r="AH59" s="1">
        <v>1302</v>
      </c>
      <c r="AI59" s="1">
        <v>0.14180000000000001</v>
      </c>
      <c r="AJ59" s="1">
        <v>0.3498</v>
      </c>
      <c r="AK59" s="1">
        <v>0.35830000000000001</v>
      </c>
      <c r="AL59" s="1">
        <v>0.1515</v>
      </c>
      <c r="AM59" s="1">
        <v>0.24629999999999999</v>
      </c>
      <c r="AN59" s="1">
        <v>7.7380000000000004E-2</v>
      </c>
    </row>
    <row r="60" spans="1:40" s="1" customFormat="1" ht="15" x14ac:dyDescent="0.25">
      <c r="A60" s="1">
        <v>8711216</v>
      </c>
      <c r="B60" s="1" t="s">
        <v>37</v>
      </c>
      <c r="C60" s="1">
        <v>16.84</v>
      </c>
      <c r="D60" s="1">
        <v>19.46</v>
      </c>
      <c r="E60" s="2"/>
      <c r="F60" s="2"/>
      <c r="G60" s="2"/>
      <c r="H60" s="2"/>
      <c r="I60" s="2"/>
      <c r="J60" s="2"/>
      <c r="K60" s="2"/>
      <c r="L60" s="2"/>
      <c r="M60" s="1">
        <v>108.4</v>
      </c>
      <c r="N60" s="1">
        <v>880.2</v>
      </c>
      <c r="O60" s="1">
        <v>7.4450000000000002E-2</v>
      </c>
      <c r="P60" s="1">
        <v>7.2230000000000003E-2</v>
      </c>
      <c r="Q60" s="1">
        <v>5.1499999999999997E-2</v>
      </c>
      <c r="R60" s="1">
        <v>2.7709999999999999E-2</v>
      </c>
      <c r="S60" s="1">
        <v>0.18440000000000001</v>
      </c>
      <c r="T60" s="1">
        <v>5.2679999999999998E-2</v>
      </c>
      <c r="U60" s="1">
        <v>0.47889999999999999</v>
      </c>
      <c r="V60" s="1">
        <v>2.06</v>
      </c>
      <c r="W60" s="1">
        <v>3.4790000000000001</v>
      </c>
      <c r="X60" s="1">
        <v>46.61</v>
      </c>
      <c r="Y60" s="1">
        <v>3.4429999999999999E-3</v>
      </c>
      <c r="Z60" s="1">
        <v>2.6610000000000002E-2</v>
      </c>
      <c r="AA60" s="1">
        <v>3.056E-2</v>
      </c>
      <c r="AB60" s="1">
        <v>1.11E-2</v>
      </c>
      <c r="AC60" s="1">
        <v>1.52E-2</v>
      </c>
      <c r="AD60" s="1">
        <v>1.519E-3</v>
      </c>
      <c r="AE60" s="1">
        <v>18.22</v>
      </c>
      <c r="AF60" s="1">
        <v>28.07</v>
      </c>
      <c r="AG60" s="1">
        <v>120.3</v>
      </c>
      <c r="AH60" s="1">
        <v>1032</v>
      </c>
      <c r="AI60" s="1">
        <v>8.7739999999999999E-2</v>
      </c>
      <c r="AJ60" s="1">
        <v>0.17100000000000001</v>
      </c>
      <c r="AK60" s="1">
        <v>0.18820000000000001</v>
      </c>
      <c r="AL60" s="1">
        <v>8.4360000000000004E-2</v>
      </c>
      <c r="AM60" s="1">
        <v>0.25269999999999998</v>
      </c>
      <c r="AN60" s="1">
        <v>5.9720000000000002E-2</v>
      </c>
    </row>
    <row r="61" spans="1:40" s="1" customFormat="1" ht="15" x14ac:dyDescent="0.25">
      <c r="A61" s="1">
        <v>871122</v>
      </c>
      <c r="B61" s="1" t="s">
        <v>37</v>
      </c>
      <c r="C61" s="1">
        <v>12.06</v>
      </c>
      <c r="D61" s="1">
        <v>12.74</v>
      </c>
      <c r="E61" s="2"/>
      <c r="F61" s="2"/>
      <c r="G61" s="2"/>
      <c r="H61" s="2"/>
      <c r="I61" s="2"/>
      <c r="J61" s="2"/>
      <c r="K61" s="2"/>
      <c r="L61" s="2"/>
      <c r="M61" s="1">
        <v>76.84</v>
      </c>
      <c r="N61" s="1">
        <v>448.6</v>
      </c>
      <c r="O61" s="1">
        <v>9.3109999999999998E-2</v>
      </c>
      <c r="P61" s="1">
        <v>5.2409999999999998E-2</v>
      </c>
      <c r="Q61" s="1">
        <v>1.9720000000000001E-2</v>
      </c>
      <c r="R61" s="1">
        <v>1.9630000000000002E-2</v>
      </c>
      <c r="S61" s="1">
        <v>0.159</v>
      </c>
      <c r="T61" s="1">
        <v>5.9069999999999998E-2</v>
      </c>
      <c r="U61" s="1">
        <v>0.1822</v>
      </c>
      <c r="V61" s="1">
        <v>0.72850000000000004</v>
      </c>
      <c r="W61" s="1">
        <v>1.171</v>
      </c>
      <c r="X61" s="1">
        <v>13.25</v>
      </c>
      <c r="Y61" s="1">
        <v>5.5279999999999999E-3</v>
      </c>
      <c r="Z61" s="1">
        <v>9.7890000000000008E-3</v>
      </c>
      <c r="AA61" s="1">
        <v>8.3420000000000005E-3</v>
      </c>
      <c r="AB61" s="1">
        <v>6.2729999999999999E-3</v>
      </c>
      <c r="AC61" s="1">
        <v>1.465E-2</v>
      </c>
      <c r="AD61" s="1">
        <v>2.5300000000000001E-3</v>
      </c>
      <c r="AE61" s="1">
        <v>13.14</v>
      </c>
      <c r="AF61" s="1">
        <v>18.41</v>
      </c>
      <c r="AG61" s="1">
        <v>84.08</v>
      </c>
      <c r="AH61" s="1">
        <v>532.79999999999995</v>
      </c>
      <c r="AI61" s="1">
        <v>0.1275</v>
      </c>
      <c r="AJ61" s="1">
        <v>0.1232</v>
      </c>
      <c r="AK61" s="1">
        <v>8.6360000000000006E-2</v>
      </c>
      <c r="AL61" s="1">
        <v>7.0250000000000007E-2</v>
      </c>
      <c r="AM61" s="1">
        <v>0.25140000000000001</v>
      </c>
      <c r="AN61" s="1">
        <v>7.8979999999999995E-2</v>
      </c>
    </row>
    <row r="62" spans="1:40" s="1" customFormat="1" ht="15" x14ac:dyDescent="0.25">
      <c r="A62" s="1">
        <v>871149</v>
      </c>
      <c r="B62" s="1" t="s">
        <v>37</v>
      </c>
      <c r="C62" s="1">
        <v>10.9</v>
      </c>
      <c r="D62" s="1">
        <v>12.96</v>
      </c>
      <c r="E62" s="2"/>
      <c r="F62" s="2"/>
      <c r="G62" s="2"/>
      <c r="H62" s="2"/>
      <c r="I62" s="2"/>
      <c r="J62" s="2"/>
      <c r="K62" s="2"/>
      <c r="L62" s="2"/>
      <c r="M62" s="1">
        <v>68.69</v>
      </c>
      <c r="N62" s="1">
        <v>366.8</v>
      </c>
      <c r="O62" s="1">
        <v>7.5149999999999995E-2</v>
      </c>
      <c r="P62" s="1">
        <v>3.7179999999999998E-2</v>
      </c>
      <c r="Q62" s="1">
        <v>3.0899999999999999E-3</v>
      </c>
      <c r="R62" s="1">
        <v>6.5880000000000001E-3</v>
      </c>
      <c r="S62" s="1">
        <v>0.14419999999999999</v>
      </c>
      <c r="T62" s="1">
        <v>5.7430000000000002E-2</v>
      </c>
      <c r="U62" s="1">
        <v>0.28179999999999999</v>
      </c>
      <c r="V62" s="1">
        <v>0.76139999999999997</v>
      </c>
      <c r="W62" s="1">
        <v>1.8080000000000001</v>
      </c>
      <c r="X62" s="1">
        <v>18.54</v>
      </c>
      <c r="Y62" s="1">
        <v>6.1419999999999999E-3</v>
      </c>
      <c r="Z62" s="1">
        <v>6.1339999999999997E-3</v>
      </c>
      <c r="AA62" s="1">
        <v>1.835E-3</v>
      </c>
      <c r="AB62" s="1">
        <v>3.5760000000000002E-3</v>
      </c>
      <c r="AC62" s="1">
        <v>1.6369999999999999E-2</v>
      </c>
      <c r="AD62" s="1">
        <v>2.6649999999999998E-3</v>
      </c>
      <c r="AE62" s="1">
        <v>12.36</v>
      </c>
      <c r="AF62" s="1">
        <v>18.2</v>
      </c>
      <c r="AG62" s="1">
        <v>78.069999999999993</v>
      </c>
      <c r="AH62" s="1">
        <v>470</v>
      </c>
      <c r="AI62" s="1">
        <v>0.1171</v>
      </c>
      <c r="AJ62" s="1">
        <v>8.294E-2</v>
      </c>
      <c r="AK62" s="1">
        <v>1.8540000000000001E-2</v>
      </c>
      <c r="AL62" s="1">
        <v>3.9530000000000003E-2</v>
      </c>
      <c r="AM62" s="1">
        <v>0.27379999999999999</v>
      </c>
      <c r="AN62" s="1">
        <v>7.6850000000000002E-2</v>
      </c>
    </row>
    <row r="63" spans="1:40" s="1" customFormat="1" ht="15" x14ac:dyDescent="0.25">
      <c r="A63" s="1">
        <v>8711561</v>
      </c>
      <c r="B63" s="1" t="s">
        <v>37</v>
      </c>
      <c r="C63" s="1">
        <v>11.75</v>
      </c>
      <c r="D63" s="1">
        <v>20.18</v>
      </c>
      <c r="E63" s="2"/>
      <c r="F63" s="2"/>
      <c r="G63" s="2"/>
      <c r="H63" s="2"/>
      <c r="I63" s="2"/>
      <c r="J63" s="2"/>
      <c r="K63" s="2"/>
      <c r="L63" s="2"/>
      <c r="M63" s="1">
        <v>76.099999999999994</v>
      </c>
      <c r="N63" s="1">
        <v>419.8</v>
      </c>
      <c r="O63" s="1">
        <v>0.1089</v>
      </c>
      <c r="P63" s="1">
        <v>0.11409999999999999</v>
      </c>
      <c r="Q63" s="1">
        <v>6.8430000000000005E-2</v>
      </c>
      <c r="R63" s="1">
        <v>3.7379999999999997E-2</v>
      </c>
      <c r="S63" s="1">
        <v>0.1993</v>
      </c>
      <c r="T63" s="1">
        <v>6.4530000000000004E-2</v>
      </c>
      <c r="U63" s="1">
        <v>0.50180000000000002</v>
      </c>
      <c r="V63" s="1">
        <v>1.6930000000000001</v>
      </c>
      <c r="W63" s="1">
        <v>3.9260000000000002</v>
      </c>
      <c r="X63" s="1">
        <v>38.340000000000003</v>
      </c>
      <c r="Y63" s="1">
        <v>9.4330000000000004E-3</v>
      </c>
      <c r="Z63" s="1">
        <v>2.4049999999999998E-2</v>
      </c>
      <c r="AA63" s="1">
        <v>4.1669999999999999E-2</v>
      </c>
      <c r="AB63" s="1">
        <v>1.1520000000000001E-2</v>
      </c>
      <c r="AC63" s="1">
        <v>3.397E-2</v>
      </c>
      <c r="AD63" s="1">
        <v>5.0610000000000004E-3</v>
      </c>
      <c r="AE63" s="1">
        <v>13.32</v>
      </c>
      <c r="AF63" s="1">
        <v>26.21</v>
      </c>
      <c r="AG63" s="1">
        <v>88.91</v>
      </c>
      <c r="AH63" s="1">
        <v>543.9</v>
      </c>
      <c r="AI63" s="1">
        <v>0.1358</v>
      </c>
      <c r="AJ63" s="1">
        <v>0.18920000000000001</v>
      </c>
      <c r="AK63" s="1">
        <v>0.1956</v>
      </c>
      <c r="AL63" s="1">
        <v>7.9089999999999994E-2</v>
      </c>
      <c r="AM63" s="1">
        <v>0.31680000000000003</v>
      </c>
      <c r="AN63" s="1">
        <v>7.9869999999999997E-2</v>
      </c>
    </row>
    <row r="64" spans="1:40" s="1" customFormat="1" ht="15" x14ac:dyDescent="0.25">
      <c r="A64" s="1">
        <v>8711803</v>
      </c>
      <c r="B64" s="1" t="s">
        <v>36</v>
      </c>
      <c r="C64" s="1">
        <v>19.190000000000001</v>
      </c>
      <c r="D64" s="1">
        <v>15.94</v>
      </c>
      <c r="E64" s="2"/>
      <c r="F64" s="2"/>
      <c r="G64" s="2"/>
      <c r="H64" s="2"/>
      <c r="I64" s="2"/>
      <c r="J64" s="2"/>
      <c r="K64" s="2"/>
      <c r="L64" s="2"/>
      <c r="M64" s="1">
        <v>126.3</v>
      </c>
      <c r="N64" s="1">
        <v>1157</v>
      </c>
      <c r="O64" s="1">
        <v>8.6940000000000003E-2</v>
      </c>
      <c r="P64" s="1">
        <v>0.11849999999999999</v>
      </c>
      <c r="Q64" s="1">
        <v>0.1193</v>
      </c>
      <c r="R64" s="1">
        <v>9.6670000000000006E-2</v>
      </c>
      <c r="S64" s="1">
        <v>0.1741</v>
      </c>
      <c r="T64" s="1">
        <v>5.176E-2</v>
      </c>
      <c r="U64" s="1">
        <v>1</v>
      </c>
      <c r="V64" s="1">
        <v>0.63360000000000005</v>
      </c>
      <c r="W64" s="1">
        <v>6.9710000000000001</v>
      </c>
      <c r="X64" s="1">
        <v>119.3</v>
      </c>
      <c r="Y64" s="1">
        <v>9.4059999999999994E-3</v>
      </c>
      <c r="Z64" s="1">
        <v>3.0550000000000001E-2</v>
      </c>
      <c r="AA64" s="1">
        <v>4.3439999999999999E-2</v>
      </c>
      <c r="AB64" s="1">
        <v>2.794E-2</v>
      </c>
      <c r="AC64" s="1">
        <v>3.1559999999999998E-2</v>
      </c>
      <c r="AD64" s="1">
        <v>3.362E-3</v>
      </c>
      <c r="AE64" s="1">
        <v>22.03</v>
      </c>
      <c r="AF64" s="1">
        <v>17.809999999999999</v>
      </c>
      <c r="AG64" s="1">
        <v>146.6</v>
      </c>
      <c r="AH64" s="1">
        <v>1495</v>
      </c>
      <c r="AI64" s="1">
        <v>0.1124</v>
      </c>
      <c r="AJ64" s="1">
        <v>0.2016</v>
      </c>
      <c r="AK64" s="1">
        <v>0.22639999999999999</v>
      </c>
      <c r="AL64" s="1">
        <v>0.1777</v>
      </c>
      <c r="AM64" s="1">
        <v>0.24429999999999999</v>
      </c>
      <c r="AN64" s="1">
        <v>6.2509999999999996E-2</v>
      </c>
    </row>
    <row r="65" spans="1:40" s="1" customFormat="1" ht="15" x14ac:dyDescent="0.25">
      <c r="A65" s="1">
        <v>871201</v>
      </c>
      <c r="B65" s="1" t="s">
        <v>36</v>
      </c>
      <c r="C65" s="1">
        <v>19.59</v>
      </c>
      <c r="D65" s="1">
        <v>18.149999999999999</v>
      </c>
      <c r="E65" s="2"/>
      <c r="F65" s="2"/>
      <c r="G65" s="2"/>
      <c r="H65" s="2"/>
      <c r="I65" s="2"/>
      <c r="J65" s="2"/>
      <c r="K65" s="2"/>
      <c r="L65" s="2"/>
      <c r="M65" s="1">
        <v>130.69999999999999</v>
      </c>
      <c r="N65" s="1">
        <v>1214</v>
      </c>
      <c r="O65" s="1">
        <v>0.112</v>
      </c>
      <c r="P65" s="1">
        <v>0.1666</v>
      </c>
      <c r="Q65" s="1">
        <v>0.25080000000000002</v>
      </c>
      <c r="R65" s="1">
        <v>0.12859999999999999</v>
      </c>
      <c r="S65" s="1">
        <v>0.20269999999999999</v>
      </c>
      <c r="T65" s="1">
        <v>6.0819999999999999E-2</v>
      </c>
      <c r="U65" s="1">
        <v>0.73640000000000005</v>
      </c>
      <c r="V65" s="1">
        <v>1.048</v>
      </c>
      <c r="W65" s="1">
        <v>4.7919999999999998</v>
      </c>
      <c r="X65" s="1">
        <v>97.07</v>
      </c>
      <c r="Y65" s="1">
        <v>4.0569999999999998E-3</v>
      </c>
      <c r="Z65" s="1">
        <v>2.2769999999999999E-2</v>
      </c>
      <c r="AA65" s="1">
        <v>4.0289999999999999E-2</v>
      </c>
      <c r="AB65" s="1">
        <v>1.303E-2</v>
      </c>
      <c r="AC65" s="1">
        <v>1.686E-2</v>
      </c>
      <c r="AD65" s="1">
        <v>3.3180000000000002E-3</v>
      </c>
      <c r="AE65" s="1">
        <v>26.73</v>
      </c>
      <c r="AF65" s="1">
        <v>26.39</v>
      </c>
      <c r="AG65" s="1">
        <v>174.9</v>
      </c>
      <c r="AH65" s="1">
        <v>2232</v>
      </c>
      <c r="AI65" s="1">
        <v>0.14380000000000001</v>
      </c>
      <c r="AJ65" s="1">
        <v>0.3846</v>
      </c>
      <c r="AK65" s="1">
        <v>0.68100000000000005</v>
      </c>
      <c r="AL65" s="1">
        <v>0.22470000000000001</v>
      </c>
      <c r="AM65" s="1">
        <v>0.36430000000000001</v>
      </c>
      <c r="AN65" s="1">
        <v>9.2230000000000006E-2</v>
      </c>
    </row>
    <row r="66" spans="1:40" s="1" customFormat="1" ht="15" x14ac:dyDescent="0.25">
      <c r="A66" s="1">
        <v>8712064</v>
      </c>
      <c r="B66" s="1" t="s">
        <v>37</v>
      </c>
      <c r="C66" s="1">
        <v>12.34</v>
      </c>
      <c r="D66" s="1">
        <v>22.22</v>
      </c>
      <c r="E66" s="2"/>
      <c r="F66" s="2"/>
      <c r="G66" s="2"/>
      <c r="H66" s="2"/>
      <c r="I66" s="2"/>
      <c r="J66" s="2"/>
      <c r="K66" s="2"/>
      <c r="L66" s="2"/>
      <c r="M66" s="1">
        <v>79.849999999999994</v>
      </c>
      <c r="N66" s="1">
        <v>464.5</v>
      </c>
      <c r="O66" s="1">
        <v>0.1012</v>
      </c>
      <c r="P66" s="1">
        <v>0.10150000000000001</v>
      </c>
      <c r="Q66" s="1">
        <v>5.3699999999999998E-2</v>
      </c>
      <c r="R66" s="1">
        <v>2.8219999999999999E-2</v>
      </c>
      <c r="S66" s="1">
        <v>0.15509999999999999</v>
      </c>
      <c r="T66" s="1">
        <v>6.7610000000000003E-2</v>
      </c>
      <c r="U66" s="1">
        <v>0.2949</v>
      </c>
      <c r="V66" s="1">
        <v>1.6559999999999999</v>
      </c>
      <c r="W66" s="1">
        <v>1.9550000000000001</v>
      </c>
      <c r="X66" s="1">
        <v>21.55</v>
      </c>
      <c r="Y66" s="1">
        <v>1.1339999999999999E-2</v>
      </c>
      <c r="Z66" s="1">
        <v>3.175E-2</v>
      </c>
      <c r="AA66" s="1">
        <v>3.125E-2</v>
      </c>
      <c r="AB66" s="1">
        <v>1.1350000000000001E-2</v>
      </c>
      <c r="AC66" s="1">
        <v>1.8790000000000001E-2</v>
      </c>
      <c r="AD66" s="1">
        <v>5.3480000000000003E-3</v>
      </c>
      <c r="AE66" s="1">
        <v>13.58</v>
      </c>
      <c r="AF66" s="1">
        <v>28.68</v>
      </c>
      <c r="AG66" s="1">
        <v>87.36</v>
      </c>
      <c r="AH66" s="1">
        <v>553</v>
      </c>
      <c r="AI66" s="1">
        <v>0.1452</v>
      </c>
      <c r="AJ66" s="1">
        <v>0.23380000000000001</v>
      </c>
      <c r="AK66" s="1">
        <v>0.16880000000000001</v>
      </c>
      <c r="AL66" s="1">
        <v>8.1939999999999999E-2</v>
      </c>
      <c r="AM66" s="1">
        <v>0.2268</v>
      </c>
      <c r="AN66" s="1">
        <v>9.0819999999999998E-2</v>
      </c>
    </row>
    <row r="67" spans="1:40" s="1" customFormat="1" ht="15" x14ac:dyDescent="0.25">
      <c r="A67" s="1">
        <v>8712289</v>
      </c>
      <c r="B67" s="1" t="s">
        <v>36</v>
      </c>
      <c r="C67" s="1">
        <v>23.27</v>
      </c>
      <c r="D67" s="1">
        <v>22.04</v>
      </c>
      <c r="E67" s="2"/>
      <c r="F67" s="2"/>
      <c r="G67" s="2"/>
      <c r="H67" s="2"/>
      <c r="I67" s="2"/>
      <c r="J67" s="2"/>
      <c r="K67" s="2"/>
      <c r="L67" s="2"/>
      <c r="M67" s="1">
        <v>152.1</v>
      </c>
      <c r="N67" s="1">
        <v>1686</v>
      </c>
      <c r="O67" s="1">
        <v>8.4390000000000007E-2</v>
      </c>
      <c r="P67" s="1">
        <v>0.1145</v>
      </c>
      <c r="Q67" s="1">
        <v>0.13239999999999999</v>
      </c>
      <c r="R67" s="1">
        <v>9.7019999999999995E-2</v>
      </c>
      <c r="S67" s="1">
        <v>0.18010000000000001</v>
      </c>
      <c r="T67" s="1">
        <v>5.5530000000000003E-2</v>
      </c>
      <c r="U67" s="1">
        <v>0.66420000000000001</v>
      </c>
      <c r="V67" s="1">
        <v>0.85609999999999997</v>
      </c>
      <c r="W67" s="1">
        <v>4.6029999999999998</v>
      </c>
      <c r="X67" s="1">
        <v>97.85</v>
      </c>
      <c r="Y67" s="1">
        <v>4.9100000000000003E-3</v>
      </c>
      <c r="Z67" s="1">
        <v>2.5440000000000001E-2</v>
      </c>
      <c r="AA67" s="1">
        <v>2.8219999999999999E-2</v>
      </c>
      <c r="AB67" s="1">
        <v>1.6230000000000001E-2</v>
      </c>
      <c r="AC67" s="1">
        <v>1.9560000000000001E-2</v>
      </c>
      <c r="AD67" s="1">
        <v>3.7399999999999998E-3</v>
      </c>
      <c r="AE67" s="1">
        <v>28.01</v>
      </c>
      <c r="AF67" s="1">
        <v>28.22</v>
      </c>
      <c r="AG67" s="1">
        <v>184.2</v>
      </c>
      <c r="AH67" s="1">
        <v>2403</v>
      </c>
      <c r="AI67" s="1">
        <v>0.12280000000000001</v>
      </c>
      <c r="AJ67" s="1">
        <v>0.35830000000000001</v>
      </c>
      <c r="AK67" s="1">
        <v>0.39479999999999998</v>
      </c>
      <c r="AL67" s="1">
        <v>0.2346</v>
      </c>
      <c r="AM67" s="1">
        <v>0.3589</v>
      </c>
      <c r="AN67" s="1">
        <v>9.1869999999999993E-2</v>
      </c>
    </row>
    <row r="68" spans="1:40" s="1" customFormat="1" ht="15" x14ac:dyDescent="0.25">
      <c r="A68" s="1">
        <v>8712291</v>
      </c>
      <c r="B68" s="1" t="s">
        <v>37</v>
      </c>
      <c r="C68" s="1">
        <v>14.97</v>
      </c>
      <c r="D68" s="1">
        <v>19.760000000000002</v>
      </c>
      <c r="E68" s="2"/>
      <c r="F68" s="2"/>
      <c r="G68" s="2"/>
      <c r="H68" s="2"/>
      <c r="I68" s="2"/>
      <c r="J68" s="2"/>
      <c r="K68" s="2"/>
      <c r="L68" s="2"/>
      <c r="M68" s="1">
        <v>95.5</v>
      </c>
      <c r="N68" s="1">
        <v>690.2</v>
      </c>
      <c r="O68" s="1">
        <v>8.4209999999999993E-2</v>
      </c>
      <c r="P68" s="1">
        <v>5.3519999999999998E-2</v>
      </c>
      <c r="Q68" s="1">
        <v>1.9470000000000001E-2</v>
      </c>
      <c r="R68" s="1">
        <v>1.9390000000000001E-2</v>
      </c>
      <c r="S68" s="1">
        <v>0.1515</v>
      </c>
      <c r="T68" s="1">
        <v>5.2659999999999998E-2</v>
      </c>
      <c r="U68" s="1">
        <v>0.184</v>
      </c>
      <c r="V68" s="1">
        <v>1.0649999999999999</v>
      </c>
      <c r="W68" s="1">
        <v>1.286</v>
      </c>
      <c r="X68" s="1">
        <v>16.64</v>
      </c>
      <c r="Y68" s="1">
        <v>3.6340000000000001E-3</v>
      </c>
      <c r="Z68" s="1">
        <v>7.9830000000000005E-3</v>
      </c>
      <c r="AA68" s="1">
        <v>8.2679999999999993E-3</v>
      </c>
      <c r="AB68" s="1">
        <v>6.4320000000000002E-3</v>
      </c>
      <c r="AC68" s="1">
        <v>1.924E-2</v>
      </c>
      <c r="AD68" s="1">
        <v>1.5200000000000001E-3</v>
      </c>
      <c r="AE68" s="1">
        <v>15.98</v>
      </c>
      <c r="AF68" s="1">
        <v>25.82</v>
      </c>
      <c r="AG68" s="1">
        <v>102.3</v>
      </c>
      <c r="AH68" s="1">
        <v>782.1</v>
      </c>
      <c r="AI68" s="1">
        <v>0.1045</v>
      </c>
      <c r="AJ68" s="1">
        <v>9.9949999999999997E-2</v>
      </c>
      <c r="AK68" s="1">
        <v>7.7499999999999999E-2</v>
      </c>
      <c r="AL68" s="1">
        <v>5.7540000000000001E-2</v>
      </c>
      <c r="AM68" s="1">
        <v>0.2646</v>
      </c>
      <c r="AN68" s="1">
        <v>6.0850000000000001E-2</v>
      </c>
    </row>
    <row r="69" spans="1:40" s="1" customFormat="1" ht="15" x14ac:dyDescent="0.25">
      <c r="A69" s="1">
        <v>87127</v>
      </c>
      <c r="B69" s="1" t="s">
        <v>37</v>
      </c>
      <c r="C69" s="1">
        <v>10.8</v>
      </c>
      <c r="D69" s="1">
        <v>9.7100000000000009</v>
      </c>
      <c r="E69" s="2"/>
      <c r="F69" s="2"/>
      <c r="G69" s="2"/>
      <c r="H69" s="2"/>
      <c r="I69" s="2"/>
      <c r="J69" s="2"/>
      <c r="K69" s="2"/>
      <c r="L69" s="2"/>
      <c r="M69" s="1">
        <v>68.77</v>
      </c>
      <c r="N69" s="1">
        <v>357.6</v>
      </c>
      <c r="O69" s="1">
        <v>9.5939999999999998E-2</v>
      </c>
      <c r="P69" s="1">
        <v>5.7360000000000001E-2</v>
      </c>
      <c r="Q69" s="1">
        <v>2.5309999999999999E-2</v>
      </c>
      <c r="R69" s="1">
        <v>1.6979999999999999E-2</v>
      </c>
      <c r="S69" s="1">
        <v>0.1381</v>
      </c>
      <c r="T69" s="1">
        <v>6.4000000000000001E-2</v>
      </c>
      <c r="U69" s="1">
        <v>0.17280000000000001</v>
      </c>
      <c r="V69" s="1">
        <v>0.40639999999999998</v>
      </c>
      <c r="W69" s="1">
        <v>1.1259999999999999</v>
      </c>
      <c r="X69" s="1">
        <v>11.48</v>
      </c>
      <c r="Y69" s="1">
        <v>7.809E-3</v>
      </c>
      <c r="Z69" s="1">
        <v>9.8160000000000001E-3</v>
      </c>
      <c r="AA69" s="1">
        <v>1.099E-2</v>
      </c>
      <c r="AB69" s="1">
        <v>5.3439999999999998E-3</v>
      </c>
      <c r="AC69" s="1">
        <v>1.2540000000000001E-2</v>
      </c>
      <c r="AD69" s="1">
        <v>2.1199999999999999E-3</v>
      </c>
      <c r="AE69" s="1">
        <v>11.6</v>
      </c>
      <c r="AF69" s="1">
        <v>12.02</v>
      </c>
      <c r="AG69" s="1">
        <v>73.66</v>
      </c>
      <c r="AH69" s="1">
        <v>414</v>
      </c>
      <c r="AI69" s="1">
        <v>0.14360000000000001</v>
      </c>
      <c r="AJ69" s="1">
        <v>0.12570000000000001</v>
      </c>
      <c r="AK69" s="1">
        <v>0.1047</v>
      </c>
      <c r="AL69" s="1">
        <v>4.6030000000000001E-2</v>
      </c>
      <c r="AM69" s="1">
        <v>0.20899999999999999</v>
      </c>
      <c r="AN69" s="1">
        <v>7.6990000000000003E-2</v>
      </c>
    </row>
    <row r="70" spans="1:40" s="1" customFormat="1" ht="15" x14ac:dyDescent="0.25">
      <c r="A70" s="1">
        <v>8712729</v>
      </c>
      <c r="B70" s="1" t="s">
        <v>36</v>
      </c>
      <c r="C70" s="1">
        <v>16.78</v>
      </c>
      <c r="D70" s="1">
        <v>18.8</v>
      </c>
      <c r="E70" s="2"/>
      <c r="F70" s="2"/>
      <c r="G70" s="2"/>
      <c r="H70" s="2"/>
      <c r="I70" s="2"/>
      <c r="J70" s="2"/>
      <c r="K70" s="2"/>
      <c r="L70" s="2"/>
      <c r="M70" s="1">
        <v>109.3</v>
      </c>
      <c r="N70" s="1">
        <v>886.3</v>
      </c>
      <c r="O70" s="1">
        <v>8.8650000000000007E-2</v>
      </c>
      <c r="P70" s="1">
        <v>9.1819999999999999E-2</v>
      </c>
      <c r="Q70" s="1">
        <v>8.4220000000000003E-2</v>
      </c>
      <c r="R70" s="1">
        <v>6.5759999999999999E-2</v>
      </c>
      <c r="S70" s="1">
        <v>0.1893</v>
      </c>
      <c r="T70" s="1">
        <v>5.534E-2</v>
      </c>
      <c r="U70" s="1">
        <v>0.59899999999999998</v>
      </c>
      <c r="V70" s="1">
        <v>1.391</v>
      </c>
      <c r="W70" s="1">
        <v>4.1289999999999996</v>
      </c>
      <c r="X70" s="1">
        <v>67.34</v>
      </c>
      <c r="Y70" s="1">
        <v>6.123E-3</v>
      </c>
      <c r="Z70" s="1">
        <v>2.47E-2</v>
      </c>
      <c r="AA70" s="1">
        <v>2.6259999999999999E-2</v>
      </c>
      <c r="AB70" s="1">
        <v>1.6039999999999999E-2</v>
      </c>
      <c r="AC70" s="1">
        <v>2.0910000000000002E-2</v>
      </c>
      <c r="AD70" s="1">
        <v>3.493E-3</v>
      </c>
      <c r="AE70" s="1">
        <v>20.05</v>
      </c>
      <c r="AF70" s="1">
        <v>26.3</v>
      </c>
      <c r="AG70" s="1">
        <v>130.69999999999999</v>
      </c>
      <c r="AH70" s="1">
        <v>1260</v>
      </c>
      <c r="AI70" s="1">
        <v>0.1168</v>
      </c>
      <c r="AJ70" s="1">
        <v>0.21190000000000001</v>
      </c>
      <c r="AK70" s="1">
        <v>0.23180000000000001</v>
      </c>
      <c r="AL70" s="1">
        <v>0.1474</v>
      </c>
      <c r="AM70" s="1">
        <v>0.28100000000000003</v>
      </c>
      <c r="AN70" s="1">
        <v>7.2279999999999997E-2</v>
      </c>
    </row>
    <row r="71" spans="1:40" s="1" customFormat="1" ht="15" x14ac:dyDescent="0.25">
      <c r="A71" s="1">
        <v>8712766</v>
      </c>
      <c r="B71" s="1" t="s">
        <v>36</v>
      </c>
      <c r="C71" s="1">
        <v>17.47</v>
      </c>
      <c r="D71" s="1">
        <v>24.68</v>
      </c>
      <c r="E71" s="2"/>
      <c r="F71" s="2"/>
      <c r="G71" s="2"/>
      <c r="H71" s="2"/>
      <c r="I71" s="2"/>
      <c r="J71" s="2"/>
      <c r="K71" s="2"/>
      <c r="L71" s="2"/>
      <c r="M71" s="1">
        <v>116.1</v>
      </c>
      <c r="N71" s="1">
        <v>984.6</v>
      </c>
      <c r="O71" s="1">
        <v>0.10489999999999999</v>
      </c>
      <c r="P71" s="1">
        <v>0.1603</v>
      </c>
      <c r="Q71" s="1">
        <v>0.21590000000000001</v>
      </c>
      <c r="R71" s="1">
        <v>0.1043</v>
      </c>
      <c r="S71" s="1">
        <v>0.15379999999999999</v>
      </c>
      <c r="T71" s="1">
        <v>6.3649999999999998E-2</v>
      </c>
      <c r="U71" s="1">
        <v>1.0880000000000001</v>
      </c>
      <c r="V71" s="1">
        <v>1.41</v>
      </c>
      <c r="W71" s="1">
        <v>7.3369999999999997</v>
      </c>
      <c r="X71" s="1">
        <v>122.3</v>
      </c>
      <c r="Y71" s="1">
        <v>6.1739999999999998E-3</v>
      </c>
      <c r="Z71" s="1">
        <v>3.6339999999999997E-2</v>
      </c>
      <c r="AA71" s="1">
        <v>4.6440000000000002E-2</v>
      </c>
      <c r="AB71" s="1">
        <v>1.5689999999999999E-2</v>
      </c>
      <c r="AC71" s="1">
        <v>1.145E-2</v>
      </c>
      <c r="AD71" s="1">
        <v>5.1200000000000004E-3</v>
      </c>
      <c r="AE71" s="1">
        <v>23.14</v>
      </c>
      <c r="AF71" s="1">
        <v>32.33</v>
      </c>
      <c r="AG71" s="1">
        <v>155.30000000000001</v>
      </c>
      <c r="AH71" s="1">
        <v>1660</v>
      </c>
      <c r="AI71" s="1">
        <v>0.1376</v>
      </c>
      <c r="AJ71" s="1">
        <v>0.38300000000000001</v>
      </c>
      <c r="AK71" s="1">
        <v>0.48899999999999999</v>
      </c>
      <c r="AL71" s="1">
        <v>0.1721</v>
      </c>
      <c r="AM71" s="1">
        <v>0.216</v>
      </c>
      <c r="AN71" s="1">
        <v>9.2999999999999999E-2</v>
      </c>
    </row>
    <row r="72" spans="1:40" s="1" customFormat="1" ht="15" x14ac:dyDescent="0.25">
      <c r="A72" s="1">
        <v>8712853</v>
      </c>
      <c r="B72" s="1" t="s">
        <v>37</v>
      </c>
      <c r="C72" s="1">
        <v>14.97</v>
      </c>
      <c r="D72" s="1">
        <v>16.95</v>
      </c>
      <c r="E72" s="2"/>
      <c r="F72" s="2"/>
      <c r="G72" s="2"/>
      <c r="H72" s="2"/>
      <c r="I72" s="2"/>
      <c r="J72" s="2"/>
      <c r="K72" s="2"/>
      <c r="L72" s="2"/>
      <c r="M72" s="1">
        <v>96.22</v>
      </c>
      <c r="N72" s="1">
        <v>685.9</v>
      </c>
      <c r="O72" s="1">
        <v>9.8549999999999999E-2</v>
      </c>
      <c r="P72" s="1">
        <v>7.8850000000000003E-2</v>
      </c>
      <c r="Q72" s="1">
        <v>2.6020000000000001E-2</v>
      </c>
      <c r="R72" s="1">
        <v>3.7810000000000003E-2</v>
      </c>
      <c r="S72" s="1">
        <v>0.17799999999999999</v>
      </c>
      <c r="T72" s="1">
        <v>5.6500000000000002E-2</v>
      </c>
      <c r="U72" s="1">
        <v>0.27129999999999999</v>
      </c>
      <c r="V72" s="1">
        <v>1.2170000000000001</v>
      </c>
      <c r="W72" s="1">
        <v>1.893</v>
      </c>
      <c r="X72" s="1">
        <v>24.28</v>
      </c>
      <c r="Y72" s="1">
        <v>5.0800000000000003E-3</v>
      </c>
      <c r="Z72" s="1">
        <v>1.37E-2</v>
      </c>
      <c r="AA72" s="1">
        <v>7.2760000000000003E-3</v>
      </c>
      <c r="AB72" s="1">
        <v>9.0729999999999995E-3</v>
      </c>
      <c r="AC72" s="1">
        <v>1.35E-2</v>
      </c>
      <c r="AD72" s="1">
        <v>1.7060000000000001E-3</v>
      </c>
      <c r="AE72" s="1">
        <v>16.11</v>
      </c>
      <c r="AF72" s="1">
        <v>23</v>
      </c>
      <c r="AG72" s="1">
        <v>104.6</v>
      </c>
      <c r="AH72" s="1">
        <v>793.7</v>
      </c>
      <c r="AI72" s="1">
        <v>0.1216</v>
      </c>
      <c r="AJ72" s="1">
        <v>0.16370000000000001</v>
      </c>
      <c r="AK72" s="1">
        <v>6.6479999999999997E-2</v>
      </c>
      <c r="AL72" s="1">
        <v>8.4849999999999995E-2</v>
      </c>
      <c r="AM72" s="1">
        <v>0.2404</v>
      </c>
      <c r="AN72" s="1">
        <v>6.4280000000000004E-2</v>
      </c>
    </row>
    <row r="73" spans="1:40" s="1" customFormat="1" ht="15" x14ac:dyDescent="0.25">
      <c r="A73" s="1">
        <v>87139402</v>
      </c>
      <c r="B73" s="1" t="s">
        <v>37</v>
      </c>
      <c r="C73" s="1">
        <v>12.32</v>
      </c>
      <c r="D73" s="1">
        <v>12.39</v>
      </c>
      <c r="E73" s="2"/>
      <c r="F73" s="2"/>
      <c r="G73" s="2"/>
      <c r="H73" s="2"/>
      <c r="I73" s="2"/>
      <c r="J73" s="2"/>
      <c r="K73" s="2"/>
      <c r="L73" s="2"/>
      <c r="M73" s="1">
        <v>78.849999999999994</v>
      </c>
      <c r="N73" s="1">
        <v>464.1</v>
      </c>
      <c r="O73" s="1">
        <v>0.1028</v>
      </c>
      <c r="P73" s="1">
        <v>6.9809999999999997E-2</v>
      </c>
      <c r="Q73" s="1">
        <v>3.9870000000000003E-2</v>
      </c>
      <c r="R73" s="1">
        <v>3.6999999999999998E-2</v>
      </c>
      <c r="S73" s="1">
        <v>0.19589999999999999</v>
      </c>
      <c r="T73" s="1">
        <v>5.9549999999999999E-2</v>
      </c>
      <c r="U73" s="1">
        <v>0.23599999999999999</v>
      </c>
      <c r="V73" s="1">
        <v>0.66559999999999997</v>
      </c>
      <c r="W73" s="1">
        <v>1.67</v>
      </c>
      <c r="X73" s="1">
        <v>17.43</v>
      </c>
      <c r="Y73" s="1">
        <v>8.0450000000000001E-3</v>
      </c>
      <c r="Z73" s="1">
        <v>1.18E-2</v>
      </c>
      <c r="AA73" s="1">
        <v>1.6830000000000001E-2</v>
      </c>
      <c r="AB73" s="1">
        <v>1.2409999999999999E-2</v>
      </c>
      <c r="AC73" s="1">
        <v>1.924E-2</v>
      </c>
      <c r="AD73" s="1">
        <v>2.248E-3</v>
      </c>
      <c r="AE73" s="1">
        <v>13.5</v>
      </c>
      <c r="AF73" s="1">
        <v>15.64</v>
      </c>
      <c r="AG73" s="1">
        <v>86.97</v>
      </c>
      <c r="AH73" s="1">
        <v>549.1</v>
      </c>
      <c r="AI73" s="1">
        <v>0.13850000000000001</v>
      </c>
      <c r="AJ73" s="1">
        <v>0.12659999999999999</v>
      </c>
      <c r="AK73" s="1">
        <v>0.1242</v>
      </c>
      <c r="AL73" s="1">
        <v>9.3909999999999993E-2</v>
      </c>
      <c r="AM73" s="1">
        <v>0.28270000000000001</v>
      </c>
      <c r="AN73" s="1">
        <v>6.7710000000000006E-2</v>
      </c>
    </row>
    <row r="74" spans="1:40" s="1" customFormat="1" ht="15" x14ac:dyDescent="0.25">
      <c r="A74" s="1">
        <v>87163</v>
      </c>
      <c r="B74" s="1" t="s">
        <v>36</v>
      </c>
      <c r="C74" s="1">
        <v>13.43</v>
      </c>
      <c r="D74" s="1">
        <v>19.63</v>
      </c>
      <c r="E74" s="2"/>
      <c r="F74" s="2"/>
      <c r="G74" s="2"/>
      <c r="H74" s="2"/>
      <c r="I74" s="2"/>
      <c r="J74" s="2"/>
      <c r="K74" s="2"/>
      <c r="L74" s="2"/>
      <c r="M74" s="1">
        <v>85.84</v>
      </c>
      <c r="N74" s="1">
        <v>565.4</v>
      </c>
      <c r="O74" s="1">
        <v>9.0480000000000005E-2</v>
      </c>
      <c r="P74" s="1">
        <v>6.2880000000000005E-2</v>
      </c>
      <c r="Q74" s="1">
        <v>5.858E-2</v>
      </c>
      <c r="R74" s="1">
        <v>3.4380000000000001E-2</v>
      </c>
      <c r="S74" s="1">
        <v>0.1598</v>
      </c>
      <c r="T74" s="1">
        <v>5.6710000000000003E-2</v>
      </c>
      <c r="U74" s="1">
        <v>0.46970000000000001</v>
      </c>
      <c r="V74" s="1">
        <v>1.147</v>
      </c>
      <c r="W74" s="1">
        <v>3.1419999999999999</v>
      </c>
      <c r="X74" s="1">
        <v>43.4</v>
      </c>
      <c r="Y74" s="1">
        <v>6.0029999999999997E-3</v>
      </c>
      <c r="Z74" s="1">
        <v>1.0630000000000001E-2</v>
      </c>
      <c r="AA74" s="1">
        <v>2.1510000000000001E-2</v>
      </c>
      <c r="AB74" s="1">
        <v>9.443E-3</v>
      </c>
      <c r="AC74" s="1">
        <v>1.52E-2</v>
      </c>
      <c r="AD74" s="1">
        <v>1.8680000000000001E-3</v>
      </c>
      <c r="AE74" s="1">
        <v>17.98</v>
      </c>
      <c r="AF74" s="1">
        <v>29.87</v>
      </c>
      <c r="AG74" s="1">
        <v>116.6</v>
      </c>
      <c r="AH74" s="1">
        <v>993.6</v>
      </c>
      <c r="AI74" s="1">
        <v>0.1401</v>
      </c>
      <c r="AJ74" s="1">
        <v>0.15459999999999999</v>
      </c>
      <c r="AK74" s="1">
        <v>0.26440000000000002</v>
      </c>
      <c r="AL74" s="1">
        <v>0.11600000000000001</v>
      </c>
      <c r="AM74" s="1">
        <v>0.28839999999999999</v>
      </c>
      <c r="AN74" s="1">
        <v>7.3709999999999998E-2</v>
      </c>
    </row>
    <row r="75" spans="1:40" s="1" customFormat="1" ht="15" x14ac:dyDescent="0.25">
      <c r="A75" s="1">
        <v>87164</v>
      </c>
      <c r="B75" s="1" t="s">
        <v>36</v>
      </c>
      <c r="C75" s="1">
        <v>15.46</v>
      </c>
      <c r="D75" s="1">
        <v>11.89</v>
      </c>
      <c r="E75" s="2"/>
      <c r="F75" s="2"/>
      <c r="G75" s="2"/>
      <c r="H75" s="2"/>
      <c r="I75" s="2"/>
      <c r="J75" s="2"/>
      <c r="K75" s="2"/>
      <c r="L75" s="2"/>
      <c r="M75" s="1">
        <v>102.5</v>
      </c>
      <c r="N75" s="1">
        <v>736.9</v>
      </c>
      <c r="O75" s="1">
        <v>0.12570000000000001</v>
      </c>
      <c r="P75" s="1">
        <v>0.1555</v>
      </c>
      <c r="Q75" s="1">
        <v>0.20319999999999999</v>
      </c>
      <c r="R75" s="1">
        <v>0.10970000000000001</v>
      </c>
      <c r="S75" s="1">
        <v>0.1966</v>
      </c>
      <c r="T75" s="1">
        <v>7.0690000000000003E-2</v>
      </c>
      <c r="U75" s="1">
        <v>0.4209</v>
      </c>
      <c r="V75" s="1">
        <v>0.6583</v>
      </c>
      <c r="W75" s="1">
        <v>2.8050000000000002</v>
      </c>
      <c r="X75" s="1">
        <v>44.64</v>
      </c>
      <c r="Y75" s="1">
        <v>5.3930000000000002E-3</v>
      </c>
      <c r="Z75" s="1">
        <v>2.3210000000000001E-2</v>
      </c>
      <c r="AA75" s="1">
        <v>4.3029999999999999E-2</v>
      </c>
      <c r="AB75" s="1">
        <v>1.32E-2</v>
      </c>
      <c r="AC75" s="1">
        <v>1.7919999999999998E-2</v>
      </c>
      <c r="AD75" s="1">
        <v>4.1679999999999998E-3</v>
      </c>
      <c r="AE75" s="1">
        <v>18.79</v>
      </c>
      <c r="AF75" s="1">
        <v>17.04</v>
      </c>
      <c r="AG75" s="1">
        <v>125</v>
      </c>
      <c r="AH75" s="1">
        <v>1102</v>
      </c>
      <c r="AI75" s="1">
        <v>0.15310000000000001</v>
      </c>
      <c r="AJ75" s="1">
        <v>0.35830000000000001</v>
      </c>
      <c r="AK75" s="1">
        <v>0.58299999999999996</v>
      </c>
      <c r="AL75" s="1">
        <v>0.1827</v>
      </c>
      <c r="AM75" s="1">
        <v>0.3216</v>
      </c>
      <c r="AN75" s="1">
        <v>0.10100000000000001</v>
      </c>
    </row>
    <row r="76" spans="1:40" s="1" customFormat="1" ht="15" x14ac:dyDescent="0.25">
      <c r="A76" s="1">
        <v>871641</v>
      </c>
      <c r="B76" s="1" t="s">
        <v>37</v>
      </c>
      <c r="C76" s="1">
        <v>11.08</v>
      </c>
      <c r="D76" s="1">
        <v>14.71</v>
      </c>
      <c r="E76" s="2"/>
      <c r="F76" s="2"/>
      <c r="G76" s="2"/>
      <c r="H76" s="2"/>
      <c r="I76" s="2"/>
      <c r="J76" s="2"/>
      <c r="K76" s="2"/>
      <c r="L76" s="2"/>
      <c r="M76" s="1">
        <v>70.209999999999994</v>
      </c>
      <c r="N76" s="1">
        <v>372.7</v>
      </c>
      <c r="O76" s="1">
        <v>0.10059999999999999</v>
      </c>
      <c r="P76" s="1">
        <v>5.7430000000000002E-2</v>
      </c>
      <c r="Q76" s="1">
        <v>2.3630000000000002E-2</v>
      </c>
      <c r="R76" s="1">
        <v>2.5829999999999999E-2</v>
      </c>
      <c r="S76" s="1">
        <v>0.15659999999999999</v>
      </c>
      <c r="T76" s="1">
        <v>6.6689999999999999E-2</v>
      </c>
      <c r="U76" s="1">
        <v>0.20730000000000001</v>
      </c>
      <c r="V76" s="1">
        <v>1.8049999999999999</v>
      </c>
      <c r="W76" s="1">
        <v>1.377</v>
      </c>
      <c r="X76" s="1">
        <v>19.079999999999998</v>
      </c>
      <c r="Y76" s="1">
        <v>1.4959999999999999E-2</v>
      </c>
      <c r="Z76" s="1">
        <v>2.121E-2</v>
      </c>
      <c r="AA76" s="1">
        <v>1.453E-2</v>
      </c>
      <c r="AB76" s="1">
        <v>1.583E-2</v>
      </c>
      <c r="AC76" s="1">
        <v>3.082E-2</v>
      </c>
      <c r="AD76" s="1">
        <v>4.7850000000000002E-3</v>
      </c>
      <c r="AE76" s="1">
        <v>11.35</v>
      </c>
      <c r="AF76" s="1">
        <v>16.82</v>
      </c>
      <c r="AG76" s="1">
        <v>72.010000000000005</v>
      </c>
      <c r="AH76" s="1">
        <v>396.5</v>
      </c>
      <c r="AI76" s="1">
        <v>0.1216</v>
      </c>
      <c r="AJ76" s="1">
        <v>8.2400000000000001E-2</v>
      </c>
      <c r="AK76" s="1">
        <v>3.9379999999999998E-2</v>
      </c>
      <c r="AL76" s="1">
        <v>4.3060000000000001E-2</v>
      </c>
      <c r="AM76" s="1">
        <v>0.19020000000000001</v>
      </c>
      <c r="AN76" s="1">
        <v>7.3130000000000001E-2</v>
      </c>
    </row>
    <row r="77" spans="1:40" s="1" customFormat="1" ht="15" x14ac:dyDescent="0.25">
      <c r="A77" s="1">
        <v>871642</v>
      </c>
      <c r="B77" s="1" t="s">
        <v>37</v>
      </c>
      <c r="C77" s="1">
        <v>10.66</v>
      </c>
      <c r="D77" s="1">
        <v>15.15</v>
      </c>
      <c r="E77" s="2"/>
      <c r="F77" s="2"/>
      <c r="G77" s="2"/>
      <c r="H77" s="2"/>
      <c r="I77" s="2"/>
      <c r="J77" s="2"/>
      <c r="K77" s="2"/>
      <c r="L77" s="2"/>
      <c r="M77" s="1">
        <v>67.489999999999995</v>
      </c>
      <c r="N77" s="1">
        <v>349.6</v>
      </c>
      <c r="O77" s="1">
        <v>8.7919999999999998E-2</v>
      </c>
      <c r="P77" s="1">
        <v>4.3020000000000003E-2</v>
      </c>
      <c r="Q77" s="1">
        <v>0</v>
      </c>
      <c r="R77" s="1">
        <v>0</v>
      </c>
      <c r="S77" s="1">
        <v>0.1928</v>
      </c>
      <c r="T77" s="1">
        <v>5.9749999999999998E-2</v>
      </c>
      <c r="U77" s="1">
        <v>0.33090000000000003</v>
      </c>
      <c r="V77" s="1">
        <v>1.925</v>
      </c>
      <c r="W77" s="1">
        <v>2.1549999999999998</v>
      </c>
      <c r="X77" s="1">
        <v>21.98</v>
      </c>
      <c r="Y77" s="1">
        <v>8.7130000000000003E-3</v>
      </c>
      <c r="Z77" s="1">
        <v>1.017E-2</v>
      </c>
      <c r="AA77" s="1">
        <v>0</v>
      </c>
      <c r="AB77" s="1">
        <v>0</v>
      </c>
      <c r="AC77" s="1">
        <v>3.2649999999999998E-2</v>
      </c>
      <c r="AD77" s="1">
        <v>1.0020000000000001E-3</v>
      </c>
      <c r="AE77" s="1">
        <v>11.54</v>
      </c>
      <c r="AF77" s="1">
        <v>19.2</v>
      </c>
      <c r="AG77" s="1">
        <v>73.2</v>
      </c>
      <c r="AH77" s="1">
        <v>408.3</v>
      </c>
      <c r="AI77" s="1">
        <v>0.1076</v>
      </c>
      <c r="AJ77" s="1">
        <v>6.7909999999999998E-2</v>
      </c>
      <c r="AK77" s="1">
        <v>0</v>
      </c>
      <c r="AL77" s="1">
        <v>0</v>
      </c>
      <c r="AM77" s="1">
        <v>0.27100000000000002</v>
      </c>
      <c r="AN77" s="1">
        <v>6.164E-2</v>
      </c>
    </row>
    <row r="78" spans="1:40" s="1" customFormat="1" ht="15" x14ac:dyDescent="0.25">
      <c r="A78" s="1">
        <v>872113</v>
      </c>
      <c r="B78" s="1" t="s">
        <v>37</v>
      </c>
      <c r="C78" s="1">
        <v>8.6709999999999994</v>
      </c>
      <c r="D78" s="1">
        <v>14.45</v>
      </c>
      <c r="E78" s="2"/>
      <c r="F78" s="2"/>
      <c r="G78" s="2"/>
      <c r="H78" s="2"/>
      <c r="I78" s="2"/>
      <c r="J78" s="2"/>
      <c r="K78" s="2"/>
      <c r="L78" s="2"/>
      <c r="M78" s="1">
        <v>54.42</v>
      </c>
      <c r="N78" s="1">
        <v>227.2</v>
      </c>
      <c r="O78" s="1">
        <v>9.1380000000000003E-2</v>
      </c>
      <c r="P78" s="1">
        <v>4.2759999999999999E-2</v>
      </c>
      <c r="Q78" s="1">
        <v>0</v>
      </c>
      <c r="R78" s="1">
        <v>0</v>
      </c>
      <c r="S78" s="1">
        <v>0.17219999999999999</v>
      </c>
      <c r="T78" s="1">
        <v>6.7239999999999994E-2</v>
      </c>
      <c r="U78" s="1">
        <v>0.22040000000000001</v>
      </c>
      <c r="V78" s="1">
        <v>0.7873</v>
      </c>
      <c r="W78" s="1">
        <v>1.4350000000000001</v>
      </c>
      <c r="X78" s="1">
        <v>11.36</v>
      </c>
      <c r="Y78" s="1">
        <v>9.1719999999999996E-3</v>
      </c>
      <c r="Z78" s="1">
        <v>8.0070000000000002E-3</v>
      </c>
      <c r="AA78" s="1">
        <v>0</v>
      </c>
      <c r="AB78" s="1">
        <v>0</v>
      </c>
      <c r="AC78" s="1">
        <v>2.7109999999999999E-2</v>
      </c>
      <c r="AD78" s="1">
        <v>3.3990000000000001E-3</v>
      </c>
      <c r="AE78" s="1">
        <v>9.2620000000000005</v>
      </c>
      <c r="AF78" s="1">
        <v>17.04</v>
      </c>
      <c r="AG78" s="1">
        <v>58.36</v>
      </c>
      <c r="AH78" s="1">
        <v>259.2</v>
      </c>
      <c r="AI78" s="1">
        <v>0.1162</v>
      </c>
      <c r="AJ78" s="1">
        <v>7.0569999999999994E-2</v>
      </c>
      <c r="AK78" s="1">
        <v>0</v>
      </c>
      <c r="AL78" s="1">
        <v>0</v>
      </c>
      <c r="AM78" s="1">
        <v>0.25919999999999999</v>
      </c>
      <c r="AN78" s="1">
        <v>7.8479999999999994E-2</v>
      </c>
    </row>
    <row r="79" spans="1:40" s="1" customFormat="1" ht="15" x14ac:dyDescent="0.25">
      <c r="A79" s="1">
        <v>872608</v>
      </c>
      <c r="B79" s="1" t="s">
        <v>37</v>
      </c>
      <c r="C79" s="1">
        <v>9.9039999999999999</v>
      </c>
      <c r="D79" s="1">
        <v>18.059999999999999</v>
      </c>
      <c r="E79" s="2"/>
      <c r="F79" s="2"/>
      <c r="G79" s="2"/>
      <c r="H79" s="2"/>
      <c r="I79" s="2"/>
      <c r="J79" s="2"/>
      <c r="K79" s="2"/>
      <c r="L79" s="2"/>
      <c r="M79" s="1">
        <v>64.599999999999994</v>
      </c>
      <c r="N79" s="1">
        <v>302.39999999999998</v>
      </c>
      <c r="O79" s="1">
        <v>9.6990000000000007E-2</v>
      </c>
      <c r="P79" s="1">
        <v>0.12939999999999999</v>
      </c>
      <c r="Q79" s="1">
        <v>0.13070000000000001</v>
      </c>
      <c r="R79" s="1">
        <v>3.7159999999999999E-2</v>
      </c>
      <c r="S79" s="1">
        <v>0.16689999999999999</v>
      </c>
      <c r="T79" s="1">
        <v>8.1159999999999996E-2</v>
      </c>
      <c r="U79" s="1">
        <v>0.43109999999999998</v>
      </c>
      <c r="V79" s="1">
        <v>2.2610000000000001</v>
      </c>
      <c r="W79" s="1">
        <v>3.1320000000000001</v>
      </c>
      <c r="X79" s="1">
        <v>27.48</v>
      </c>
      <c r="Y79" s="1">
        <v>1.286E-2</v>
      </c>
      <c r="Z79" s="1">
        <v>8.8080000000000006E-2</v>
      </c>
      <c r="AA79" s="1">
        <v>0.1197</v>
      </c>
      <c r="AB79" s="1">
        <v>2.46E-2</v>
      </c>
      <c r="AC79" s="1">
        <v>3.8800000000000001E-2</v>
      </c>
      <c r="AD79" s="1">
        <v>1.7919999999999998E-2</v>
      </c>
      <c r="AE79" s="1">
        <v>11.26</v>
      </c>
      <c r="AF79" s="1">
        <v>24.39</v>
      </c>
      <c r="AG79" s="1">
        <v>73.069999999999993</v>
      </c>
      <c r="AH79" s="1">
        <v>390.2</v>
      </c>
      <c r="AI79" s="1">
        <v>0.13009999999999999</v>
      </c>
      <c r="AJ79" s="1">
        <v>0.29499999999999998</v>
      </c>
      <c r="AK79" s="1">
        <v>0.34860000000000002</v>
      </c>
      <c r="AL79" s="1">
        <v>9.9099999999999994E-2</v>
      </c>
      <c r="AM79" s="1">
        <v>0.26140000000000002</v>
      </c>
      <c r="AN79" s="1">
        <v>0.1162</v>
      </c>
    </row>
    <row r="80" spans="1:40" s="1" customFormat="1" ht="15" x14ac:dyDescent="0.25">
      <c r="A80" s="1">
        <v>87281702</v>
      </c>
      <c r="B80" s="1" t="s">
        <v>36</v>
      </c>
      <c r="C80" s="1">
        <v>16.46</v>
      </c>
      <c r="D80" s="1">
        <v>20.11</v>
      </c>
      <c r="E80" s="2"/>
      <c r="F80" s="2"/>
      <c r="G80" s="2"/>
      <c r="H80" s="2"/>
      <c r="I80" s="2"/>
      <c r="J80" s="2"/>
      <c r="K80" s="2"/>
      <c r="L80" s="2"/>
      <c r="M80" s="1">
        <v>109.3</v>
      </c>
      <c r="N80" s="1">
        <v>832.9</v>
      </c>
      <c r="O80" s="1">
        <v>9.8309999999999995E-2</v>
      </c>
      <c r="P80" s="1">
        <v>0.15559999999999999</v>
      </c>
      <c r="Q80" s="1">
        <v>0.17929999999999999</v>
      </c>
      <c r="R80" s="1">
        <v>8.8660000000000003E-2</v>
      </c>
      <c r="S80" s="1">
        <v>0.1794</v>
      </c>
      <c r="T80" s="1">
        <v>6.3229999999999995E-2</v>
      </c>
      <c r="U80" s="1">
        <v>0.30370000000000003</v>
      </c>
      <c r="V80" s="1">
        <v>1.284</v>
      </c>
      <c r="W80" s="1">
        <v>2.4820000000000002</v>
      </c>
      <c r="X80" s="1">
        <v>31.59</v>
      </c>
      <c r="Y80" s="1">
        <v>6.6270000000000001E-3</v>
      </c>
      <c r="Z80" s="1">
        <v>4.0939999999999997E-2</v>
      </c>
      <c r="AA80" s="1">
        <v>5.3710000000000001E-2</v>
      </c>
      <c r="AB80" s="1">
        <v>1.813E-2</v>
      </c>
      <c r="AC80" s="1">
        <v>1.6820000000000002E-2</v>
      </c>
      <c r="AD80" s="1">
        <v>4.5840000000000004E-3</v>
      </c>
      <c r="AE80" s="1">
        <v>17.79</v>
      </c>
      <c r="AF80" s="1">
        <v>28.45</v>
      </c>
      <c r="AG80" s="1">
        <v>123.5</v>
      </c>
      <c r="AH80" s="1">
        <v>981.2</v>
      </c>
      <c r="AI80" s="1">
        <v>0.14149999999999999</v>
      </c>
      <c r="AJ80" s="1">
        <v>0.4667</v>
      </c>
      <c r="AK80" s="1">
        <v>0.58620000000000005</v>
      </c>
      <c r="AL80" s="1">
        <v>0.20349999999999999</v>
      </c>
      <c r="AM80" s="1">
        <v>0.3054</v>
      </c>
      <c r="AN80" s="1">
        <v>9.5189999999999997E-2</v>
      </c>
    </row>
    <row r="81" spans="1:40" s="1" customFormat="1" ht="15" x14ac:dyDescent="0.25">
      <c r="A81" s="1">
        <v>873357</v>
      </c>
      <c r="B81" s="1" t="s">
        <v>37</v>
      </c>
      <c r="C81" s="1">
        <v>13.01</v>
      </c>
      <c r="D81" s="1">
        <v>22.22</v>
      </c>
      <c r="E81" s="2"/>
      <c r="F81" s="2"/>
      <c r="G81" s="2"/>
      <c r="H81" s="2"/>
      <c r="I81" s="2"/>
      <c r="J81" s="2"/>
      <c r="K81" s="2"/>
      <c r="L81" s="2"/>
      <c r="M81" s="1">
        <v>82.01</v>
      </c>
      <c r="N81" s="1">
        <v>526.4</v>
      </c>
      <c r="O81" s="1">
        <v>6.2509999999999996E-2</v>
      </c>
      <c r="P81" s="1">
        <v>1.9380000000000001E-2</v>
      </c>
      <c r="Q81" s="1">
        <v>1.5950000000000001E-3</v>
      </c>
      <c r="R81" s="1">
        <v>1.8519999999999999E-3</v>
      </c>
      <c r="S81" s="1">
        <v>0.13950000000000001</v>
      </c>
      <c r="T81" s="1">
        <v>5.2339999999999998E-2</v>
      </c>
      <c r="U81" s="1">
        <v>0.1731</v>
      </c>
      <c r="V81" s="1">
        <v>1.1419999999999999</v>
      </c>
      <c r="W81" s="1">
        <v>1.101</v>
      </c>
      <c r="X81" s="1">
        <v>14.34</v>
      </c>
      <c r="Y81" s="1">
        <v>3.418E-3</v>
      </c>
      <c r="Z81" s="1">
        <v>2.2520000000000001E-3</v>
      </c>
      <c r="AA81" s="1">
        <v>1.5950000000000001E-3</v>
      </c>
      <c r="AB81" s="1">
        <v>1.8519999999999999E-3</v>
      </c>
      <c r="AC81" s="1">
        <v>1.6129999999999999E-2</v>
      </c>
      <c r="AD81" s="1">
        <v>9.6829999999999996E-4</v>
      </c>
      <c r="AE81" s="1">
        <v>14</v>
      </c>
      <c r="AF81" s="1">
        <v>29.02</v>
      </c>
      <c r="AG81" s="1">
        <v>88.18</v>
      </c>
      <c r="AH81" s="1">
        <v>608.79999999999995</v>
      </c>
      <c r="AI81" s="1">
        <v>8.1250000000000003E-2</v>
      </c>
      <c r="AJ81" s="1">
        <v>3.4320000000000003E-2</v>
      </c>
      <c r="AK81" s="1">
        <v>7.9769999999999997E-3</v>
      </c>
      <c r="AL81" s="1">
        <v>9.2589999999999999E-3</v>
      </c>
      <c r="AM81" s="1">
        <v>0.22950000000000001</v>
      </c>
      <c r="AN81" s="1">
        <v>5.8430000000000003E-2</v>
      </c>
    </row>
    <row r="82" spans="1:40" s="1" customFormat="1" ht="15" x14ac:dyDescent="0.25">
      <c r="A82" s="1">
        <v>873586</v>
      </c>
      <c r="B82" s="1" t="s">
        <v>37</v>
      </c>
      <c r="C82" s="1">
        <v>12.81</v>
      </c>
      <c r="D82" s="1">
        <v>13.06</v>
      </c>
      <c r="E82" s="2"/>
      <c r="F82" s="2"/>
      <c r="G82" s="2"/>
      <c r="H82" s="2"/>
      <c r="I82" s="2"/>
      <c r="J82" s="2"/>
      <c r="K82" s="2"/>
      <c r="L82" s="2"/>
      <c r="M82" s="1">
        <v>81.290000000000006</v>
      </c>
      <c r="N82" s="1">
        <v>508.8</v>
      </c>
      <c r="O82" s="1">
        <v>8.7389999999999995E-2</v>
      </c>
      <c r="P82" s="1">
        <v>3.7740000000000003E-2</v>
      </c>
      <c r="Q82" s="1">
        <v>9.1929999999999998E-3</v>
      </c>
      <c r="R82" s="1">
        <v>1.3299999999999999E-2</v>
      </c>
      <c r="S82" s="1">
        <v>0.14660000000000001</v>
      </c>
      <c r="T82" s="1">
        <v>6.1330000000000003E-2</v>
      </c>
      <c r="U82" s="1">
        <v>0.28889999999999999</v>
      </c>
      <c r="V82" s="1">
        <v>0.9899</v>
      </c>
      <c r="W82" s="1">
        <v>1.778</v>
      </c>
      <c r="X82" s="1">
        <v>21.79</v>
      </c>
      <c r="Y82" s="1">
        <v>8.5339999999999999E-3</v>
      </c>
      <c r="Z82" s="1">
        <v>6.3639999999999999E-3</v>
      </c>
      <c r="AA82" s="1">
        <v>6.1799999999999997E-3</v>
      </c>
      <c r="AB82" s="1">
        <v>7.4079999999999997E-3</v>
      </c>
      <c r="AC82" s="1">
        <v>1.065E-2</v>
      </c>
      <c r="AD82" s="1">
        <v>3.3509999999999998E-3</v>
      </c>
      <c r="AE82" s="1">
        <v>13.63</v>
      </c>
      <c r="AF82" s="1">
        <v>16.149999999999999</v>
      </c>
      <c r="AG82" s="1">
        <v>86.7</v>
      </c>
      <c r="AH82" s="1">
        <v>570.70000000000005</v>
      </c>
      <c r="AI82" s="1">
        <v>0.1162</v>
      </c>
      <c r="AJ82" s="1">
        <v>5.4449999999999998E-2</v>
      </c>
      <c r="AK82" s="1">
        <v>2.758E-2</v>
      </c>
      <c r="AL82" s="1">
        <v>3.9899999999999998E-2</v>
      </c>
      <c r="AM82" s="1">
        <v>0.17829999999999999</v>
      </c>
      <c r="AN82" s="1">
        <v>7.3190000000000005E-2</v>
      </c>
    </row>
    <row r="83" spans="1:40" s="1" customFormat="1" ht="15" x14ac:dyDescent="0.25">
      <c r="A83" s="1">
        <v>873592</v>
      </c>
      <c r="B83" s="1" t="s">
        <v>36</v>
      </c>
      <c r="C83" s="1">
        <v>27.22</v>
      </c>
      <c r="D83" s="1">
        <v>21.87</v>
      </c>
      <c r="E83" s="2"/>
      <c r="F83" s="2"/>
      <c r="G83" s="2"/>
      <c r="H83" s="2"/>
      <c r="I83" s="2"/>
      <c r="J83" s="2"/>
      <c r="K83" s="2"/>
      <c r="L83" s="2"/>
      <c r="M83" s="1">
        <v>182.1</v>
      </c>
      <c r="N83" s="1">
        <v>2250</v>
      </c>
      <c r="O83" s="1">
        <v>0.1094</v>
      </c>
      <c r="P83" s="1">
        <v>0.19139999999999999</v>
      </c>
      <c r="Q83" s="1">
        <v>0.28710000000000002</v>
      </c>
      <c r="R83" s="1">
        <v>0.18779999999999999</v>
      </c>
      <c r="S83" s="1">
        <v>0.18</v>
      </c>
      <c r="T83" s="1">
        <v>5.7700000000000001E-2</v>
      </c>
      <c r="U83" s="1">
        <v>0.83609999999999995</v>
      </c>
      <c r="V83" s="1">
        <v>1.4810000000000001</v>
      </c>
      <c r="W83" s="1">
        <v>5.82</v>
      </c>
      <c r="X83" s="1">
        <v>128.69999999999999</v>
      </c>
      <c r="Y83" s="1">
        <v>4.6309999999999997E-3</v>
      </c>
      <c r="Z83" s="1">
        <v>2.537E-2</v>
      </c>
      <c r="AA83" s="1">
        <v>3.109E-2</v>
      </c>
      <c r="AB83" s="1">
        <v>1.2409999999999999E-2</v>
      </c>
      <c r="AC83" s="1">
        <v>1.575E-2</v>
      </c>
      <c r="AD83" s="1">
        <v>2.7469999999999999E-3</v>
      </c>
      <c r="AE83" s="1">
        <v>33.119999999999997</v>
      </c>
      <c r="AF83" s="1">
        <v>32.85</v>
      </c>
      <c r="AG83" s="1">
        <v>220.8</v>
      </c>
      <c r="AH83" s="1">
        <v>3216</v>
      </c>
      <c r="AI83" s="1">
        <v>0.1472</v>
      </c>
      <c r="AJ83" s="1">
        <v>0.40339999999999998</v>
      </c>
      <c r="AK83" s="1">
        <v>0.53400000000000003</v>
      </c>
      <c r="AL83" s="1">
        <v>0.26879999999999998</v>
      </c>
      <c r="AM83" s="1">
        <v>0.28560000000000002</v>
      </c>
      <c r="AN83" s="1">
        <v>8.0820000000000003E-2</v>
      </c>
    </row>
    <row r="84" spans="1:40" s="1" customFormat="1" ht="15" x14ac:dyDescent="0.25">
      <c r="A84" s="1">
        <v>873593</v>
      </c>
      <c r="B84" s="1" t="s">
        <v>36</v>
      </c>
      <c r="C84" s="1">
        <v>21.09</v>
      </c>
      <c r="D84" s="1">
        <v>26.57</v>
      </c>
      <c r="E84" s="2"/>
      <c r="F84" s="2"/>
      <c r="G84" s="2"/>
      <c r="H84" s="2"/>
      <c r="I84" s="2"/>
      <c r="J84" s="2"/>
      <c r="K84" s="2"/>
      <c r="L84" s="2"/>
      <c r="M84" s="1">
        <v>142.69999999999999</v>
      </c>
      <c r="N84" s="1">
        <v>1311</v>
      </c>
      <c r="O84" s="1">
        <v>0.11409999999999999</v>
      </c>
      <c r="P84" s="1">
        <v>0.28320000000000001</v>
      </c>
      <c r="Q84" s="1">
        <v>0.2487</v>
      </c>
      <c r="R84" s="1">
        <v>0.14960000000000001</v>
      </c>
      <c r="S84" s="1">
        <v>0.23949999999999999</v>
      </c>
      <c r="T84" s="1">
        <v>7.3980000000000004E-2</v>
      </c>
      <c r="U84" s="1">
        <v>0.62980000000000003</v>
      </c>
      <c r="V84" s="1">
        <v>0.76290000000000002</v>
      </c>
      <c r="W84" s="1">
        <v>4.4139999999999997</v>
      </c>
      <c r="X84" s="1">
        <v>81.459999999999994</v>
      </c>
      <c r="Y84" s="1">
        <v>4.2529999999999998E-3</v>
      </c>
      <c r="Z84" s="1">
        <v>4.759E-2</v>
      </c>
      <c r="AA84" s="1">
        <v>3.8719999999999997E-2</v>
      </c>
      <c r="AB84" s="1">
        <v>1.567E-2</v>
      </c>
      <c r="AC84" s="1">
        <v>1.7979999999999999E-2</v>
      </c>
      <c r="AD84" s="1">
        <v>5.2950000000000002E-3</v>
      </c>
      <c r="AE84" s="1">
        <v>26.68</v>
      </c>
      <c r="AF84" s="1">
        <v>33.479999999999997</v>
      </c>
      <c r="AG84" s="1">
        <v>176.5</v>
      </c>
      <c r="AH84" s="1">
        <v>2089</v>
      </c>
      <c r="AI84" s="1">
        <v>0.14910000000000001</v>
      </c>
      <c r="AJ84" s="1">
        <v>0.75839999999999996</v>
      </c>
      <c r="AK84" s="1">
        <v>0.67800000000000005</v>
      </c>
      <c r="AL84" s="1">
        <v>0.2903</v>
      </c>
      <c r="AM84" s="1">
        <v>0.4098</v>
      </c>
      <c r="AN84" s="1">
        <v>0.12839999999999999</v>
      </c>
    </row>
    <row r="85" spans="1:40" s="1" customFormat="1" ht="15" x14ac:dyDescent="0.25">
      <c r="A85" s="1">
        <v>873701</v>
      </c>
      <c r="B85" s="1" t="s">
        <v>36</v>
      </c>
      <c r="C85" s="1">
        <v>15.7</v>
      </c>
      <c r="D85" s="1">
        <v>20.309999999999999</v>
      </c>
      <c r="E85" s="2"/>
      <c r="F85" s="2"/>
      <c r="G85" s="2"/>
      <c r="H85" s="2"/>
      <c r="I85" s="2"/>
      <c r="J85" s="2"/>
      <c r="K85" s="2"/>
      <c r="L85" s="2"/>
      <c r="M85" s="1">
        <v>101.2</v>
      </c>
      <c r="N85" s="1">
        <v>766.6</v>
      </c>
      <c r="O85" s="1">
        <v>9.597E-2</v>
      </c>
      <c r="P85" s="1">
        <v>8.7989999999999999E-2</v>
      </c>
      <c r="Q85" s="1">
        <v>6.5930000000000002E-2</v>
      </c>
      <c r="R85" s="1">
        <v>5.1889999999999999E-2</v>
      </c>
      <c r="S85" s="1">
        <v>0.1618</v>
      </c>
      <c r="T85" s="1">
        <v>5.5489999999999998E-2</v>
      </c>
      <c r="U85" s="1">
        <v>0.36990000000000001</v>
      </c>
      <c r="V85" s="1">
        <v>1.1499999999999999</v>
      </c>
      <c r="W85" s="1">
        <v>2.4060000000000001</v>
      </c>
      <c r="X85" s="1">
        <v>40.98</v>
      </c>
      <c r="Y85" s="1">
        <v>4.6259999999999999E-3</v>
      </c>
      <c r="Z85" s="1">
        <v>2.2630000000000001E-2</v>
      </c>
      <c r="AA85" s="1">
        <v>1.9539999999999998E-2</v>
      </c>
      <c r="AB85" s="1">
        <v>9.7669999999999996E-3</v>
      </c>
      <c r="AC85" s="1">
        <v>1.5469999999999999E-2</v>
      </c>
      <c r="AD85" s="1">
        <v>2.4299999999999999E-3</v>
      </c>
      <c r="AE85" s="1">
        <v>20.11</v>
      </c>
      <c r="AF85" s="1">
        <v>32.82</v>
      </c>
      <c r="AG85" s="1">
        <v>129.30000000000001</v>
      </c>
      <c r="AH85" s="1">
        <v>1269</v>
      </c>
      <c r="AI85" s="1">
        <v>0.1414</v>
      </c>
      <c r="AJ85" s="1">
        <v>0.35470000000000002</v>
      </c>
      <c r="AK85" s="1">
        <v>0.29020000000000001</v>
      </c>
      <c r="AL85" s="1">
        <v>0.15409999999999999</v>
      </c>
      <c r="AM85" s="1">
        <v>0.34370000000000001</v>
      </c>
      <c r="AN85" s="1">
        <v>8.6309999999999998E-2</v>
      </c>
    </row>
    <row r="86" spans="1:40" s="1" customFormat="1" ht="15" x14ac:dyDescent="0.25">
      <c r="A86" s="1">
        <v>873843</v>
      </c>
      <c r="B86" s="1" t="s">
        <v>37</v>
      </c>
      <c r="C86" s="1">
        <v>11.41</v>
      </c>
      <c r="D86" s="1">
        <v>14.92</v>
      </c>
      <c r="E86" s="2"/>
      <c r="F86" s="2"/>
      <c r="G86" s="2"/>
      <c r="H86" s="2"/>
      <c r="I86" s="2"/>
      <c r="J86" s="2"/>
      <c r="K86" s="2"/>
      <c r="L86" s="2"/>
      <c r="M86" s="1">
        <v>73.53</v>
      </c>
      <c r="N86" s="1">
        <v>402</v>
      </c>
      <c r="O86" s="1">
        <v>9.0590000000000004E-2</v>
      </c>
      <c r="P86" s="1">
        <v>8.1549999999999997E-2</v>
      </c>
      <c r="Q86" s="1">
        <v>6.1809999999999997E-2</v>
      </c>
      <c r="R86" s="1">
        <v>2.3609999999999999E-2</v>
      </c>
      <c r="S86" s="1">
        <v>0.1167</v>
      </c>
      <c r="T86" s="1">
        <v>6.2170000000000003E-2</v>
      </c>
      <c r="U86" s="1">
        <v>0.33439999999999998</v>
      </c>
      <c r="V86" s="1">
        <v>1.1080000000000001</v>
      </c>
      <c r="W86" s="1">
        <v>1.9019999999999999</v>
      </c>
      <c r="X86" s="1">
        <v>22.77</v>
      </c>
      <c r="Y86" s="1">
        <v>7.3559999999999997E-3</v>
      </c>
      <c r="Z86" s="1">
        <v>3.7280000000000001E-2</v>
      </c>
      <c r="AA86" s="1">
        <v>5.9150000000000001E-2</v>
      </c>
      <c r="AB86" s="1">
        <v>1.712E-2</v>
      </c>
      <c r="AC86" s="1">
        <v>2.1649999999999999E-2</v>
      </c>
      <c r="AD86" s="1">
        <v>4.7840000000000001E-3</v>
      </c>
      <c r="AE86" s="1">
        <v>12.37</v>
      </c>
      <c r="AF86" s="1">
        <v>17.7</v>
      </c>
      <c r="AG86" s="1">
        <v>79.12</v>
      </c>
      <c r="AH86" s="1">
        <v>467.2</v>
      </c>
      <c r="AI86" s="1">
        <v>0.11210000000000001</v>
      </c>
      <c r="AJ86" s="1">
        <v>0.161</v>
      </c>
      <c r="AK86" s="1">
        <v>0.1648</v>
      </c>
      <c r="AL86" s="1">
        <v>6.2960000000000002E-2</v>
      </c>
      <c r="AM86" s="1">
        <v>0.18110000000000001</v>
      </c>
      <c r="AN86" s="1">
        <v>7.4270000000000003E-2</v>
      </c>
    </row>
    <row r="87" spans="1:40" s="1" customFormat="1" ht="15" x14ac:dyDescent="0.25">
      <c r="A87" s="1">
        <v>873885</v>
      </c>
      <c r="B87" s="1" t="s">
        <v>36</v>
      </c>
      <c r="C87" s="1">
        <v>15.28</v>
      </c>
      <c r="D87" s="1">
        <v>22.41</v>
      </c>
      <c r="E87" s="2"/>
      <c r="F87" s="2"/>
      <c r="G87" s="2"/>
      <c r="H87" s="2"/>
      <c r="I87" s="2"/>
      <c r="J87" s="2"/>
      <c r="K87" s="2"/>
      <c r="L87" s="2"/>
      <c r="M87" s="1">
        <v>98.92</v>
      </c>
      <c r="N87" s="1">
        <v>710.6</v>
      </c>
      <c r="O87" s="1">
        <v>9.0569999999999998E-2</v>
      </c>
      <c r="P87" s="1">
        <v>0.1052</v>
      </c>
      <c r="Q87" s="1">
        <v>5.3749999999999999E-2</v>
      </c>
      <c r="R87" s="1">
        <v>3.2629999999999999E-2</v>
      </c>
      <c r="S87" s="1">
        <v>0.17269999999999999</v>
      </c>
      <c r="T87" s="1">
        <v>6.3170000000000004E-2</v>
      </c>
      <c r="U87" s="1">
        <v>0.2054</v>
      </c>
      <c r="V87" s="1">
        <v>0.49559999999999998</v>
      </c>
      <c r="W87" s="1">
        <v>1.3440000000000001</v>
      </c>
      <c r="X87" s="1">
        <v>19.53</v>
      </c>
      <c r="Y87" s="1">
        <v>3.29E-3</v>
      </c>
      <c r="Z87" s="1">
        <v>1.3950000000000001E-2</v>
      </c>
      <c r="AA87" s="1">
        <v>1.7739999999999999E-2</v>
      </c>
      <c r="AB87" s="1">
        <v>6.0089999999999996E-3</v>
      </c>
      <c r="AC87" s="1">
        <v>1.172E-2</v>
      </c>
      <c r="AD87" s="1">
        <v>2.575E-3</v>
      </c>
      <c r="AE87" s="1">
        <v>17.8</v>
      </c>
      <c r="AF87" s="1">
        <v>28.03</v>
      </c>
      <c r="AG87" s="1">
        <v>113.8</v>
      </c>
      <c r="AH87" s="1">
        <v>973.1</v>
      </c>
      <c r="AI87" s="1">
        <v>0.13009999999999999</v>
      </c>
      <c r="AJ87" s="1">
        <v>0.32990000000000003</v>
      </c>
      <c r="AK87" s="1">
        <v>0.36299999999999999</v>
      </c>
      <c r="AL87" s="1">
        <v>0.1226</v>
      </c>
      <c r="AM87" s="1">
        <v>0.3175</v>
      </c>
      <c r="AN87" s="1">
        <v>9.7720000000000001E-2</v>
      </c>
    </row>
    <row r="88" spans="1:40" s="1" customFormat="1" ht="15" x14ac:dyDescent="0.25">
      <c r="A88" s="1">
        <v>874158</v>
      </c>
      <c r="B88" s="1" t="s">
        <v>37</v>
      </c>
      <c r="C88" s="1">
        <v>10.08</v>
      </c>
      <c r="D88" s="1">
        <v>15.11</v>
      </c>
      <c r="E88" s="2"/>
      <c r="F88" s="2"/>
      <c r="G88" s="2"/>
      <c r="H88" s="2"/>
      <c r="I88" s="2"/>
      <c r="J88" s="2"/>
      <c r="K88" s="2"/>
      <c r="L88" s="2"/>
      <c r="M88" s="1">
        <v>63.76</v>
      </c>
      <c r="N88" s="1">
        <v>317.5</v>
      </c>
      <c r="O88" s="1">
        <v>9.2670000000000002E-2</v>
      </c>
      <c r="P88" s="1">
        <v>4.6949999999999999E-2</v>
      </c>
      <c r="Q88" s="1">
        <v>1.5969999999999999E-3</v>
      </c>
      <c r="R88" s="1">
        <v>2.4039999999999999E-3</v>
      </c>
      <c r="S88" s="1">
        <v>0.17030000000000001</v>
      </c>
      <c r="T88" s="1">
        <v>6.0479999999999999E-2</v>
      </c>
      <c r="U88" s="1">
        <v>0.42449999999999999</v>
      </c>
      <c r="V88" s="1">
        <v>1.268</v>
      </c>
      <c r="W88" s="1">
        <v>2.68</v>
      </c>
      <c r="X88" s="1">
        <v>26.43</v>
      </c>
      <c r="Y88" s="1">
        <v>1.439E-2</v>
      </c>
      <c r="Z88" s="1">
        <v>1.2E-2</v>
      </c>
      <c r="AA88" s="1">
        <v>1.5969999999999999E-3</v>
      </c>
      <c r="AB88" s="1">
        <v>2.4039999999999999E-3</v>
      </c>
      <c r="AC88" s="1">
        <v>2.538E-2</v>
      </c>
      <c r="AD88" s="1">
        <v>3.47E-3</v>
      </c>
      <c r="AE88" s="1">
        <v>11.87</v>
      </c>
      <c r="AF88" s="1">
        <v>21.18</v>
      </c>
      <c r="AG88" s="1">
        <v>75.39</v>
      </c>
      <c r="AH88" s="1">
        <v>437</v>
      </c>
      <c r="AI88" s="1">
        <v>0.15210000000000001</v>
      </c>
      <c r="AJ88" s="1">
        <v>0.1019</v>
      </c>
      <c r="AK88" s="1">
        <v>6.9199999999999999E-3</v>
      </c>
      <c r="AL88" s="1">
        <v>1.042E-2</v>
      </c>
      <c r="AM88" s="1">
        <v>0.29330000000000001</v>
      </c>
      <c r="AN88" s="1">
        <v>7.6969999999999997E-2</v>
      </c>
    </row>
    <row r="89" spans="1:40" s="1" customFormat="1" ht="15" x14ac:dyDescent="0.25">
      <c r="A89" s="1">
        <v>874217</v>
      </c>
      <c r="B89" s="1" t="s">
        <v>36</v>
      </c>
      <c r="C89" s="1">
        <v>18.309999999999999</v>
      </c>
      <c r="D89" s="1">
        <v>18.579999999999998</v>
      </c>
      <c r="E89" s="2"/>
      <c r="F89" s="2"/>
      <c r="G89" s="2"/>
      <c r="H89" s="2"/>
      <c r="I89" s="2"/>
      <c r="J89" s="2"/>
      <c r="K89" s="2"/>
      <c r="L89" s="2"/>
      <c r="M89" s="1">
        <v>118.6</v>
      </c>
      <c r="N89" s="1">
        <v>1041</v>
      </c>
      <c r="O89" s="1">
        <v>8.5879999999999998E-2</v>
      </c>
      <c r="P89" s="1">
        <v>8.4680000000000005E-2</v>
      </c>
      <c r="Q89" s="1">
        <v>8.1689999999999999E-2</v>
      </c>
      <c r="R89" s="1">
        <v>5.8139999999999997E-2</v>
      </c>
      <c r="S89" s="1">
        <v>0.16209999999999999</v>
      </c>
      <c r="T89" s="1">
        <v>5.425E-2</v>
      </c>
      <c r="U89" s="1">
        <v>0.25769999999999998</v>
      </c>
      <c r="V89" s="1">
        <v>0.47570000000000001</v>
      </c>
      <c r="W89" s="1">
        <v>1.8169999999999999</v>
      </c>
      <c r="X89" s="1">
        <v>28.92</v>
      </c>
      <c r="Y89" s="1">
        <v>2.8660000000000001E-3</v>
      </c>
      <c r="Z89" s="1">
        <v>9.1809999999999999E-3</v>
      </c>
      <c r="AA89" s="1">
        <v>1.4120000000000001E-2</v>
      </c>
      <c r="AB89" s="1">
        <v>6.7190000000000001E-3</v>
      </c>
      <c r="AC89" s="1">
        <v>1.069E-2</v>
      </c>
      <c r="AD89" s="1">
        <v>1.0870000000000001E-3</v>
      </c>
      <c r="AE89" s="1">
        <v>21.31</v>
      </c>
      <c r="AF89" s="1">
        <v>26.36</v>
      </c>
      <c r="AG89" s="1">
        <v>139.19999999999999</v>
      </c>
      <c r="AH89" s="1">
        <v>1410</v>
      </c>
      <c r="AI89" s="1">
        <v>0.1234</v>
      </c>
      <c r="AJ89" s="1">
        <v>0.2445</v>
      </c>
      <c r="AK89" s="1">
        <v>0.3538</v>
      </c>
      <c r="AL89" s="1">
        <v>0.15709999999999999</v>
      </c>
      <c r="AM89" s="1">
        <v>0.3206</v>
      </c>
      <c r="AN89" s="1">
        <v>6.9379999999999997E-2</v>
      </c>
    </row>
    <row r="90" spans="1:40" s="1" customFormat="1" ht="15" x14ac:dyDescent="0.25">
      <c r="A90" s="1">
        <v>874373</v>
      </c>
      <c r="B90" s="1" t="s">
        <v>37</v>
      </c>
      <c r="C90" s="1">
        <v>11.71</v>
      </c>
      <c r="D90" s="1">
        <v>17.190000000000001</v>
      </c>
      <c r="E90" s="2"/>
      <c r="F90" s="2"/>
      <c r="G90" s="2"/>
      <c r="H90" s="2"/>
      <c r="I90" s="2"/>
      <c r="J90" s="2"/>
      <c r="K90" s="2"/>
      <c r="L90" s="2"/>
      <c r="M90" s="1">
        <v>74.680000000000007</v>
      </c>
      <c r="N90" s="1">
        <v>420.3</v>
      </c>
      <c r="O90" s="1">
        <v>9.7739999999999994E-2</v>
      </c>
      <c r="P90" s="1">
        <v>6.1409999999999999E-2</v>
      </c>
      <c r="Q90" s="1">
        <v>3.8089999999999999E-2</v>
      </c>
      <c r="R90" s="1">
        <v>3.2390000000000002E-2</v>
      </c>
      <c r="S90" s="1">
        <v>0.15160000000000001</v>
      </c>
      <c r="T90" s="1">
        <v>6.0949999999999997E-2</v>
      </c>
      <c r="U90" s="1">
        <v>0.24510000000000001</v>
      </c>
      <c r="V90" s="1">
        <v>0.76549999999999996</v>
      </c>
      <c r="W90" s="1">
        <v>1.742</v>
      </c>
      <c r="X90" s="1">
        <v>17.86</v>
      </c>
      <c r="Y90" s="1">
        <v>6.9049999999999997E-3</v>
      </c>
      <c r="Z90" s="1">
        <v>8.7039999999999999E-3</v>
      </c>
      <c r="AA90" s="1">
        <v>1.9779999999999999E-2</v>
      </c>
      <c r="AB90" s="1">
        <v>1.1849999999999999E-2</v>
      </c>
      <c r="AC90" s="1">
        <v>1.8970000000000001E-2</v>
      </c>
      <c r="AD90" s="1">
        <v>1.671E-3</v>
      </c>
      <c r="AE90" s="1">
        <v>13.01</v>
      </c>
      <c r="AF90" s="1">
        <v>21.39</v>
      </c>
      <c r="AG90" s="1">
        <v>84.42</v>
      </c>
      <c r="AH90" s="1">
        <v>521.5</v>
      </c>
      <c r="AI90" s="1">
        <v>0.1323</v>
      </c>
      <c r="AJ90" s="1">
        <v>0.104</v>
      </c>
      <c r="AK90" s="1">
        <v>0.15210000000000001</v>
      </c>
      <c r="AL90" s="1">
        <v>0.1099</v>
      </c>
      <c r="AM90" s="1">
        <v>0.25719999999999998</v>
      </c>
      <c r="AN90" s="1">
        <v>7.0970000000000005E-2</v>
      </c>
    </row>
    <row r="91" spans="1:40" s="1" customFormat="1" ht="15" x14ac:dyDescent="0.25">
      <c r="A91" s="1">
        <v>874662</v>
      </c>
      <c r="B91" s="1" t="s">
        <v>37</v>
      </c>
      <c r="C91" s="1">
        <v>11.81</v>
      </c>
      <c r="D91" s="1">
        <v>17.39</v>
      </c>
      <c r="E91" s="2"/>
      <c r="F91" s="2"/>
      <c r="G91" s="2"/>
      <c r="H91" s="2"/>
      <c r="I91" s="2"/>
      <c r="J91" s="2"/>
      <c r="K91" s="2"/>
      <c r="L91" s="2"/>
      <c r="M91" s="1">
        <v>75.27</v>
      </c>
      <c r="N91" s="1">
        <v>428.9</v>
      </c>
      <c r="O91" s="1">
        <v>0.1007</v>
      </c>
      <c r="P91" s="1">
        <v>5.5620000000000003E-2</v>
      </c>
      <c r="Q91" s="1">
        <v>2.3529999999999999E-2</v>
      </c>
      <c r="R91" s="1">
        <v>1.553E-2</v>
      </c>
      <c r="S91" s="1">
        <v>0.17180000000000001</v>
      </c>
      <c r="T91" s="1">
        <v>5.7799999999999997E-2</v>
      </c>
      <c r="U91" s="1">
        <v>0.18590000000000001</v>
      </c>
      <c r="V91" s="1">
        <v>1.9259999999999999</v>
      </c>
      <c r="W91" s="1">
        <v>1.0109999999999999</v>
      </c>
      <c r="X91" s="1">
        <v>14.47</v>
      </c>
      <c r="Y91" s="1">
        <v>7.8309999999999994E-3</v>
      </c>
      <c r="Z91" s="1">
        <v>8.7760000000000008E-3</v>
      </c>
      <c r="AA91" s="1">
        <v>1.5559999999999999E-2</v>
      </c>
      <c r="AB91" s="1">
        <v>6.2399999999999999E-3</v>
      </c>
      <c r="AC91" s="1">
        <v>3.1390000000000001E-2</v>
      </c>
      <c r="AD91" s="1">
        <v>1.9880000000000002E-3</v>
      </c>
      <c r="AE91" s="1">
        <v>12.57</v>
      </c>
      <c r="AF91" s="1">
        <v>26.48</v>
      </c>
      <c r="AG91" s="1">
        <v>79.569999999999993</v>
      </c>
      <c r="AH91" s="1">
        <v>489.5</v>
      </c>
      <c r="AI91" s="1">
        <v>0.1356</v>
      </c>
      <c r="AJ91" s="1">
        <v>0.1</v>
      </c>
      <c r="AK91" s="1">
        <v>8.8029999999999997E-2</v>
      </c>
      <c r="AL91" s="1">
        <v>4.3060000000000001E-2</v>
      </c>
      <c r="AM91" s="1">
        <v>0.32</v>
      </c>
      <c r="AN91" s="1">
        <v>6.5759999999999999E-2</v>
      </c>
    </row>
    <row r="92" spans="1:40" s="1" customFormat="1" ht="15" x14ac:dyDescent="0.25">
      <c r="A92" s="1">
        <v>874839</v>
      </c>
      <c r="B92" s="1" t="s">
        <v>37</v>
      </c>
      <c r="C92" s="1">
        <v>12.3</v>
      </c>
      <c r="D92" s="1">
        <v>15.9</v>
      </c>
      <c r="E92" s="2"/>
      <c r="F92" s="2"/>
      <c r="G92" s="2"/>
      <c r="H92" s="2"/>
      <c r="I92" s="2"/>
      <c r="J92" s="2"/>
      <c r="K92" s="2"/>
      <c r="L92" s="2"/>
      <c r="M92" s="1">
        <v>78.83</v>
      </c>
      <c r="N92" s="1">
        <v>463.7</v>
      </c>
      <c r="O92" s="1">
        <v>8.0799999999999997E-2</v>
      </c>
      <c r="P92" s="1">
        <v>7.2529999999999997E-2</v>
      </c>
      <c r="Q92" s="1">
        <v>3.8440000000000002E-2</v>
      </c>
      <c r="R92" s="1">
        <v>1.6539999999999999E-2</v>
      </c>
      <c r="S92" s="1">
        <v>0.16669999999999999</v>
      </c>
      <c r="T92" s="1">
        <v>5.4739999999999997E-2</v>
      </c>
      <c r="U92" s="1">
        <v>0.2382</v>
      </c>
      <c r="V92" s="1">
        <v>0.83550000000000002</v>
      </c>
      <c r="W92" s="1">
        <v>1.6870000000000001</v>
      </c>
      <c r="X92" s="1">
        <v>18.32</v>
      </c>
      <c r="Y92" s="1">
        <v>5.9959999999999996E-3</v>
      </c>
      <c r="Z92" s="1">
        <v>2.2120000000000001E-2</v>
      </c>
      <c r="AA92" s="1">
        <v>2.1170000000000001E-2</v>
      </c>
      <c r="AB92" s="1">
        <v>6.4330000000000003E-3</v>
      </c>
      <c r="AC92" s="1">
        <v>2.0250000000000001E-2</v>
      </c>
      <c r="AD92" s="1">
        <v>1.725E-3</v>
      </c>
      <c r="AE92" s="1">
        <v>13.35</v>
      </c>
      <c r="AF92" s="1">
        <v>19.59</v>
      </c>
      <c r="AG92" s="1">
        <v>86.65</v>
      </c>
      <c r="AH92" s="1">
        <v>546.70000000000005</v>
      </c>
      <c r="AI92" s="1">
        <v>0.1096</v>
      </c>
      <c r="AJ92" s="1">
        <v>0.16500000000000001</v>
      </c>
      <c r="AK92" s="1">
        <v>0.14230000000000001</v>
      </c>
      <c r="AL92" s="1">
        <v>4.8149999999999998E-2</v>
      </c>
      <c r="AM92" s="1">
        <v>0.2482</v>
      </c>
      <c r="AN92" s="1">
        <v>6.3060000000000005E-2</v>
      </c>
    </row>
    <row r="93" spans="1:40" s="1" customFormat="1" ht="15" x14ac:dyDescent="0.25">
      <c r="A93" s="1">
        <v>874858</v>
      </c>
      <c r="B93" s="1" t="s">
        <v>36</v>
      </c>
      <c r="C93" s="1">
        <v>14.22</v>
      </c>
      <c r="D93" s="1">
        <v>23.12</v>
      </c>
      <c r="E93" s="2"/>
      <c r="F93" s="2"/>
      <c r="G93" s="2"/>
      <c r="H93" s="2"/>
      <c r="I93" s="2"/>
      <c r="J93" s="2"/>
      <c r="K93" s="2"/>
      <c r="L93" s="2"/>
      <c r="M93" s="1">
        <v>94.37</v>
      </c>
      <c r="N93" s="1">
        <v>609.9</v>
      </c>
      <c r="O93" s="1">
        <v>0.1075</v>
      </c>
      <c r="P93" s="1">
        <v>0.24129999999999999</v>
      </c>
      <c r="Q93" s="1">
        <v>0.1981</v>
      </c>
      <c r="R93" s="1">
        <v>6.6180000000000003E-2</v>
      </c>
      <c r="S93" s="1">
        <v>0.2384</v>
      </c>
      <c r="T93" s="1">
        <v>7.5420000000000001E-2</v>
      </c>
      <c r="U93" s="1">
        <v>0.28599999999999998</v>
      </c>
      <c r="V93" s="1">
        <v>2.11</v>
      </c>
      <c r="W93" s="1">
        <v>2.1120000000000001</v>
      </c>
      <c r="X93" s="1">
        <v>31.72</v>
      </c>
      <c r="Y93" s="1">
        <v>7.9699999999999997E-3</v>
      </c>
      <c r="Z93" s="1">
        <v>0.13539999999999999</v>
      </c>
      <c r="AA93" s="1">
        <v>0.1166</v>
      </c>
      <c r="AB93" s="1">
        <v>1.6660000000000001E-2</v>
      </c>
      <c r="AC93" s="1">
        <v>5.1130000000000002E-2</v>
      </c>
      <c r="AD93" s="1">
        <v>1.172E-2</v>
      </c>
      <c r="AE93" s="1">
        <v>15.74</v>
      </c>
      <c r="AF93" s="1">
        <v>37.18</v>
      </c>
      <c r="AG93" s="1">
        <v>106.4</v>
      </c>
      <c r="AH93" s="1">
        <v>762.4</v>
      </c>
      <c r="AI93" s="1">
        <v>0.15329999999999999</v>
      </c>
      <c r="AJ93" s="1">
        <v>0.93269999999999997</v>
      </c>
      <c r="AK93" s="1">
        <v>0.8488</v>
      </c>
      <c r="AL93" s="1">
        <v>0.1772</v>
      </c>
      <c r="AM93" s="1">
        <v>0.51659999999999995</v>
      </c>
      <c r="AN93" s="1">
        <v>0.14460000000000001</v>
      </c>
    </row>
    <row r="94" spans="1:40" s="1" customFormat="1" ht="15" x14ac:dyDescent="0.25">
      <c r="A94" s="1">
        <v>875093</v>
      </c>
      <c r="B94" s="1" t="s">
        <v>37</v>
      </c>
      <c r="C94" s="1">
        <v>12.77</v>
      </c>
      <c r="D94" s="1">
        <v>21.41</v>
      </c>
      <c r="E94" s="2"/>
      <c r="F94" s="2"/>
      <c r="G94" s="2"/>
      <c r="H94" s="2"/>
      <c r="I94" s="2"/>
      <c r="J94" s="2"/>
      <c r="K94" s="2"/>
      <c r="L94" s="2"/>
      <c r="M94" s="1">
        <v>82.02</v>
      </c>
      <c r="N94" s="1">
        <v>507.4</v>
      </c>
      <c r="O94" s="1">
        <v>8.7489999999999998E-2</v>
      </c>
      <c r="P94" s="1">
        <v>6.6009999999999999E-2</v>
      </c>
      <c r="Q94" s="1">
        <v>3.1119999999999998E-2</v>
      </c>
      <c r="R94" s="1">
        <v>2.8639999999999999E-2</v>
      </c>
      <c r="S94" s="1">
        <v>0.1694</v>
      </c>
      <c r="T94" s="1">
        <v>6.2869999999999995E-2</v>
      </c>
      <c r="U94" s="1">
        <v>0.73109999999999997</v>
      </c>
      <c r="V94" s="1">
        <v>1.748</v>
      </c>
      <c r="W94" s="1">
        <v>5.1180000000000003</v>
      </c>
      <c r="X94" s="1">
        <v>53.65</v>
      </c>
      <c r="Y94" s="1">
        <v>4.5710000000000004E-3</v>
      </c>
      <c r="Z94" s="1">
        <v>1.7899999999999999E-2</v>
      </c>
      <c r="AA94" s="1">
        <v>2.1760000000000002E-2</v>
      </c>
      <c r="AB94" s="1">
        <v>1.7569999999999999E-2</v>
      </c>
      <c r="AC94" s="1">
        <v>3.3730000000000003E-2</v>
      </c>
      <c r="AD94" s="1">
        <v>5.875E-3</v>
      </c>
      <c r="AE94" s="1">
        <v>13.75</v>
      </c>
      <c r="AF94" s="1">
        <v>23.5</v>
      </c>
      <c r="AG94" s="1">
        <v>89.04</v>
      </c>
      <c r="AH94" s="1">
        <v>579.5</v>
      </c>
      <c r="AI94" s="1">
        <v>9.3880000000000005E-2</v>
      </c>
      <c r="AJ94" s="1">
        <v>8.9779999999999999E-2</v>
      </c>
      <c r="AK94" s="1">
        <v>5.1860000000000003E-2</v>
      </c>
      <c r="AL94" s="1">
        <v>4.7730000000000002E-2</v>
      </c>
      <c r="AM94" s="1">
        <v>0.21790000000000001</v>
      </c>
      <c r="AN94" s="1">
        <v>6.8709999999999993E-2</v>
      </c>
    </row>
    <row r="95" spans="1:40" s="1" customFormat="1" ht="15" x14ac:dyDescent="0.25">
      <c r="A95" s="1">
        <v>875099</v>
      </c>
      <c r="B95" s="1" t="s">
        <v>37</v>
      </c>
      <c r="C95" s="1">
        <v>9.7200000000000006</v>
      </c>
      <c r="D95" s="1">
        <v>18.22</v>
      </c>
      <c r="E95" s="2"/>
      <c r="F95" s="2"/>
      <c r="G95" s="2"/>
      <c r="H95" s="2"/>
      <c r="I95" s="2"/>
      <c r="J95" s="2"/>
      <c r="K95" s="2"/>
      <c r="L95" s="2"/>
      <c r="M95" s="1">
        <v>60.73</v>
      </c>
      <c r="N95" s="1">
        <v>288.10000000000002</v>
      </c>
      <c r="O95" s="1">
        <v>6.9500000000000006E-2</v>
      </c>
      <c r="P95" s="1">
        <v>2.3439999999999999E-2</v>
      </c>
      <c r="Q95" s="1">
        <v>0</v>
      </c>
      <c r="R95" s="1">
        <v>0</v>
      </c>
      <c r="S95" s="1">
        <v>0.1653</v>
      </c>
      <c r="T95" s="1">
        <v>6.447E-2</v>
      </c>
      <c r="U95" s="1">
        <v>0.35389999999999999</v>
      </c>
      <c r="V95" s="1">
        <v>4.8849999999999998</v>
      </c>
      <c r="W95" s="1">
        <v>2.23</v>
      </c>
      <c r="X95" s="1">
        <v>21.69</v>
      </c>
      <c r="Y95" s="1">
        <v>1.7129999999999999E-3</v>
      </c>
      <c r="Z95" s="1">
        <v>6.7359999999999998E-3</v>
      </c>
      <c r="AA95" s="1">
        <v>0</v>
      </c>
      <c r="AB95" s="1">
        <v>0</v>
      </c>
      <c r="AC95" s="1">
        <v>3.7990000000000003E-2</v>
      </c>
      <c r="AD95" s="1">
        <v>1.688E-3</v>
      </c>
      <c r="AE95" s="1">
        <v>9.968</v>
      </c>
      <c r="AF95" s="1">
        <v>20.83</v>
      </c>
      <c r="AG95" s="1">
        <v>62.25</v>
      </c>
      <c r="AH95" s="1">
        <v>303.8</v>
      </c>
      <c r="AI95" s="1">
        <v>7.1169999999999997E-2</v>
      </c>
      <c r="AJ95" s="1">
        <v>2.7289999999999998E-2</v>
      </c>
      <c r="AK95" s="1">
        <v>0</v>
      </c>
      <c r="AL95" s="1">
        <v>0</v>
      </c>
      <c r="AM95" s="1">
        <v>0.19089999999999999</v>
      </c>
      <c r="AN95" s="1">
        <v>6.5589999999999996E-2</v>
      </c>
    </row>
    <row r="96" spans="1:40" s="1" customFormat="1" ht="15" x14ac:dyDescent="0.25">
      <c r="A96" s="1">
        <v>875263</v>
      </c>
      <c r="B96" s="1" t="s">
        <v>36</v>
      </c>
      <c r="C96" s="1">
        <v>12.34</v>
      </c>
      <c r="D96" s="1">
        <v>26.86</v>
      </c>
      <c r="E96" s="2"/>
      <c r="F96" s="2"/>
      <c r="G96" s="2"/>
      <c r="H96" s="2"/>
      <c r="I96" s="2"/>
      <c r="J96" s="2"/>
      <c r="K96" s="2"/>
      <c r="L96" s="2"/>
      <c r="M96" s="1">
        <v>81.150000000000006</v>
      </c>
      <c r="N96" s="1">
        <v>477.4</v>
      </c>
      <c r="O96" s="1">
        <v>0.10340000000000001</v>
      </c>
      <c r="P96" s="1">
        <v>0.1353</v>
      </c>
      <c r="Q96" s="1">
        <v>0.1085</v>
      </c>
      <c r="R96" s="1">
        <v>4.5620000000000001E-2</v>
      </c>
      <c r="S96" s="1">
        <v>0.1943</v>
      </c>
      <c r="T96" s="1">
        <v>6.9370000000000001E-2</v>
      </c>
      <c r="U96" s="1">
        <v>0.40529999999999999</v>
      </c>
      <c r="V96" s="1">
        <v>1.8089999999999999</v>
      </c>
      <c r="W96" s="1">
        <v>2.6419999999999999</v>
      </c>
      <c r="X96" s="1">
        <v>34.44</v>
      </c>
      <c r="Y96" s="1">
        <v>9.0980000000000002E-3</v>
      </c>
      <c r="Z96" s="1">
        <v>3.8449999999999998E-2</v>
      </c>
      <c r="AA96" s="1">
        <v>3.7629999999999997E-2</v>
      </c>
      <c r="AB96" s="1">
        <v>1.321E-2</v>
      </c>
      <c r="AC96" s="1">
        <v>1.8780000000000002E-2</v>
      </c>
      <c r="AD96" s="1">
        <v>5.672E-3</v>
      </c>
      <c r="AE96" s="1">
        <v>15.65</v>
      </c>
      <c r="AF96" s="1">
        <v>39.340000000000003</v>
      </c>
      <c r="AG96" s="1">
        <v>101.7</v>
      </c>
      <c r="AH96" s="1">
        <v>768.9</v>
      </c>
      <c r="AI96" s="1">
        <v>0.17849999999999999</v>
      </c>
      <c r="AJ96" s="1">
        <v>0.47060000000000002</v>
      </c>
      <c r="AK96" s="1">
        <v>0.4425</v>
      </c>
      <c r="AL96" s="1">
        <v>0.1459</v>
      </c>
      <c r="AM96" s="1">
        <v>0.32150000000000001</v>
      </c>
      <c r="AN96" s="1">
        <v>0.1205</v>
      </c>
    </row>
    <row r="97" spans="1:40" s="1" customFormat="1" ht="15" x14ac:dyDescent="0.25">
      <c r="A97" s="1">
        <v>87556202</v>
      </c>
      <c r="B97" s="1" t="s">
        <v>36</v>
      </c>
      <c r="C97" s="1">
        <v>14.86</v>
      </c>
      <c r="D97" s="1">
        <v>23.21</v>
      </c>
      <c r="E97" s="2"/>
      <c r="F97" s="2"/>
      <c r="G97" s="2"/>
      <c r="H97" s="2"/>
      <c r="I97" s="2"/>
      <c r="J97" s="2"/>
      <c r="K97" s="2"/>
      <c r="L97" s="2"/>
      <c r="M97" s="1">
        <v>100.4</v>
      </c>
      <c r="N97" s="1">
        <v>671.4</v>
      </c>
      <c r="O97" s="1">
        <v>0.10440000000000001</v>
      </c>
      <c r="P97" s="1">
        <v>0.19800000000000001</v>
      </c>
      <c r="Q97" s="1">
        <v>0.16969999999999999</v>
      </c>
      <c r="R97" s="1">
        <v>8.8779999999999998E-2</v>
      </c>
      <c r="S97" s="1">
        <v>0.17369999999999999</v>
      </c>
      <c r="T97" s="1">
        <v>6.6720000000000002E-2</v>
      </c>
      <c r="U97" s="1">
        <v>0.27960000000000002</v>
      </c>
      <c r="V97" s="1">
        <v>0.96220000000000006</v>
      </c>
      <c r="W97" s="1">
        <v>3.5910000000000002</v>
      </c>
      <c r="X97" s="1">
        <v>25.2</v>
      </c>
      <c r="Y97" s="1">
        <v>8.0809999999999996E-3</v>
      </c>
      <c r="Z97" s="1">
        <v>5.1220000000000002E-2</v>
      </c>
      <c r="AA97" s="1">
        <v>5.5509999999999997E-2</v>
      </c>
      <c r="AB97" s="1">
        <v>1.883E-2</v>
      </c>
      <c r="AC97" s="1">
        <v>2.545E-2</v>
      </c>
      <c r="AD97" s="1">
        <v>4.3119999999999999E-3</v>
      </c>
      <c r="AE97" s="1">
        <v>16.079999999999998</v>
      </c>
      <c r="AF97" s="1">
        <v>27.78</v>
      </c>
      <c r="AG97" s="1">
        <v>118.6</v>
      </c>
      <c r="AH97" s="1">
        <v>784.7</v>
      </c>
      <c r="AI97" s="1">
        <v>0.13159999999999999</v>
      </c>
      <c r="AJ97" s="1">
        <v>0.46479999999999999</v>
      </c>
      <c r="AK97" s="1">
        <v>0.45889999999999997</v>
      </c>
      <c r="AL97" s="1">
        <v>0.17269999999999999</v>
      </c>
      <c r="AM97" s="1">
        <v>0.3</v>
      </c>
      <c r="AN97" s="1">
        <v>8.7010000000000004E-2</v>
      </c>
    </row>
    <row r="98" spans="1:40" s="1" customFormat="1" ht="15" x14ac:dyDescent="0.25">
      <c r="A98" s="1">
        <v>875878</v>
      </c>
      <c r="B98" s="1" t="s">
        <v>37</v>
      </c>
      <c r="C98" s="1">
        <v>12.91</v>
      </c>
      <c r="D98" s="1">
        <v>16.329999999999998</v>
      </c>
      <c r="E98" s="2"/>
      <c r="F98" s="2"/>
      <c r="G98" s="2"/>
      <c r="H98" s="2"/>
      <c r="I98" s="2"/>
      <c r="J98" s="2"/>
      <c r="K98" s="2"/>
      <c r="L98" s="2"/>
      <c r="M98" s="1">
        <v>82.53</v>
      </c>
      <c r="N98" s="1">
        <v>516.4</v>
      </c>
      <c r="O98" s="1">
        <v>7.9409999999999994E-2</v>
      </c>
      <c r="P98" s="1">
        <v>5.3659999999999999E-2</v>
      </c>
      <c r="Q98" s="1">
        <v>3.8730000000000001E-2</v>
      </c>
      <c r="R98" s="1">
        <v>2.3769999999999999E-2</v>
      </c>
      <c r="S98" s="1">
        <v>0.18290000000000001</v>
      </c>
      <c r="T98" s="1">
        <v>5.6669999999999998E-2</v>
      </c>
      <c r="U98" s="1">
        <v>0.19420000000000001</v>
      </c>
      <c r="V98" s="1">
        <v>0.90859999999999996</v>
      </c>
      <c r="W98" s="1">
        <v>1.4930000000000001</v>
      </c>
      <c r="X98" s="1">
        <v>15.75</v>
      </c>
      <c r="Y98" s="1">
        <v>5.2979999999999998E-3</v>
      </c>
      <c r="Z98" s="1">
        <v>1.5869999999999999E-2</v>
      </c>
      <c r="AA98" s="1">
        <v>2.3210000000000001E-2</v>
      </c>
      <c r="AB98" s="1">
        <v>8.4200000000000004E-3</v>
      </c>
      <c r="AC98" s="1">
        <v>1.8530000000000001E-2</v>
      </c>
      <c r="AD98" s="1">
        <v>2.1519999999999998E-3</v>
      </c>
      <c r="AE98" s="1">
        <v>13.88</v>
      </c>
      <c r="AF98" s="1">
        <v>22</v>
      </c>
      <c r="AG98" s="1">
        <v>90.81</v>
      </c>
      <c r="AH98" s="1">
        <v>600.6</v>
      </c>
      <c r="AI98" s="1">
        <v>0.10970000000000001</v>
      </c>
      <c r="AJ98" s="1">
        <v>0.15060000000000001</v>
      </c>
      <c r="AK98" s="1">
        <v>0.1764</v>
      </c>
      <c r="AL98" s="1">
        <v>8.2350000000000007E-2</v>
      </c>
      <c r="AM98" s="1">
        <v>0.3024</v>
      </c>
      <c r="AN98" s="1">
        <v>6.9489999999999996E-2</v>
      </c>
    </row>
    <row r="99" spans="1:40" s="1" customFormat="1" ht="15" x14ac:dyDescent="0.25">
      <c r="A99" s="1">
        <v>875938</v>
      </c>
      <c r="B99" s="1" t="s">
        <v>36</v>
      </c>
      <c r="C99" s="1">
        <v>13.77</v>
      </c>
      <c r="D99" s="1">
        <v>22.29</v>
      </c>
      <c r="E99" s="2"/>
      <c r="F99" s="2"/>
      <c r="G99" s="2"/>
      <c r="H99" s="2"/>
      <c r="I99" s="2"/>
      <c r="J99" s="2"/>
      <c r="K99" s="2"/>
      <c r="L99" s="2"/>
      <c r="M99" s="1">
        <v>90.63</v>
      </c>
      <c r="N99" s="1">
        <v>588.9</v>
      </c>
      <c r="O99" s="1">
        <v>0.12</v>
      </c>
      <c r="P99" s="1">
        <v>0.12670000000000001</v>
      </c>
      <c r="Q99" s="1">
        <v>0.13850000000000001</v>
      </c>
      <c r="R99" s="1">
        <v>6.5259999999999999E-2</v>
      </c>
      <c r="S99" s="1">
        <v>0.18340000000000001</v>
      </c>
      <c r="T99" s="1">
        <v>6.8769999999999998E-2</v>
      </c>
      <c r="U99" s="1">
        <v>0.61909999999999998</v>
      </c>
      <c r="V99" s="1">
        <v>2.1120000000000001</v>
      </c>
      <c r="W99" s="1">
        <v>4.9059999999999997</v>
      </c>
      <c r="X99" s="1">
        <v>49.7</v>
      </c>
      <c r="Y99" s="1">
        <v>1.38E-2</v>
      </c>
      <c r="Z99" s="1">
        <v>3.3480000000000003E-2</v>
      </c>
      <c r="AA99" s="1">
        <v>4.6649999999999997E-2</v>
      </c>
      <c r="AB99" s="1">
        <v>2.06E-2</v>
      </c>
      <c r="AC99" s="1">
        <v>2.6890000000000001E-2</v>
      </c>
      <c r="AD99" s="1">
        <v>4.3059999999999999E-3</v>
      </c>
      <c r="AE99" s="1">
        <v>16.39</v>
      </c>
      <c r="AF99" s="1">
        <v>34.01</v>
      </c>
      <c r="AG99" s="1">
        <v>111.6</v>
      </c>
      <c r="AH99" s="1">
        <v>806.9</v>
      </c>
      <c r="AI99" s="1">
        <v>0.17369999999999999</v>
      </c>
      <c r="AJ99" s="1">
        <v>0.31219999999999998</v>
      </c>
      <c r="AK99" s="1">
        <v>0.38090000000000002</v>
      </c>
      <c r="AL99" s="1">
        <v>0.1673</v>
      </c>
      <c r="AM99" s="1">
        <v>0.308</v>
      </c>
      <c r="AN99" s="1">
        <v>9.3329999999999996E-2</v>
      </c>
    </row>
    <row r="100" spans="1:40" s="1" customFormat="1" ht="15" x14ac:dyDescent="0.25">
      <c r="A100" s="1">
        <v>877159</v>
      </c>
      <c r="B100" s="1" t="s">
        <v>36</v>
      </c>
      <c r="C100" s="1">
        <v>18.079999999999998</v>
      </c>
      <c r="D100" s="1">
        <v>21.84</v>
      </c>
      <c r="E100" s="2"/>
      <c r="F100" s="2"/>
      <c r="G100" s="2"/>
      <c r="H100" s="2"/>
      <c r="I100" s="2"/>
      <c r="J100" s="2"/>
      <c r="K100" s="2"/>
      <c r="L100" s="2"/>
      <c r="M100" s="1">
        <v>117.4</v>
      </c>
      <c r="N100" s="1">
        <v>1024</v>
      </c>
      <c r="O100" s="1">
        <v>7.3709999999999998E-2</v>
      </c>
      <c r="P100" s="1">
        <v>8.6419999999999997E-2</v>
      </c>
      <c r="Q100" s="1">
        <v>0.1103</v>
      </c>
      <c r="R100" s="1">
        <v>5.7779999999999998E-2</v>
      </c>
      <c r="S100" s="1">
        <v>0.17699999999999999</v>
      </c>
      <c r="T100" s="1">
        <v>5.3400000000000003E-2</v>
      </c>
      <c r="U100" s="1">
        <v>0.63619999999999999</v>
      </c>
      <c r="V100" s="1">
        <v>1.3049999999999999</v>
      </c>
      <c r="W100" s="1">
        <v>4.3120000000000003</v>
      </c>
      <c r="X100" s="1">
        <v>76.36</v>
      </c>
      <c r="Y100" s="1">
        <v>5.5300000000000002E-3</v>
      </c>
      <c r="Z100" s="1">
        <v>5.296E-2</v>
      </c>
      <c r="AA100" s="1">
        <v>6.1100000000000002E-2</v>
      </c>
      <c r="AB100" s="1">
        <v>1.444E-2</v>
      </c>
      <c r="AC100" s="1">
        <v>2.1399999999999999E-2</v>
      </c>
      <c r="AD100" s="1">
        <v>5.0359999999999997E-3</v>
      </c>
      <c r="AE100" s="1">
        <v>19.760000000000002</v>
      </c>
      <c r="AF100" s="1">
        <v>24.7</v>
      </c>
      <c r="AG100" s="1">
        <v>129.1</v>
      </c>
      <c r="AH100" s="1">
        <v>1228</v>
      </c>
      <c r="AI100" s="1">
        <v>8.8220000000000007E-2</v>
      </c>
      <c r="AJ100" s="1">
        <v>0.1963</v>
      </c>
      <c r="AK100" s="1">
        <v>0.2535</v>
      </c>
      <c r="AL100" s="1">
        <v>9.1810000000000003E-2</v>
      </c>
      <c r="AM100" s="1">
        <v>0.2369</v>
      </c>
      <c r="AN100" s="1">
        <v>6.5579999999999999E-2</v>
      </c>
    </row>
    <row r="101" spans="1:40" s="1" customFormat="1" ht="15" x14ac:dyDescent="0.25">
      <c r="A101" s="1">
        <v>877486</v>
      </c>
      <c r="B101" s="1" t="s">
        <v>36</v>
      </c>
      <c r="C101" s="1">
        <v>19.18</v>
      </c>
      <c r="D101" s="1">
        <v>22.49</v>
      </c>
      <c r="E101" s="2"/>
      <c r="F101" s="2"/>
      <c r="G101" s="2"/>
      <c r="H101" s="2"/>
      <c r="I101" s="2"/>
      <c r="J101" s="2"/>
      <c r="K101" s="2"/>
      <c r="L101" s="2"/>
      <c r="M101" s="1">
        <v>127.5</v>
      </c>
      <c r="N101" s="1">
        <v>1148</v>
      </c>
      <c r="O101" s="1">
        <v>8.523E-2</v>
      </c>
      <c r="P101" s="1">
        <v>0.14280000000000001</v>
      </c>
      <c r="Q101" s="1">
        <v>0.1114</v>
      </c>
      <c r="R101" s="1">
        <v>6.7720000000000002E-2</v>
      </c>
      <c r="S101" s="1">
        <v>0.1767</v>
      </c>
      <c r="T101" s="1">
        <v>5.5289999999999999E-2</v>
      </c>
      <c r="U101" s="1">
        <v>0.43569999999999998</v>
      </c>
      <c r="V101" s="1">
        <v>1.073</v>
      </c>
      <c r="W101" s="1">
        <v>3.8330000000000002</v>
      </c>
      <c r="X101" s="1">
        <v>54.22</v>
      </c>
      <c r="Y101" s="1">
        <v>5.5240000000000003E-3</v>
      </c>
      <c r="Z101" s="1">
        <v>3.6979999999999999E-2</v>
      </c>
      <c r="AA101" s="1">
        <v>2.7060000000000001E-2</v>
      </c>
      <c r="AB101" s="1">
        <v>1.221E-2</v>
      </c>
      <c r="AC101" s="1">
        <v>1.4149999999999999E-2</v>
      </c>
      <c r="AD101" s="1">
        <v>3.3969999999999998E-3</v>
      </c>
      <c r="AE101" s="1">
        <v>23.36</v>
      </c>
      <c r="AF101" s="1">
        <v>32.06</v>
      </c>
      <c r="AG101" s="1">
        <v>166.4</v>
      </c>
      <c r="AH101" s="1">
        <v>1688</v>
      </c>
      <c r="AI101" s="1">
        <v>0.13220000000000001</v>
      </c>
      <c r="AJ101" s="1">
        <v>0.56010000000000004</v>
      </c>
      <c r="AK101" s="1">
        <v>0.38650000000000001</v>
      </c>
      <c r="AL101" s="1">
        <v>0.17080000000000001</v>
      </c>
      <c r="AM101" s="1">
        <v>0.31929999999999997</v>
      </c>
      <c r="AN101" s="1">
        <v>9.221E-2</v>
      </c>
    </row>
    <row r="102" spans="1:40" s="1" customFormat="1" ht="15" x14ac:dyDescent="0.25">
      <c r="A102" s="1">
        <v>877500</v>
      </c>
      <c r="B102" s="1" t="s">
        <v>36</v>
      </c>
      <c r="C102" s="1">
        <v>14.45</v>
      </c>
      <c r="D102" s="1">
        <v>20.22</v>
      </c>
      <c r="E102" s="2"/>
      <c r="F102" s="2"/>
      <c r="G102" s="2"/>
      <c r="H102" s="2"/>
      <c r="I102" s="2"/>
      <c r="J102" s="2"/>
      <c r="K102" s="2"/>
      <c r="L102" s="2"/>
      <c r="M102" s="1">
        <v>94.49</v>
      </c>
      <c r="N102" s="1">
        <v>642.70000000000005</v>
      </c>
      <c r="O102" s="1">
        <v>9.8720000000000002E-2</v>
      </c>
      <c r="P102" s="1">
        <v>0.1206</v>
      </c>
      <c r="Q102" s="1">
        <v>0.11799999999999999</v>
      </c>
      <c r="R102" s="1">
        <v>5.9799999999999999E-2</v>
      </c>
      <c r="S102" s="1">
        <v>0.19500000000000001</v>
      </c>
      <c r="T102" s="1">
        <v>6.4659999999999995E-2</v>
      </c>
      <c r="U102" s="1">
        <v>0.2092</v>
      </c>
      <c r="V102" s="1">
        <v>0.65090000000000003</v>
      </c>
      <c r="W102" s="1">
        <v>1.446</v>
      </c>
      <c r="X102" s="1">
        <v>19.420000000000002</v>
      </c>
      <c r="Y102" s="1">
        <v>4.0439999999999999E-3</v>
      </c>
      <c r="Z102" s="1">
        <v>1.5970000000000002E-2</v>
      </c>
      <c r="AA102" s="1">
        <v>0.02</v>
      </c>
      <c r="AB102" s="1">
        <v>7.3029999999999996E-3</v>
      </c>
      <c r="AC102" s="1">
        <v>1.5219999999999999E-2</v>
      </c>
      <c r="AD102" s="1">
        <v>1.9759999999999999E-3</v>
      </c>
      <c r="AE102" s="1">
        <v>18.329999999999998</v>
      </c>
      <c r="AF102" s="1">
        <v>30.12</v>
      </c>
      <c r="AG102" s="1">
        <v>117.9</v>
      </c>
      <c r="AH102" s="1">
        <v>1044</v>
      </c>
      <c r="AI102" s="1">
        <v>0.1552</v>
      </c>
      <c r="AJ102" s="1">
        <v>0.40560000000000002</v>
      </c>
      <c r="AK102" s="1">
        <v>0.49669999999999997</v>
      </c>
      <c r="AL102" s="1">
        <v>0.18379999999999999</v>
      </c>
      <c r="AM102" s="1">
        <v>0.4753</v>
      </c>
      <c r="AN102" s="1">
        <v>0.1013</v>
      </c>
    </row>
    <row r="103" spans="1:40" s="1" customFormat="1" ht="15" x14ac:dyDescent="0.25">
      <c r="A103" s="1">
        <v>877501</v>
      </c>
      <c r="B103" s="1" t="s">
        <v>37</v>
      </c>
      <c r="C103" s="1">
        <v>12.23</v>
      </c>
      <c r="D103" s="1">
        <v>19.559999999999999</v>
      </c>
      <c r="E103" s="2"/>
      <c r="F103" s="2"/>
      <c r="G103" s="2"/>
      <c r="H103" s="2"/>
      <c r="I103" s="2"/>
      <c r="J103" s="2"/>
      <c r="K103" s="2"/>
      <c r="L103" s="2"/>
      <c r="M103" s="1">
        <v>78.540000000000006</v>
      </c>
      <c r="N103" s="1">
        <v>461</v>
      </c>
      <c r="O103" s="1">
        <v>9.5860000000000001E-2</v>
      </c>
      <c r="P103" s="1">
        <v>8.0869999999999997E-2</v>
      </c>
      <c r="Q103" s="1">
        <v>4.1869999999999997E-2</v>
      </c>
      <c r="R103" s="1">
        <v>4.1070000000000002E-2</v>
      </c>
      <c r="S103" s="1">
        <v>0.19789999999999999</v>
      </c>
      <c r="T103" s="1">
        <v>6.0130000000000003E-2</v>
      </c>
      <c r="U103" s="1">
        <v>0.35339999999999999</v>
      </c>
      <c r="V103" s="1">
        <v>1.3260000000000001</v>
      </c>
      <c r="W103" s="1">
        <v>2.3079999999999998</v>
      </c>
      <c r="X103" s="1">
        <v>27.24</v>
      </c>
      <c r="Y103" s="1">
        <v>7.5139999999999998E-3</v>
      </c>
      <c r="Z103" s="1">
        <v>1.779E-2</v>
      </c>
      <c r="AA103" s="1">
        <v>1.401E-2</v>
      </c>
      <c r="AB103" s="1">
        <v>1.14E-2</v>
      </c>
      <c r="AC103" s="1">
        <v>1.503E-2</v>
      </c>
      <c r="AD103" s="1">
        <v>3.3379999999999998E-3</v>
      </c>
      <c r="AE103" s="1">
        <v>14.44</v>
      </c>
      <c r="AF103" s="1">
        <v>28.36</v>
      </c>
      <c r="AG103" s="1">
        <v>92.15</v>
      </c>
      <c r="AH103" s="1">
        <v>638.4</v>
      </c>
      <c r="AI103" s="1">
        <v>0.1429</v>
      </c>
      <c r="AJ103" s="1">
        <v>0.20419999999999999</v>
      </c>
      <c r="AK103" s="1">
        <v>0.13769999999999999</v>
      </c>
      <c r="AL103" s="1">
        <v>0.108</v>
      </c>
      <c r="AM103" s="1">
        <v>0.26679999999999998</v>
      </c>
      <c r="AN103" s="1">
        <v>8.1739999999999993E-2</v>
      </c>
    </row>
    <row r="104" spans="1:40" s="1" customFormat="1" ht="15" x14ac:dyDescent="0.25">
      <c r="A104" s="1">
        <v>877989</v>
      </c>
      <c r="B104" s="1" t="s">
        <v>36</v>
      </c>
      <c r="C104" s="1">
        <v>17.54</v>
      </c>
      <c r="D104" s="1">
        <v>19.32</v>
      </c>
      <c r="E104" s="2"/>
      <c r="F104" s="2"/>
      <c r="G104" s="2"/>
      <c r="H104" s="2"/>
      <c r="I104" s="2"/>
      <c r="J104" s="2"/>
      <c r="K104" s="2"/>
      <c r="L104" s="2"/>
      <c r="M104" s="1">
        <v>115.1</v>
      </c>
      <c r="N104" s="1">
        <v>951.6</v>
      </c>
      <c r="O104" s="1">
        <v>8.9679999999999996E-2</v>
      </c>
      <c r="P104" s="1">
        <v>0.1198</v>
      </c>
      <c r="Q104" s="1">
        <v>0.1036</v>
      </c>
      <c r="R104" s="1">
        <v>7.4880000000000002E-2</v>
      </c>
      <c r="S104" s="1">
        <v>0.15060000000000001</v>
      </c>
      <c r="T104" s="1">
        <v>5.491E-2</v>
      </c>
      <c r="U104" s="1">
        <v>0.39710000000000001</v>
      </c>
      <c r="V104" s="1">
        <v>0.82820000000000005</v>
      </c>
      <c r="W104" s="1">
        <v>3.0880000000000001</v>
      </c>
      <c r="X104" s="1">
        <v>40.729999999999997</v>
      </c>
      <c r="Y104" s="1">
        <v>6.0899999999999999E-3</v>
      </c>
      <c r="Z104" s="1">
        <v>2.5690000000000001E-2</v>
      </c>
      <c r="AA104" s="1">
        <v>2.7130000000000001E-2</v>
      </c>
      <c r="AB104" s="1">
        <v>1.345E-2</v>
      </c>
      <c r="AC104" s="1">
        <v>1.5939999999999999E-2</v>
      </c>
      <c r="AD104" s="1">
        <v>2.6580000000000002E-3</v>
      </c>
      <c r="AE104" s="1">
        <v>20.420000000000002</v>
      </c>
      <c r="AF104" s="1">
        <v>25.84</v>
      </c>
      <c r="AG104" s="1">
        <v>139.5</v>
      </c>
      <c r="AH104" s="1">
        <v>1239</v>
      </c>
      <c r="AI104" s="1">
        <v>0.1381</v>
      </c>
      <c r="AJ104" s="1">
        <v>0.34200000000000003</v>
      </c>
      <c r="AK104" s="1">
        <v>0.3508</v>
      </c>
      <c r="AL104" s="1">
        <v>0.19389999999999999</v>
      </c>
      <c r="AM104" s="1">
        <v>0.2928</v>
      </c>
      <c r="AN104" s="1">
        <v>7.8670000000000004E-2</v>
      </c>
    </row>
    <row r="105" spans="1:40" s="1" customFormat="1" ht="15" x14ac:dyDescent="0.25">
      <c r="A105" s="1">
        <v>878796</v>
      </c>
      <c r="B105" s="1" t="s">
        <v>36</v>
      </c>
      <c r="C105" s="1">
        <v>23.29</v>
      </c>
      <c r="D105" s="1">
        <v>26.67</v>
      </c>
      <c r="E105" s="2"/>
      <c r="F105" s="2"/>
      <c r="G105" s="2"/>
      <c r="H105" s="2"/>
      <c r="I105" s="2"/>
      <c r="J105" s="2"/>
      <c r="K105" s="2"/>
      <c r="L105" s="2"/>
      <c r="M105" s="1">
        <v>158.9</v>
      </c>
      <c r="N105" s="1">
        <v>1685</v>
      </c>
      <c r="O105" s="1">
        <v>0.11409999999999999</v>
      </c>
      <c r="P105" s="1">
        <v>0.2084</v>
      </c>
      <c r="Q105" s="1">
        <v>0.3523</v>
      </c>
      <c r="R105" s="1">
        <v>0.16200000000000001</v>
      </c>
      <c r="S105" s="1">
        <v>0.22</v>
      </c>
      <c r="T105" s="1">
        <v>6.2289999999999998E-2</v>
      </c>
      <c r="U105" s="1">
        <v>0.55389999999999995</v>
      </c>
      <c r="V105" s="1">
        <v>1.56</v>
      </c>
      <c r="W105" s="1">
        <v>4.6669999999999998</v>
      </c>
      <c r="X105" s="1">
        <v>83.16</v>
      </c>
      <c r="Y105" s="1">
        <v>9.3270000000000002E-3</v>
      </c>
      <c r="Z105" s="1">
        <v>5.1209999999999999E-2</v>
      </c>
      <c r="AA105" s="1">
        <v>8.9580000000000007E-2</v>
      </c>
      <c r="AB105" s="1">
        <v>2.4649999999999998E-2</v>
      </c>
      <c r="AC105" s="1">
        <v>2.1749999999999999E-2</v>
      </c>
      <c r="AD105" s="1">
        <v>5.195E-3</v>
      </c>
      <c r="AE105" s="1">
        <v>25.12</v>
      </c>
      <c r="AF105" s="1">
        <v>32.68</v>
      </c>
      <c r="AG105" s="1">
        <v>177</v>
      </c>
      <c r="AH105" s="1">
        <v>1986</v>
      </c>
      <c r="AI105" s="1">
        <v>0.15359999999999999</v>
      </c>
      <c r="AJ105" s="1">
        <v>0.41670000000000001</v>
      </c>
      <c r="AK105" s="1">
        <v>0.78920000000000001</v>
      </c>
      <c r="AL105" s="1">
        <v>0.27329999999999999</v>
      </c>
      <c r="AM105" s="1">
        <v>0.31979999999999997</v>
      </c>
      <c r="AN105" s="1">
        <v>8.7620000000000003E-2</v>
      </c>
    </row>
    <row r="106" spans="1:40" s="1" customFormat="1" ht="15" x14ac:dyDescent="0.25">
      <c r="A106" s="1">
        <v>87880</v>
      </c>
      <c r="B106" s="1" t="s">
        <v>36</v>
      </c>
      <c r="C106" s="1">
        <v>13.81</v>
      </c>
      <c r="D106" s="1">
        <v>23.75</v>
      </c>
      <c r="E106" s="2"/>
      <c r="F106" s="2"/>
      <c r="G106" s="2"/>
      <c r="H106" s="2"/>
      <c r="I106" s="2"/>
      <c r="J106" s="2"/>
      <c r="K106" s="2"/>
      <c r="L106" s="2"/>
      <c r="M106" s="1">
        <v>91.56</v>
      </c>
      <c r="N106" s="1">
        <v>597.79999999999995</v>
      </c>
      <c r="O106" s="1">
        <v>0.1323</v>
      </c>
      <c r="P106" s="1">
        <v>0.17680000000000001</v>
      </c>
      <c r="Q106" s="1">
        <v>0.15579999999999999</v>
      </c>
      <c r="R106" s="1">
        <v>9.1759999999999994E-2</v>
      </c>
      <c r="S106" s="1">
        <v>0.22509999999999999</v>
      </c>
      <c r="T106" s="1">
        <v>7.4209999999999998E-2</v>
      </c>
      <c r="U106" s="1">
        <v>0.56479999999999997</v>
      </c>
      <c r="V106" s="1">
        <v>1.93</v>
      </c>
      <c r="W106" s="1">
        <v>3.9089999999999998</v>
      </c>
      <c r="X106" s="1">
        <v>52.72</v>
      </c>
      <c r="Y106" s="1">
        <v>8.8240000000000002E-3</v>
      </c>
      <c r="Z106" s="1">
        <v>3.108E-2</v>
      </c>
      <c r="AA106" s="1">
        <v>3.1119999999999998E-2</v>
      </c>
      <c r="AB106" s="1">
        <v>1.291E-2</v>
      </c>
      <c r="AC106" s="1">
        <v>1.9980000000000001E-2</v>
      </c>
      <c r="AD106" s="1">
        <v>4.5059999999999996E-3</v>
      </c>
      <c r="AE106" s="1">
        <v>19.2</v>
      </c>
      <c r="AF106" s="1">
        <v>41.85</v>
      </c>
      <c r="AG106" s="1">
        <v>128.5</v>
      </c>
      <c r="AH106" s="1">
        <v>1153</v>
      </c>
      <c r="AI106" s="1">
        <v>0.22259999999999999</v>
      </c>
      <c r="AJ106" s="1">
        <v>0.52090000000000003</v>
      </c>
      <c r="AK106" s="1">
        <v>0.46460000000000001</v>
      </c>
      <c r="AL106" s="1">
        <v>0.20130000000000001</v>
      </c>
      <c r="AM106" s="1">
        <v>0.44319999999999998</v>
      </c>
      <c r="AN106" s="1">
        <v>0.1086</v>
      </c>
    </row>
    <row r="107" spans="1:40" s="1" customFormat="1" ht="15" x14ac:dyDescent="0.25">
      <c r="A107" s="1">
        <v>87930</v>
      </c>
      <c r="B107" s="1" t="s">
        <v>37</v>
      </c>
      <c r="C107" s="1">
        <v>12.47</v>
      </c>
      <c r="D107" s="1">
        <v>18.600000000000001</v>
      </c>
      <c r="E107" s="2"/>
      <c r="F107" s="2"/>
      <c r="G107" s="2"/>
      <c r="H107" s="2"/>
      <c r="I107" s="2"/>
      <c r="J107" s="2"/>
      <c r="K107" s="2"/>
      <c r="L107" s="2"/>
      <c r="M107" s="1">
        <v>81.09</v>
      </c>
      <c r="N107" s="1">
        <v>481.9</v>
      </c>
      <c r="O107" s="1">
        <v>9.9650000000000002E-2</v>
      </c>
      <c r="P107" s="1">
        <v>0.10580000000000001</v>
      </c>
      <c r="Q107" s="1">
        <v>8.0049999999999996E-2</v>
      </c>
      <c r="R107" s="1">
        <v>3.8210000000000001E-2</v>
      </c>
      <c r="S107" s="1">
        <v>0.1925</v>
      </c>
      <c r="T107" s="1">
        <v>6.3729999999999995E-2</v>
      </c>
      <c r="U107" s="1">
        <v>0.39610000000000001</v>
      </c>
      <c r="V107" s="1">
        <v>1.044</v>
      </c>
      <c r="W107" s="1">
        <v>2.4969999999999999</v>
      </c>
      <c r="X107" s="1">
        <v>30.29</v>
      </c>
      <c r="Y107" s="1">
        <v>6.953E-3</v>
      </c>
      <c r="Z107" s="1">
        <v>1.9109999999999999E-2</v>
      </c>
      <c r="AA107" s="1">
        <v>2.7009999999999999E-2</v>
      </c>
      <c r="AB107" s="1">
        <v>1.0370000000000001E-2</v>
      </c>
      <c r="AC107" s="1">
        <v>1.7819999999999999E-2</v>
      </c>
      <c r="AD107" s="1">
        <v>3.5860000000000002E-3</v>
      </c>
      <c r="AE107" s="1">
        <v>14.97</v>
      </c>
      <c r="AF107" s="1">
        <v>24.64</v>
      </c>
      <c r="AG107" s="1">
        <v>96.05</v>
      </c>
      <c r="AH107" s="1">
        <v>677.9</v>
      </c>
      <c r="AI107" s="1">
        <v>0.1426</v>
      </c>
      <c r="AJ107" s="1">
        <v>0.23780000000000001</v>
      </c>
      <c r="AK107" s="1">
        <v>0.2671</v>
      </c>
      <c r="AL107" s="1">
        <v>0.10150000000000001</v>
      </c>
      <c r="AM107" s="1">
        <v>0.3014</v>
      </c>
      <c r="AN107" s="1">
        <v>8.7499999999999994E-2</v>
      </c>
    </row>
    <row r="108" spans="1:40" s="1" customFormat="1" ht="15" x14ac:dyDescent="0.25">
      <c r="A108" s="1">
        <v>879523</v>
      </c>
      <c r="B108" s="1" t="s">
        <v>36</v>
      </c>
      <c r="C108" s="1">
        <v>15.12</v>
      </c>
      <c r="D108" s="1">
        <v>16.68</v>
      </c>
      <c r="E108" s="2"/>
      <c r="F108" s="2"/>
      <c r="G108" s="2"/>
      <c r="H108" s="2"/>
      <c r="I108" s="2"/>
      <c r="J108" s="2"/>
      <c r="K108" s="2"/>
      <c r="L108" s="2"/>
      <c r="M108" s="1">
        <v>98.78</v>
      </c>
      <c r="N108" s="1">
        <v>716.6</v>
      </c>
      <c r="O108" s="1">
        <v>8.8760000000000006E-2</v>
      </c>
      <c r="P108" s="1">
        <v>9.5880000000000007E-2</v>
      </c>
      <c r="Q108" s="1">
        <v>7.5499999999999998E-2</v>
      </c>
      <c r="R108" s="1">
        <v>4.079E-2</v>
      </c>
      <c r="S108" s="1">
        <v>0.15939999999999999</v>
      </c>
      <c r="T108" s="1">
        <v>5.9859999999999997E-2</v>
      </c>
      <c r="U108" s="1">
        <v>0.27110000000000001</v>
      </c>
      <c r="V108" s="1">
        <v>0.36209999999999998</v>
      </c>
      <c r="W108" s="1">
        <v>1.974</v>
      </c>
      <c r="X108" s="1">
        <v>26.44</v>
      </c>
      <c r="Y108" s="1">
        <v>5.4720000000000003E-3</v>
      </c>
      <c r="Z108" s="1">
        <v>1.9189999999999999E-2</v>
      </c>
      <c r="AA108" s="1">
        <v>2.0389999999999998E-2</v>
      </c>
      <c r="AB108" s="1">
        <v>8.26E-3</v>
      </c>
      <c r="AC108" s="1">
        <v>1.523E-2</v>
      </c>
      <c r="AD108" s="1">
        <v>2.8809999999999999E-3</v>
      </c>
      <c r="AE108" s="1">
        <v>17.77</v>
      </c>
      <c r="AF108" s="1">
        <v>20.239999999999998</v>
      </c>
      <c r="AG108" s="1">
        <v>117.7</v>
      </c>
      <c r="AH108" s="1">
        <v>989.5</v>
      </c>
      <c r="AI108" s="1">
        <v>0.14910000000000001</v>
      </c>
      <c r="AJ108" s="1">
        <v>0.33310000000000001</v>
      </c>
      <c r="AK108" s="1">
        <v>0.3327</v>
      </c>
      <c r="AL108" s="1">
        <v>0.12520000000000001</v>
      </c>
      <c r="AM108" s="1">
        <v>0.34150000000000003</v>
      </c>
      <c r="AN108" s="1">
        <v>9.74E-2</v>
      </c>
    </row>
    <row r="109" spans="1:40" s="1" customFormat="1" ht="15" x14ac:dyDescent="0.25">
      <c r="A109" s="1">
        <v>879804</v>
      </c>
      <c r="B109" s="1" t="s">
        <v>37</v>
      </c>
      <c r="C109" s="1">
        <v>9.8759999999999994</v>
      </c>
      <c r="D109" s="1">
        <v>17.27</v>
      </c>
      <c r="E109" s="2"/>
      <c r="F109" s="2"/>
      <c r="G109" s="2"/>
      <c r="H109" s="2"/>
      <c r="I109" s="2"/>
      <c r="J109" s="2"/>
      <c r="K109" s="2"/>
      <c r="L109" s="2"/>
      <c r="M109" s="1">
        <v>62.92</v>
      </c>
      <c r="N109" s="1">
        <v>295.39999999999998</v>
      </c>
      <c r="O109" s="1">
        <v>0.1089</v>
      </c>
      <c r="P109" s="1">
        <v>7.2319999999999995E-2</v>
      </c>
      <c r="Q109" s="1">
        <v>1.7559999999999999E-2</v>
      </c>
      <c r="R109" s="1">
        <v>1.9519999999999999E-2</v>
      </c>
      <c r="S109" s="1">
        <v>0.19339999999999999</v>
      </c>
      <c r="T109" s="1">
        <v>6.2850000000000003E-2</v>
      </c>
      <c r="U109" s="1">
        <v>0.2137</v>
      </c>
      <c r="V109" s="1">
        <v>1.3420000000000001</v>
      </c>
      <c r="W109" s="1">
        <v>1.5169999999999999</v>
      </c>
      <c r="X109" s="1">
        <v>12.33</v>
      </c>
      <c r="Y109" s="1">
        <v>9.7190000000000002E-3</v>
      </c>
      <c r="Z109" s="1">
        <v>1.2489999999999999E-2</v>
      </c>
      <c r="AA109" s="1">
        <v>7.9749999999999995E-3</v>
      </c>
      <c r="AB109" s="1">
        <v>7.5269999999999998E-3</v>
      </c>
      <c r="AC109" s="1">
        <v>2.2100000000000002E-2</v>
      </c>
      <c r="AD109" s="1">
        <v>2.4719999999999998E-3</v>
      </c>
      <c r="AE109" s="1">
        <v>10.42</v>
      </c>
      <c r="AF109" s="1">
        <v>23.22</v>
      </c>
      <c r="AG109" s="1">
        <v>67.08</v>
      </c>
      <c r="AH109" s="1">
        <v>331.6</v>
      </c>
      <c r="AI109" s="1">
        <v>0.14149999999999999</v>
      </c>
      <c r="AJ109" s="1">
        <v>0.12470000000000001</v>
      </c>
      <c r="AK109" s="1">
        <v>6.2129999999999998E-2</v>
      </c>
      <c r="AL109" s="1">
        <v>5.5879999999999999E-2</v>
      </c>
      <c r="AM109" s="1">
        <v>0.2989</v>
      </c>
      <c r="AN109" s="1">
        <v>7.3800000000000004E-2</v>
      </c>
    </row>
    <row r="110" spans="1:40" s="1" customFormat="1" ht="15" x14ac:dyDescent="0.25">
      <c r="A110" s="1">
        <v>879830</v>
      </c>
      <c r="B110" s="1" t="s">
        <v>36</v>
      </c>
      <c r="C110" s="1">
        <v>17.010000000000002</v>
      </c>
      <c r="D110" s="1">
        <v>20.260000000000002</v>
      </c>
      <c r="E110" s="2"/>
      <c r="F110" s="2"/>
      <c r="G110" s="2"/>
      <c r="H110" s="2"/>
      <c r="I110" s="2"/>
      <c r="J110" s="2"/>
      <c r="K110" s="2"/>
      <c r="L110" s="2"/>
      <c r="M110" s="1">
        <v>109.7</v>
      </c>
      <c r="N110" s="1">
        <v>904.3</v>
      </c>
      <c r="O110" s="1">
        <v>8.7720000000000006E-2</v>
      </c>
      <c r="P110" s="1">
        <v>7.3039999999999994E-2</v>
      </c>
      <c r="Q110" s="1">
        <v>6.9500000000000006E-2</v>
      </c>
      <c r="R110" s="1">
        <v>5.3900000000000003E-2</v>
      </c>
      <c r="S110" s="1">
        <v>0.2026</v>
      </c>
      <c r="T110" s="1">
        <v>5.2229999999999999E-2</v>
      </c>
      <c r="U110" s="1">
        <v>0.58579999999999999</v>
      </c>
      <c r="V110" s="1">
        <v>0.85540000000000005</v>
      </c>
      <c r="W110" s="1">
        <v>4.1059999999999999</v>
      </c>
      <c r="X110" s="1">
        <v>68.459999999999994</v>
      </c>
      <c r="Y110" s="1">
        <v>5.0379999999999999E-3</v>
      </c>
      <c r="Z110" s="1">
        <v>1.503E-2</v>
      </c>
      <c r="AA110" s="1">
        <v>1.9460000000000002E-2</v>
      </c>
      <c r="AB110" s="1">
        <v>1.123E-2</v>
      </c>
      <c r="AC110" s="1">
        <v>2.2939999999999999E-2</v>
      </c>
      <c r="AD110" s="1">
        <v>2.581E-3</v>
      </c>
      <c r="AE110" s="1">
        <v>19.8</v>
      </c>
      <c r="AF110" s="1">
        <v>25.05</v>
      </c>
      <c r="AG110" s="1">
        <v>130</v>
      </c>
      <c r="AH110" s="1">
        <v>1210</v>
      </c>
      <c r="AI110" s="1">
        <v>0.1111</v>
      </c>
      <c r="AJ110" s="1">
        <v>0.14860000000000001</v>
      </c>
      <c r="AK110" s="1">
        <v>0.19320000000000001</v>
      </c>
      <c r="AL110" s="1">
        <v>0.1096</v>
      </c>
      <c r="AM110" s="1">
        <v>0.32750000000000001</v>
      </c>
      <c r="AN110" s="1">
        <v>6.4689999999999998E-2</v>
      </c>
    </row>
    <row r="111" spans="1:40" s="1" customFormat="1" ht="15" x14ac:dyDescent="0.25">
      <c r="A111" s="1">
        <v>8810158</v>
      </c>
      <c r="B111" s="1" t="s">
        <v>37</v>
      </c>
      <c r="C111" s="1">
        <v>13.11</v>
      </c>
      <c r="D111" s="1">
        <v>22.54</v>
      </c>
      <c r="E111" s="2"/>
      <c r="F111" s="2"/>
      <c r="G111" s="2"/>
      <c r="H111" s="2"/>
      <c r="I111" s="2"/>
      <c r="J111" s="2"/>
      <c r="K111" s="2"/>
      <c r="L111" s="2"/>
      <c r="M111" s="1">
        <v>87.02</v>
      </c>
      <c r="N111" s="1">
        <v>529.4</v>
      </c>
      <c r="O111" s="1">
        <v>0.1002</v>
      </c>
      <c r="P111" s="1">
        <v>0.14829999999999999</v>
      </c>
      <c r="Q111" s="1">
        <v>8.7050000000000002E-2</v>
      </c>
      <c r="R111" s="1">
        <v>5.1020000000000003E-2</v>
      </c>
      <c r="S111" s="1">
        <v>0.185</v>
      </c>
      <c r="T111" s="1">
        <v>7.3099999999999998E-2</v>
      </c>
      <c r="U111" s="1">
        <v>0.19309999999999999</v>
      </c>
      <c r="V111" s="1">
        <v>0.92230000000000001</v>
      </c>
      <c r="W111" s="1">
        <v>1.4910000000000001</v>
      </c>
      <c r="X111" s="1">
        <v>15.09</v>
      </c>
      <c r="Y111" s="1">
        <v>5.2509999999999996E-3</v>
      </c>
      <c r="Z111" s="1">
        <v>3.041E-2</v>
      </c>
      <c r="AA111" s="1">
        <v>2.5260000000000001E-2</v>
      </c>
      <c r="AB111" s="1">
        <v>8.3040000000000006E-3</v>
      </c>
      <c r="AC111" s="1">
        <v>2.5139999999999999E-2</v>
      </c>
      <c r="AD111" s="1">
        <v>4.1980000000000003E-3</v>
      </c>
      <c r="AE111" s="1">
        <v>14.55</v>
      </c>
      <c r="AF111" s="1">
        <v>29.16</v>
      </c>
      <c r="AG111" s="1">
        <v>99.48</v>
      </c>
      <c r="AH111" s="1">
        <v>639.29999999999995</v>
      </c>
      <c r="AI111" s="1">
        <v>0.13489999999999999</v>
      </c>
      <c r="AJ111" s="1">
        <v>0.44019999999999998</v>
      </c>
      <c r="AK111" s="1">
        <v>0.31619999999999998</v>
      </c>
      <c r="AL111" s="1">
        <v>0.11260000000000001</v>
      </c>
      <c r="AM111" s="1">
        <v>0.4128</v>
      </c>
      <c r="AN111" s="1">
        <v>0.1076</v>
      </c>
    </row>
    <row r="112" spans="1:40" s="1" customFormat="1" ht="15" x14ac:dyDescent="0.25">
      <c r="A112" s="1">
        <v>8810436</v>
      </c>
      <c r="B112" s="1" t="s">
        <v>37</v>
      </c>
      <c r="C112" s="1">
        <v>15.27</v>
      </c>
      <c r="D112" s="1">
        <v>12.91</v>
      </c>
      <c r="E112" s="2"/>
      <c r="F112" s="2"/>
      <c r="G112" s="2"/>
      <c r="H112" s="2"/>
      <c r="I112" s="2"/>
      <c r="J112" s="2"/>
      <c r="K112" s="2"/>
      <c r="L112" s="2"/>
      <c r="M112" s="1">
        <v>98.17</v>
      </c>
      <c r="N112" s="1">
        <v>725.5</v>
      </c>
      <c r="O112" s="1">
        <v>8.1820000000000004E-2</v>
      </c>
      <c r="P112" s="1">
        <v>6.2300000000000001E-2</v>
      </c>
      <c r="Q112" s="1">
        <v>5.892E-2</v>
      </c>
      <c r="R112" s="1">
        <v>3.1570000000000001E-2</v>
      </c>
      <c r="S112" s="1">
        <v>0.13589999999999999</v>
      </c>
      <c r="T112" s="1">
        <v>5.5259999999999997E-2</v>
      </c>
      <c r="U112" s="1">
        <v>0.21340000000000001</v>
      </c>
      <c r="V112" s="1">
        <v>0.36280000000000001</v>
      </c>
      <c r="W112" s="1">
        <v>1.5249999999999999</v>
      </c>
      <c r="X112" s="1">
        <v>20</v>
      </c>
      <c r="Y112" s="1">
        <v>4.2909999999999997E-3</v>
      </c>
      <c r="Z112" s="1">
        <v>1.2359999999999999E-2</v>
      </c>
      <c r="AA112" s="1">
        <v>1.8409999999999999E-2</v>
      </c>
      <c r="AB112" s="1">
        <v>7.3730000000000002E-3</v>
      </c>
      <c r="AC112" s="1">
        <v>9.5390000000000006E-3</v>
      </c>
      <c r="AD112" s="1">
        <v>1.6559999999999999E-3</v>
      </c>
      <c r="AE112" s="1">
        <v>17.38</v>
      </c>
      <c r="AF112" s="1">
        <v>15.92</v>
      </c>
      <c r="AG112" s="1">
        <v>113.7</v>
      </c>
      <c r="AH112" s="1">
        <v>932.7</v>
      </c>
      <c r="AI112" s="1">
        <v>0.1222</v>
      </c>
      <c r="AJ112" s="1">
        <v>0.21859999999999999</v>
      </c>
      <c r="AK112" s="1">
        <v>0.29620000000000002</v>
      </c>
      <c r="AL112" s="1">
        <v>0.10349999999999999</v>
      </c>
      <c r="AM112" s="1">
        <v>0.23200000000000001</v>
      </c>
      <c r="AN112" s="1">
        <v>7.4740000000000001E-2</v>
      </c>
    </row>
    <row r="113" spans="1:40" s="1" customFormat="1" ht="15" x14ac:dyDescent="0.25">
      <c r="A113" s="1">
        <v>881046502</v>
      </c>
      <c r="B113" s="1" t="s">
        <v>36</v>
      </c>
      <c r="C113" s="1">
        <v>20.58</v>
      </c>
      <c r="D113" s="1">
        <v>22.14</v>
      </c>
      <c r="E113" s="2"/>
      <c r="F113" s="2"/>
      <c r="G113" s="2"/>
      <c r="H113" s="2"/>
      <c r="I113" s="2"/>
      <c r="J113" s="2"/>
      <c r="K113" s="2"/>
      <c r="L113" s="2"/>
      <c r="M113" s="1">
        <v>134.69999999999999</v>
      </c>
      <c r="N113" s="1">
        <v>1290</v>
      </c>
      <c r="O113" s="1">
        <v>9.0899999999999995E-2</v>
      </c>
      <c r="P113" s="1">
        <v>0.1348</v>
      </c>
      <c r="Q113" s="1">
        <v>0.16400000000000001</v>
      </c>
      <c r="R113" s="1">
        <v>9.5610000000000001E-2</v>
      </c>
      <c r="S113" s="1">
        <v>0.17649999999999999</v>
      </c>
      <c r="T113" s="1">
        <v>5.024E-2</v>
      </c>
      <c r="U113" s="1">
        <v>0.86009999999999998</v>
      </c>
      <c r="V113" s="1">
        <v>1.48</v>
      </c>
      <c r="W113" s="1">
        <v>7.0289999999999999</v>
      </c>
      <c r="X113" s="1">
        <v>111.7</v>
      </c>
      <c r="Y113" s="1">
        <v>8.1239999999999993E-3</v>
      </c>
      <c r="Z113" s="1">
        <v>3.6110000000000003E-2</v>
      </c>
      <c r="AA113" s="1">
        <v>5.4890000000000001E-2</v>
      </c>
      <c r="AB113" s="1">
        <v>2.7650000000000001E-2</v>
      </c>
      <c r="AC113" s="1">
        <v>3.1759999999999997E-2</v>
      </c>
      <c r="AD113" s="1">
        <v>2.3649999999999999E-3</v>
      </c>
      <c r="AE113" s="1">
        <v>23.24</v>
      </c>
      <c r="AF113" s="1">
        <v>27.84</v>
      </c>
      <c r="AG113" s="1">
        <v>158.30000000000001</v>
      </c>
      <c r="AH113" s="1">
        <v>1656</v>
      </c>
      <c r="AI113" s="1">
        <v>0.1178</v>
      </c>
      <c r="AJ113" s="1">
        <v>0.29199999999999998</v>
      </c>
      <c r="AK113" s="1">
        <v>0.3861</v>
      </c>
      <c r="AL113" s="1">
        <v>0.192</v>
      </c>
      <c r="AM113" s="1">
        <v>0.29089999999999999</v>
      </c>
      <c r="AN113" s="1">
        <v>5.8650000000000001E-2</v>
      </c>
    </row>
    <row r="114" spans="1:40" s="1" customFormat="1" ht="15" x14ac:dyDescent="0.25">
      <c r="A114" s="1">
        <v>8810528</v>
      </c>
      <c r="B114" s="1" t="s">
        <v>37</v>
      </c>
      <c r="C114" s="1">
        <v>11.84</v>
      </c>
      <c r="D114" s="1">
        <v>18.940000000000001</v>
      </c>
      <c r="E114" s="2"/>
      <c r="F114" s="2"/>
      <c r="G114" s="2"/>
      <c r="H114" s="2"/>
      <c r="I114" s="2"/>
      <c r="J114" s="2"/>
      <c r="K114" s="2"/>
      <c r="L114" s="2"/>
      <c r="M114" s="1">
        <v>75.510000000000005</v>
      </c>
      <c r="N114" s="1">
        <v>428</v>
      </c>
      <c r="O114" s="1">
        <v>8.8709999999999997E-2</v>
      </c>
      <c r="P114" s="1">
        <v>6.9000000000000006E-2</v>
      </c>
      <c r="Q114" s="1">
        <v>2.6689999999999998E-2</v>
      </c>
      <c r="R114" s="1">
        <v>1.393E-2</v>
      </c>
      <c r="S114" s="1">
        <v>0.15329999999999999</v>
      </c>
      <c r="T114" s="1">
        <v>6.0569999999999999E-2</v>
      </c>
      <c r="U114" s="1">
        <v>0.22220000000000001</v>
      </c>
      <c r="V114" s="1">
        <v>0.86519999999999997</v>
      </c>
      <c r="W114" s="1">
        <v>1.444</v>
      </c>
      <c r="X114" s="1">
        <v>17.12</v>
      </c>
      <c r="Y114" s="1">
        <v>5.5170000000000002E-3</v>
      </c>
      <c r="Z114" s="1">
        <v>1.7270000000000001E-2</v>
      </c>
      <c r="AA114" s="1">
        <v>2.0449999999999999E-2</v>
      </c>
      <c r="AB114" s="1">
        <v>6.7470000000000004E-3</v>
      </c>
      <c r="AC114" s="1">
        <v>1.6160000000000001E-2</v>
      </c>
      <c r="AD114" s="1">
        <v>2.9220000000000001E-3</v>
      </c>
      <c r="AE114" s="1">
        <v>13.3</v>
      </c>
      <c r="AF114" s="1">
        <v>24.99</v>
      </c>
      <c r="AG114" s="1">
        <v>85.22</v>
      </c>
      <c r="AH114" s="1">
        <v>546.29999999999995</v>
      </c>
      <c r="AI114" s="1">
        <v>0.128</v>
      </c>
      <c r="AJ114" s="1">
        <v>0.188</v>
      </c>
      <c r="AK114" s="1">
        <v>0.14710000000000001</v>
      </c>
      <c r="AL114" s="1">
        <v>6.9129999999999997E-2</v>
      </c>
      <c r="AM114" s="1">
        <v>0.2535</v>
      </c>
      <c r="AN114" s="1">
        <v>7.9930000000000001E-2</v>
      </c>
    </row>
    <row r="115" spans="1:40" s="1" customFormat="1" ht="15" x14ac:dyDescent="0.25">
      <c r="A115" s="1">
        <v>8810703</v>
      </c>
      <c r="B115" s="1" t="s">
        <v>36</v>
      </c>
      <c r="C115" s="1">
        <v>28.11</v>
      </c>
      <c r="D115" s="1">
        <v>18.47</v>
      </c>
      <c r="E115" s="2"/>
      <c r="F115" s="2"/>
      <c r="G115" s="2"/>
      <c r="H115" s="2"/>
      <c r="I115" s="2"/>
      <c r="J115" s="2"/>
      <c r="K115" s="2"/>
      <c r="L115" s="2"/>
      <c r="M115" s="1">
        <v>188.5</v>
      </c>
      <c r="N115" s="1">
        <v>2499</v>
      </c>
      <c r="O115" s="1">
        <v>0.1142</v>
      </c>
      <c r="P115" s="1">
        <v>0.15160000000000001</v>
      </c>
      <c r="Q115" s="1">
        <v>0.3201</v>
      </c>
      <c r="R115" s="1">
        <v>0.1595</v>
      </c>
      <c r="S115" s="1">
        <v>0.1648</v>
      </c>
      <c r="T115" s="1">
        <v>5.525E-2</v>
      </c>
      <c r="U115" s="1">
        <v>2.8730000000000002</v>
      </c>
      <c r="V115" s="1">
        <v>1.476</v>
      </c>
      <c r="W115" s="1">
        <v>21.98</v>
      </c>
      <c r="X115" s="1">
        <v>525.6</v>
      </c>
      <c r="Y115" s="1">
        <v>1.345E-2</v>
      </c>
      <c r="Z115" s="1">
        <v>2.7720000000000002E-2</v>
      </c>
      <c r="AA115" s="1">
        <v>6.3890000000000002E-2</v>
      </c>
      <c r="AB115" s="1">
        <v>1.4069999999999999E-2</v>
      </c>
      <c r="AC115" s="1">
        <v>4.7829999999999998E-2</v>
      </c>
      <c r="AD115" s="1">
        <v>4.4759999999999999E-3</v>
      </c>
      <c r="AE115" s="1">
        <v>28.11</v>
      </c>
      <c r="AF115" s="1">
        <v>18.47</v>
      </c>
      <c r="AG115" s="1">
        <v>188.5</v>
      </c>
      <c r="AH115" s="1">
        <v>2499</v>
      </c>
      <c r="AI115" s="1">
        <v>0.1142</v>
      </c>
      <c r="AJ115" s="1">
        <v>0.15160000000000001</v>
      </c>
      <c r="AK115" s="1">
        <v>0.3201</v>
      </c>
      <c r="AL115" s="1">
        <v>0.1595</v>
      </c>
      <c r="AM115" s="1">
        <v>0.1648</v>
      </c>
      <c r="AN115" s="1">
        <v>5.525E-2</v>
      </c>
    </row>
    <row r="116" spans="1:40" s="1" customFormat="1" ht="15" x14ac:dyDescent="0.25">
      <c r="A116" s="1">
        <v>881094802</v>
      </c>
      <c r="B116" s="1" t="s">
        <v>36</v>
      </c>
      <c r="C116" s="1">
        <v>17.420000000000002</v>
      </c>
      <c r="D116" s="1">
        <v>25.56</v>
      </c>
      <c r="E116" s="2"/>
      <c r="F116" s="2"/>
      <c r="G116" s="2"/>
      <c r="H116" s="2"/>
      <c r="I116" s="2"/>
      <c r="J116" s="2"/>
      <c r="K116" s="2"/>
      <c r="L116" s="2"/>
      <c r="M116" s="1">
        <v>114.5</v>
      </c>
      <c r="N116" s="1">
        <v>948</v>
      </c>
      <c r="O116" s="1">
        <v>0.10059999999999999</v>
      </c>
      <c r="P116" s="1">
        <v>0.11459999999999999</v>
      </c>
      <c r="Q116" s="1">
        <v>0.16819999999999999</v>
      </c>
      <c r="R116" s="1">
        <v>6.5970000000000001E-2</v>
      </c>
      <c r="S116" s="1">
        <v>0.1308</v>
      </c>
      <c r="T116" s="1">
        <v>5.8659999999999997E-2</v>
      </c>
      <c r="U116" s="1">
        <v>0.52959999999999996</v>
      </c>
      <c r="V116" s="1">
        <v>1.667</v>
      </c>
      <c r="W116" s="1">
        <v>3.7669999999999999</v>
      </c>
      <c r="X116" s="1">
        <v>58.53</v>
      </c>
      <c r="Y116" s="1">
        <v>3.1130000000000001E-2</v>
      </c>
      <c r="Z116" s="1">
        <v>8.5550000000000001E-2</v>
      </c>
      <c r="AA116" s="1">
        <v>0.14380000000000001</v>
      </c>
      <c r="AB116" s="1">
        <v>3.9269999999999999E-2</v>
      </c>
      <c r="AC116" s="1">
        <v>2.1749999999999999E-2</v>
      </c>
      <c r="AD116" s="1">
        <v>1.256E-2</v>
      </c>
      <c r="AE116" s="1">
        <v>18.07</v>
      </c>
      <c r="AF116" s="1">
        <v>28.07</v>
      </c>
      <c r="AG116" s="1">
        <v>120.4</v>
      </c>
      <c r="AH116" s="1">
        <v>1021</v>
      </c>
      <c r="AI116" s="1">
        <v>0.12429999999999999</v>
      </c>
      <c r="AJ116" s="1">
        <v>0.17929999999999999</v>
      </c>
      <c r="AK116" s="1">
        <v>0.28029999999999999</v>
      </c>
      <c r="AL116" s="1">
        <v>0.1099</v>
      </c>
      <c r="AM116" s="1">
        <v>0.1603</v>
      </c>
      <c r="AN116" s="1">
        <v>6.8180000000000004E-2</v>
      </c>
    </row>
    <row r="117" spans="1:40" s="1" customFormat="1" ht="15" x14ac:dyDescent="0.25">
      <c r="A117" s="1">
        <v>8810955</v>
      </c>
      <c r="B117" s="1" t="s">
        <v>36</v>
      </c>
      <c r="C117" s="1">
        <v>14.19</v>
      </c>
      <c r="D117" s="1">
        <v>23.81</v>
      </c>
      <c r="E117" s="2"/>
      <c r="F117" s="2"/>
      <c r="G117" s="2"/>
      <c r="H117" s="2"/>
      <c r="I117" s="2"/>
      <c r="J117" s="2"/>
      <c r="K117" s="2"/>
      <c r="L117" s="2"/>
      <c r="M117" s="1">
        <v>92.87</v>
      </c>
      <c r="N117" s="1">
        <v>610.70000000000005</v>
      </c>
      <c r="O117" s="1">
        <v>9.4630000000000006E-2</v>
      </c>
      <c r="P117" s="1">
        <v>0.13059999999999999</v>
      </c>
      <c r="Q117" s="1">
        <v>0.1115</v>
      </c>
      <c r="R117" s="1">
        <v>6.4619999999999997E-2</v>
      </c>
      <c r="S117" s="1">
        <v>0.2235</v>
      </c>
      <c r="T117" s="1">
        <v>6.4329999999999998E-2</v>
      </c>
      <c r="U117" s="1">
        <v>0.42070000000000002</v>
      </c>
      <c r="V117" s="1">
        <v>1.845</v>
      </c>
      <c r="W117" s="1">
        <v>3.5339999999999998</v>
      </c>
      <c r="X117" s="1">
        <v>31</v>
      </c>
      <c r="Y117" s="1">
        <v>1.0880000000000001E-2</v>
      </c>
      <c r="Z117" s="1">
        <v>3.7100000000000001E-2</v>
      </c>
      <c r="AA117" s="1">
        <v>3.6880000000000003E-2</v>
      </c>
      <c r="AB117" s="1">
        <v>1.627E-2</v>
      </c>
      <c r="AC117" s="1">
        <v>4.4990000000000002E-2</v>
      </c>
      <c r="AD117" s="1">
        <v>4.7679999999999997E-3</v>
      </c>
      <c r="AE117" s="1">
        <v>16.86</v>
      </c>
      <c r="AF117" s="1">
        <v>34.85</v>
      </c>
      <c r="AG117" s="1">
        <v>115</v>
      </c>
      <c r="AH117" s="1">
        <v>811.3</v>
      </c>
      <c r="AI117" s="1">
        <v>0.15590000000000001</v>
      </c>
      <c r="AJ117" s="1">
        <v>0.40589999999999998</v>
      </c>
      <c r="AK117" s="1">
        <v>0.37440000000000001</v>
      </c>
      <c r="AL117" s="1">
        <v>0.1772</v>
      </c>
      <c r="AM117" s="1">
        <v>0.47239999999999999</v>
      </c>
      <c r="AN117" s="1">
        <v>0.1026</v>
      </c>
    </row>
    <row r="118" spans="1:40" s="1" customFormat="1" ht="15" x14ac:dyDescent="0.25">
      <c r="A118" s="1">
        <v>8810987</v>
      </c>
      <c r="B118" s="1" t="s">
        <v>36</v>
      </c>
      <c r="C118" s="1">
        <v>13.86</v>
      </c>
      <c r="D118" s="1">
        <v>16.93</v>
      </c>
      <c r="E118" s="2"/>
      <c r="F118" s="2"/>
      <c r="G118" s="2"/>
      <c r="H118" s="2"/>
      <c r="I118" s="2"/>
      <c r="J118" s="2"/>
      <c r="K118" s="2"/>
      <c r="L118" s="2"/>
      <c r="M118" s="1">
        <v>90.96</v>
      </c>
      <c r="N118" s="1">
        <v>578.9</v>
      </c>
      <c r="O118" s="1">
        <v>0.1026</v>
      </c>
      <c r="P118" s="1">
        <v>0.1517</v>
      </c>
      <c r="Q118" s="1">
        <v>9.9010000000000001E-2</v>
      </c>
      <c r="R118" s="1">
        <v>5.602E-2</v>
      </c>
      <c r="S118" s="1">
        <v>0.21060000000000001</v>
      </c>
      <c r="T118" s="1">
        <v>6.9159999999999999E-2</v>
      </c>
      <c r="U118" s="1">
        <v>0.25629999999999997</v>
      </c>
      <c r="V118" s="1">
        <v>1.194</v>
      </c>
      <c r="W118" s="1">
        <v>1.9330000000000001</v>
      </c>
      <c r="X118" s="1">
        <v>22.69</v>
      </c>
      <c r="Y118" s="1">
        <v>5.96E-3</v>
      </c>
      <c r="Z118" s="1">
        <v>3.4380000000000001E-2</v>
      </c>
      <c r="AA118" s="1">
        <v>3.909E-2</v>
      </c>
      <c r="AB118" s="1">
        <v>1.435E-2</v>
      </c>
      <c r="AC118" s="1">
        <v>1.9390000000000001E-2</v>
      </c>
      <c r="AD118" s="1">
        <v>4.5599999999999998E-3</v>
      </c>
      <c r="AE118" s="1">
        <v>15.75</v>
      </c>
      <c r="AF118" s="1">
        <v>26.93</v>
      </c>
      <c r="AG118" s="1">
        <v>104.4</v>
      </c>
      <c r="AH118" s="1">
        <v>750.1</v>
      </c>
      <c r="AI118" s="1">
        <v>0.14599999999999999</v>
      </c>
      <c r="AJ118" s="1">
        <v>0.437</v>
      </c>
      <c r="AK118" s="1">
        <v>0.46360000000000001</v>
      </c>
      <c r="AL118" s="1">
        <v>0.16539999999999999</v>
      </c>
      <c r="AM118" s="1">
        <v>0.36299999999999999</v>
      </c>
      <c r="AN118" s="1">
        <v>0.10589999999999999</v>
      </c>
    </row>
    <row r="119" spans="1:40" s="1" customFormat="1" ht="15" x14ac:dyDescent="0.25">
      <c r="A119" s="1">
        <v>8811523</v>
      </c>
      <c r="B119" s="1" t="s">
        <v>37</v>
      </c>
      <c r="C119" s="1">
        <v>11.89</v>
      </c>
      <c r="D119" s="1">
        <v>18.350000000000001</v>
      </c>
      <c r="E119" s="2"/>
      <c r="F119" s="2"/>
      <c r="G119" s="2"/>
      <c r="H119" s="2"/>
      <c r="I119" s="2"/>
      <c r="J119" s="2"/>
      <c r="K119" s="2"/>
      <c r="L119" s="2"/>
      <c r="M119" s="1">
        <v>77.319999999999993</v>
      </c>
      <c r="N119" s="1">
        <v>432.2</v>
      </c>
      <c r="O119" s="1">
        <v>9.3630000000000005E-2</v>
      </c>
      <c r="P119" s="1">
        <v>0.1154</v>
      </c>
      <c r="Q119" s="1">
        <v>6.6360000000000002E-2</v>
      </c>
      <c r="R119" s="1">
        <v>3.1419999999999997E-2</v>
      </c>
      <c r="S119" s="1">
        <v>0.19670000000000001</v>
      </c>
      <c r="T119" s="1">
        <v>6.3140000000000002E-2</v>
      </c>
      <c r="U119" s="1">
        <v>0.29630000000000001</v>
      </c>
      <c r="V119" s="1">
        <v>1.5629999999999999</v>
      </c>
      <c r="W119" s="1">
        <v>2.0870000000000002</v>
      </c>
      <c r="X119" s="1">
        <v>21.46</v>
      </c>
      <c r="Y119" s="1">
        <v>8.8719999999999997E-3</v>
      </c>
      <c r="Z119" s="1">
        <v>4.1919999999999999E-2</v>
      </c>
      <c r="AA119" s="1">
        <v>5.9459999999999999E-2</v>
      </c>
      <c r="AB119" s="1">
        <v>1.7850000000000001E-2</v>
      </c>
      <c r="AC119" s="1">
        <v>2.793E-2</v>
      </c>
      <c r="AD119" s="1">
        <v>4.7749999999999997E-3</v>
      </c>
      <c r="AE119" s="1">
        <v>13.25</v>
      </c>
      <c r="AF119" s="1">
        <v>27.1</v>
      </c>
      <c r="AG119" s="1">
        <v>86.2</v>
      </c>
      <c r="AH119" s="1">
        <v>531.20000000000005</v>
      </c>
      <c r="AI119" s="1">
        <v>0.14050000000000001</v>
      </c>
      <c r="AJ119" s="1">
        <v>0.30459999999999998</v>
      </c>
      <c r="AK119" s="1">
        <v>0.28060000000000002</v>
      </c>
      <c r="AL119" s="1">
        <v>0.1138</v>
      </c>
      <c r="AM119" s="1">
        <v>0.3397</v>
      </c>
      <c r="AN119" s="1">
        <v>8.3650000000000002E-2</v>
      </c>
    </row>
    <row r="120" spans="1:40" s="1" customFormat="1" ht="15" x14ac:dyDescent="0.25">
      <c r="A120" s="1">
        <v>8811779</v>
      </c>
      <c r="B120" s="1" t="s">
        <v>37</v>
      </c>
      <c r="C120" s="1">
        <v>10.199999999999999</v>
      </c>
      <c r="D120" s="1">
        <v>17.48</v>
      </c>
      <c r="E120" s="2"/>
      <c r="F120" s="2"/>
      <c r="G120" s="2"/>
      <c r="H120" s="2"/>
      <c r="I120" s="2"/>
      <c r="J120" s="2"/>
      <c r="K120" s="2"/>
      <c r="L120" s="2"/>
      <c r="M120" s="1">
        <v>65.05</v>
      </c>
      <c r="N120" s="1">
        <v>321.2</v>
      </c>
      <c r="O120" s="1">
        <v>8.054E-2</v>
      </c>
      <c r="P120" s="1">
        <v>5.9069999999999998E-2</v>
      </c>
      <c r="Q120" s="1">
        <v>5.774E-2</v>
      </c>
      <c r="R120" s="1">
        <v>1.0710000000000001E-2</v>
      </c>
      <c r="S120" s="1">
        <v>0.19639999999999999</v>
      </c>
      <c r="T120" s="1">
        <v>6.3149999999999998E-2</v>
      </c>
      <c r="U120" s="1">
        <v>0.35670000000000002</v>
      </c>
      <c r="V120" s="1">
        <v>1.9219999999999999</v>
      </c>
      <c r="W120" s="1">
        <v>2.7469999999999999</v>
      </c>
      <c r="X120" s="1">
        <v>22.79</v>
      </c>
      <c r="Y120" s="1">
        <v>4.6800000000000001E-3</v>
      </c>
      <c r="Z120" s="1">
        <v>3.1199999999999999E-2</v>
      </c>
      <c r="AA120" s="1">
        <v>5.774E-2</v>
      </c>
      <c r="AB120" s="1">
        <v>1.0710000000000001E-2</v>
      </c>
      <c r="AC120" s="1">
        <v>2.5600000000000001E-2</v>
      </c>
      <c r="AD120" s="1">
        <v>4.6129999999999999E-3</v>
      </c>
      <c r="AE120" s="1">
        <v>11.48</v>
      </c>
      <c r="AF120" s="1">
        <v>24.47</v>
      </c>
      <c r="AG120" s="1">
        <v>75.400000000000006</v>
      </c>
      <c r="AH120" s="1">
        <v>403.7</v>
      </c>
      <c r="AI120" s="1">
        <v>9.5269999999999994E-2</v>
      </c>
      <c r="AJ120" s="1">
        <v>0.13969999999999999</v>
      </c>
      <c r="AK120" s="1">
        <v>0.1925</v>
      </c>
      <c r="AL120" s="1">
        <v>3.5709999999999999E-2</v>
      </c>
      <c r="AM120" s="1">
        <v>0.2868</v>
      </c>
      <c r="AN120" s="1">
        <v>7.8090000000000007E-2</v>
      </c>
    </row>
    <row r="121" spans="1:40" s="1" customFormat="1" ht="15" x14ac:dyDescent="0.25">
      <c r="A121" s="1">
        <v>8811842</v>
      </c>
      <c r="B121" s="1" t="s">
        <v>36</v>
      </c>
      <c r="C121" s="1">
        <v>19.8</v>
      </c>
      <c r="D121" s="1">
        <v>21.56</v>
      </c>
      <c r="E121" s="2"/>
      <c r="F121" s="2"/>
      <c r="G121" s="2"/>
      <c r="H121" s="2"/>
      <c r="I121" s="2"/>
      <c r="J121" s="2"/>
      <c r="K121" s="2"/>
      <c r="L121" s="2"/>
      <c r="M121" s="1">
        <v>129.69999999999999</v>
      </c>
      <c r="N121" s="1">
        <v>1230</v>
      </c>
      <c r="O121" s="1">
        <v>9.3829999999999997E-2</v>
      </c>
      <c r="P121" s="1">
        <v>0.13059999999999999</v>
      </c>
      <c r="Q121" s="1">
        <v>0.12720000000000001</v>
      </c>
      <c r="R121" s="1">
        <v>8.6910000000000001E-2</v>
      </c>
      <c r="S121" s="1">
        <v>0.2094</v>
      </c>
      <c r="T121" s="1">
        <v>5.5809999999999998E-2</v>
      </c>
      <c r="U121" s="1">
        <v>0.95530000000000004</v>
      </c>
      <c r="V121" s="1">
        <v>1.1859999999999999</v>
      </c>
      <c r="W121" s="1">
        <v>6.4870000000000001</v>
      </c>
      <c r="X121" s="1">
        <v>124.4</v>
      </c>
      <c r="Y121" s="1">
        <v>6.8040000000000002E-3</v>
      </c>
      <c r="Z121" s="1">
        <v>3.1690000000000003E-2</v>
      </c>
      <c r="AA121" s="1">
        <v>3.4459999999999998E-2</v>
      </c>
      <c r="AB121" s="1">
        <v>1.712E-2</v>
      </c>
      <c r="AC121" s="1">
        <v>1.8970000000000001E-2</v>
      </c>
      <c r="AD121" s="1">
        <v>4.045E-3</v>
      </c>
      <c r="AE121" s="1">
        <v>25.73</v>
      </c>
      <c r="AF121" s="1">
        <v>28.64</v>
      </c>
      <c r="AG121" s="1">
        <v>170.3</v>
      </c>
      <c r="AH121" s="1">
        <v>2009</v>
      </c>
      <c r="AI121" s="1">
        <v>0.1353</v>
      </c>
      <c r="AJ121" s="1">
        <v>0.32350000000000001</v>
      </c>
      <c r="AK121" s="1">
        <v>0.36170000000000002</v>
      </c>
      <c r="AL121" s="1">
        <v>0.182</v>
      </c>
      <c r="AM121" s="1">
        <v>0.307</v>
      </c>
      <c r="AN121" s="1">
        <v>8.2549999999999998E-2</v>
      </c>
    </row>
    <row r="122" spans="1:40" s="1" customFormat="1" ht="15" x14ac:dyDescent="0.25">
      <c r="A122" s="1">
        <v>88119002</v>
      </c>
      <c r="B122" s="1" t="s">
        <v>36</v>
      </c>
      <c r="C122" s="1">
        <v>19.53</v>
      </c>
      <c r="D122" s="1">
        <v>32.47</v>
      </c>
      <c r="E122" s="2"/>
      <c r="F122" s="2"/>
      <c r="G122" s="2"/>
      <c r="H122" s="2"/>
      <c r="I122" s="2"/>
      <c r="J122" s="2"/>
      <c r="K122" s="2"/>
      <c r="L122" s="2"/>
      <c r="M122" s="1">
        <v>128</v>
      </c>
      <c r="N122" s="1">
        <v>1223</v>
      </c>
      <c r="O122" s="1">
        <v>8.4199999999999997E-2</v>
      </c>
      <c r="P122" s="1">
        <v>0.113</v>
      </c>
      <c r="Q122" s="1">
        <v>0.1145</v>
      </c>
      <c r="R122" s="1">
        <v>6.6369999999999998E-2</v>
      </c>
      <c r="S122" s="1">
        <v>0.14280000000000001</v>
      </c>
      <c r="T122" s="1">
        <v>5.3129999999999997E-2</v>
      </c>
      <c r="U122" s="1">
        <v>0.73919999999999997</v>
      </c>
      <c r="V122" s="1">
        <v>1.321</v>
      </c>
      <c r="W122" s="1">
        <v>4.7220000000000004</v>
      </c>
      <c r="X122" s="1">
        <v>109.9</v>
      </c>
      <c r="Y122" s="1">
        <v>5.5389999999999997E-3</v>
      </c>
      <c r="Z122" s="1">
        <v>2.6440000000000002E-2</v>
      </c>
      <c r="AA122" s="1">
        <v>2.664E-2</v>
      </c>
      <c r="AB122" s="1">
        <v>1.078E-2</v>
      </c>
      <c r="AC122" s="1">
        <v>1.332E-2</v>
      </c>
      <c r="AD122" s="1">
        <v>2.2560000000000002E-3</v>
      </c>
      <c r="AE122" s="1">
        <v>27.9</v>
      </c>
      <c r="AF122" s="1">
        <v>45.41</v>
      </c>
      <c r="AG122" s="1">
        <v>180.2</v>
      </c>
      <c r="AH122" s="1">
        <v>2477</v>
      </c>
      <c r="AI122" s="1">
        <v>0.14080000000000001</v>
      </c>
      <c r="AJ122" s="1">
        <v>0.40970000000000001</v>
      </c>
      <c r="AK122" s="1">
        <v>0.39950000000000002</v>
      </c>
      <c r="AL122" s="1">
        <v>0.16250000000000001</v>
      </c>
      <c r="AM122" s="1">
        <v>0.27129999999999999</v>
      </c>
      <c r="AN122" s="1">
        <v>7.5679999999999997E-2</v>
      </c>
    </row>
    <row r="123" spans="1:40" s="1" customFormat="1" ht="15" x14ac:dyDescent="0.25">
      <c r="A123" s="1">
        <v>8812816</v>
      </c>
      <c r="B123" s="1" t="s">
        <v>37</v>
      </c>
      <c r="C123" s="1">
        <v>13.65</v>
      </c>
      <c r="D123" s="1">
        <v>13.16</v>
      </c>
      <c r="E123" s="2"/>
      <c r="F123" s="2"/>
      <c r="G123" s="2"/>
      <c r="H123" s="2"/>
      <c r="I123" s="2"/>
      <c r="J123" s="2"/>
      <c r="K123" s="2"/>
      <c r="L123" s="2"/>
      <c r="M123" s="1">
        <v>87.88</v>
      </c>
      <c r="N123" s="1">
        <v>568.9</v>
      </c>
      <c r="O123" s="1">
        <v>9.6460000000000004E-2</v>
      </c>
      <c r="P123" s="1">
        <v>8.7110000000000007E-2</v>
      </c>
      <c r="Q123" s="1">
        <v>3.8879999999999998E-2</v>
      </c>
      <c r="R123" s="1">
        <v>2.563E-2</v>
      </c>
      <c r="S123" s="1">
        <v>0.13600000000000001</v>
      </c>
      <c r="T123" s="1">
        <v>6.3439999999999996E-2</v>
      </c>
      <c r="U123" s="1">
        <v>0.2102</v>
      </c>
      <c r="V123" s="1">
        <v>0.43359999999999999</v>
      </c>
      <c r="W123" s="1">
        <v>1.391</v>
      </c>
      <c r="X123" s="1">
        <v>17.399999999999999</v>
      </c>
      <c r="Y123" s="1">
        <v>4.1330000000000004E-3</v>
      </c>
      <c r="Z123" s="1">
        <v>1.695E-2</v>
      </c>
      <c r="AA123" s="1">
        <v>1.652E-2</v>
      </c>
      <c r="AB123" s="1">
        <v>6.659E-3</v>
      </c>
      <c r="AC123" s="1">
        <v>1.371E-2</v>
      </c>
      <c r="AD123" s="1">
        <v>2.735E-3</v>
      </c>
      <c r="AE123" s="1">
        <v>15.34</v>
      </c>
      <c r="AF123" s="1">
        <v>16.350000000000001</v>
      </c>
      <c r="AG123" s="1">
        <v>99.71</v>
      </c>
      <c r="AH123" s="1">
        <v>706.2</v>
      </c>
      <c r="AI123" s="1">
        <v>0.13109999999999999</v>
      </c>
      <c r="AJ123" s="1">
        <v>0.24740000000000001</v>
      </c>
      <c r="AK123" s="1">
        <v>0.1759</v>
      </c>
      <c r="AL123" s="1">
        <v>8.0560000000000007E-2</v>
      </c>
      <c r="AM123" s="1">
        <v>0.23799999999999999</v>
      </c>
      <c r="AN123" s="1">
        <v>8.7179999999999994E-2</v>
      </c>
    </row>
    <row r="124" spans="1:40" s="1" customFormat="1" ht="15" x14ac:dyDescent="0.25">
      <c r="A124" s="1">
        <v>8812818</v>
      </c>
      <c r="B124" s="1" t="s">
        <v>37</v>
      </c>
      <c r="C124" s="1">
        <v>13.56</v>
      </c>
      <c r="D124" s="1">
        <v>13.9</v>
      </c>
      <c r="E124" s="2"/>
      <c r="F124" s="2"/>
      <c r="G124" s="2"/>
      <c r="H124" s="2"/>
      <c r="I124" s="2"/>
      <c r="J124" s="2"/>
      <c r="K124" s="2"/>
      <c r="L124" s="2"/>
      <c r="M124" s="1">
        <v>88.59</v>
      </c>
      <c r="N124" s="1">
        <v>561.29999999999995</v>
      </c>
      <c r="O124" s="1">
        <v>0.1051</v>
      </c>
      <c r="P124" s="1">
        <v>0.1192</v>
      </c>
      <c r="Q124" s="1">
        <v>7.8600000000000003E-2</v>
      </c>
      <c r="R124" s="1">
        <v>4.4510000000000001E-2</v>
      </c>
      <c r="S124" s="1">
        <v>0.19620000000000001</v>
      </c>
      <c r="T124" s="1">
        <v>6.3030000000000003E-2</v>
      </c>
      <c r="U124" s="1">
        <v>0.25690000000000002</v>
      </c>
      <c r="V124" s="1">
        <v>0.49809999999999999</v>
      </c>
      <c r="W124" s="1">
        <v>2.0110000000000001</v>
      </c>
      <c r="X124" s="1">
        <v>21.03</v>
      </c>
      <c r="Y124" s="1">
        <v>5.8510000000000003E-3</v>
      </c>
      <c r="Z124" s="1">
        <v>2.3140000000000001E-2</v>
      </c>
      <c r="AA124" s="1">
        <v>2.5440000000000001E-2</v>
      </c>
      <c r="AB124" s="1">
        <v>8.3599999999999994E-3</v>
      </c>
      <c r="AC124" s="1">
        <v>1.8419999999999999E-2</v>
      </c>
      <c r="AD124" s="1">
        <v>2.918E-3</v>
      </c>
      <c r="AE124" s="1">
        <v>14.98</v>
      </c>
      <c r="AF124" s="1">
        <v>17.13</v>
      </c>
      <c r="AG124" s="1">
        <v>101.1</v>
      </c>
      <c r="AH124" s="1">
        <v>686.6</v>
      </c>
      <c r="AI124" s="1">
        <v>0.1376</v>
      </c>
      <c r="AJ124" s="1">
        <v>0.26979999999999998</v>
      </c>
      <c r="AK124" s="1">
        <v>0.25769999999999998</v>
      </c>
      <c r="AL124" s="1">
        <v>9.0899999999999995E-2</v>
      </c>
      <c r="AM124" s="1">
        <v>0.30649999999999999</v>
      </c>
      <c r="AN124" s="1">
        <v>8.1769999999999995E-2</v>
      </c>
    </row>
    <row r="125" spans="1:40" s="1" customFormat="1" ht="15" x14ac:dyDescent="0.25">
      <c r="A125" s="1">
        <v>8812844</v>
      </c>
      <c r="B125" s="1" t="s">
        <v>37</v>
      </c>
      <c r="C125" s="1">
        <v>10.18</v>
      </c>
      <c r="D125" s="1">
        <v>17.53</v>
      </c>
      <c r="E125" s="2"/>
      <c r="F125" s="2"/>
      <c r="G125" s="2"/>
      <c r="H125" s="2"/>
      <c r="I125" s="2"/>
      <c r="J125" s="2"/>
      <c r="K125" s="2"/>
      <c r="L125" s="2"/>
      <c r="M125" s="1">
        <v>65.12</v>
      </c>
      <c r="N125" s="1">
        <v>313.10000000000002</v>
      </c>
      <c r="O125" s="1">
        <v>0.1061</v>
      </c>
      <c r="P125" s="1">
        <v>8.5019999999999998E-2</v>
      </c>
      <c r="Q125" s="1">
        <v>1.7680000000000001E-2</v>
      </c>
      <c r="R125" s="1">
        <v>1.915E-2</v>
      </c>
      <c r="S125" s="1">
        <v>0.191</v>
      </c>
      <c r="T125" s="1">
        <v>6.9080000000000003E-2</v>
      </c>
      <c r="U125" s="1">
        <v>0.2467</v>
      </c>
      <c r="V125" s="1">
        <v>1.2170000000000001</v>
      </c>
      <c r="W125" s="1">
        <v>1.641</v>
      </c>
      <c r="X125" s="1">
        <v>15.05</v>
      </c>
      <c r="Y125" s="1">
        <v>7.8989999999999998E-3</v>
      </c>
      <c r="Z125" s="1">
        <v>1.4E-2</v>
      </c>
      <c r="AA125" s="1">
        <v>8.5339999999999999E-3</v>
      </c>
      <c r="AB125" s="1">
        <v>7.6239999999999997E-3</v>
      </c>
      <c r="AC125" s="1">
        <v>2.6370000000000001E-2</v>
      </c>
      <c r="AD125" s="1">
        <v>3.761E-3</v>
      </c>
      <c r="AE125" s="1">
        <v>11.17</v>
      </c>
      <c r="AF125" s="1">
        <v>22.84</v>
      </c>
      <c r="AG125" s="1">
        <v>71.94</v>
      </c>
      <c r="AH125" s="1">
        <v>375.6</v>
      </c>
      <c r="AI125" s="1">
        <v>0.1406</v>
      </c>
      <c r="AJ125" s="1">
        <v>0.14399999999999999</v>
      </c>
      <c r="AK125" s="1">
        <v>6.5720000000000001E-2</v>
      </c>
      <c r="AL125" s="1">
        <v>5.5750000000000001E-2</v>
      </c>
      <c r="AM125" s="1">
        <v>0.30549999999999999</v>
      </c>
      <c r="AN125" s="1">
        <v>8.7970000000000007E-2</v>
      </c>
    </row>
    <row r="126" spans="1:40" s="1" customFormat="1" ht="15" x14ac:dyDescent="0.25">
      <c r="A126" s="1">
        <v>8812877</v>
      </c>
      <c r="B126" s="1" t="s">
        <v>36</v>
      </c>
      <c r="C126" s="1">
        <v>15.75</v>
      </c>
      <c r="D126" s="1">
        <v>20.25</v>
      </c>
      <c r="E126" s="2"/>
      <c r="F126" s="2"/>
      <c r="G126" s="2"/>
      <c r="H126" s="2"/>
      <c r="I126" s="2"/>
      <c r="J126" s="2"/>
      <c r="K126" s="2"/>
      <c r="L126" s="2"/>
      <c r="M126" s="1">
        <v>102.6</v>
      </c>
      <c r="N126" s="1">
        <v>761.3</v>
      </c>
      <c r="O126" s="1">
        <v>0.10249999999999999</v>
      </c>
      <c r="P126" s="1">
        <v>0.12039999999999999</v>
      </c>
      <c r="Q126" s="1">
        <v>0.1147</v>
      </c>
      <c r="R126" s="1">
        <v>6.4619999999999997E-2</v>
      </c>
      <c r="S126" s="1">
        <v>0.19350000000000001</v>
      </c>
      <c r="T126" s="1">
        <v>6.3030000000000003E-2</v>
      </c>
      <c r="U126" s="1">
        <v>0.3473</v>
      </c>
      <c r="V126" s="1">
        <v>0.92090000000000005</v>
      </c>
      <c r="W126" s="1">
        <v>2.2440000000000002</v>
      </c>
      <c r="X126" s="1">
        <v>32.19</v>
      </c>
      <c r="Y126" s="1">
        <v>4.7660000000000003E-3</v>
      </c>
      <c r="Z126" s="1">
        <v>2.3740000000000001E-2</v>
      </c>
      <c r="AA126" s="1">
        <v>2.384E-2</v>
      </c>
      <c r="AB126" s="1">
        <v>8.6370000000000006E-3</v>
      </c>
      <c r="AC126" s="1">
        <v>1.772E-2</v>
      </c>
      <c r="AD126" s="1">
        <v>3.1310000000000001E-3</v>
      </c>
      <c r="AE126" s="1">
        <v>19.559999999999999</v>
      </c>
      <c r="AF126" s="1">
        <v>30.29</v>
      </c>
      <c r="AG126" s="1">
        <v>125.9</v>
      </c>
      <c r="AH126" s="1">
        <v>1088</v>
      </c>
      <c r="AI126" s="1">
        <v>0.1552</v>
      </c>
      <c r="AJ126" s="1">
        <v>0.44800000000000001</v>
      </c>
      <c r="AK126" s="1">
        <v>0.39760000000000001</v>
      </c>
      <c r="AL126" s="1">
        <v>0.1479</v>
      </c>
      <c r="AM126" s="1">
        <v>0.39929999999999999</v>
      </c>
      <c r="AN126" s="1">
        <v>0.10639999999999999</v>
      </c>
    </row>
    <row r="127" spans="1:40" s="1" customFormat="1" ht="15" x14ac:dyDescent="0.25">
      <c r="A127" s="1">
        <v>8813129</v>
      </c>
      <c r="B127" s="1" t="s">
        <v>37</v>
      </c>
      <c r="C127" s="1">
        <v>13.27</v>
      </c>
      <c r="D127" s="1">
        <v>17.02</v>
      </c>
      <c r="E127" s="2"/>
      <c r="F127" s="2"/>
      <c r="G127" s="2"/>
      <c r="H127" s="2"/>
      <c r="I127" s="2"/>
      <c r="J127" s="2"/>
      <c r="K127" s="2"/>
      <c r="L127" s="2"/>
      <c r="M127" s="1">
        <v>84.55</v>
      </c>
      <c r="N127" s="1">
        <v>546.4</v>
      </c>
      <c r="O127" s="1">
        <v>8.4449999999999997E-2</v>
      </c>
      <c r="P127" s="1">
        <v>4.9939999999999998E-2</v>
      </c>
      <c r="Q127" s="1">
        <v>3.5540000000000002E-2</v>
      </c>
      <c r="R127" s="1">
        <v>2.4559999999999998E-2</v>
      </c>
      <c r="S127" s="1">
        <v>0.14960000000000001</v>
      </c>
      <c r="T127" s="1">
        <v>5.6739999999999999E-2</v>
      </c>
      <c r="U127" s="1">
        <v>0.29270000000000002</v>
      </c>
      <c r="V127" s="1">
        <v>0.89070000000000005</v>
      </c>
      <c r="W127" s="1">
        <v>2.044</v>
      </c>
      <c r="X127" s="1">
        <v>24.68</v>
      </c>
      <c r="Y127" s="1">
        <v>6.032E-3</v>
      </c>
      <c r="Z127" s="1">
        <v>1.1039999999999999E-2</v>
      </c>
      <c r="AA127" s="1">
        <v>2.2589999999999999E-2</v>
      </c>
      <c r="AB127" s="1">
        <v>9.0570000000000008E-3</v>
      </c>
      <c r="AC127" s="1">
        <v>1.482E-2</v>
      </c>
      <c r="AD127" s="1">
        <v>2.496E-3</v>
      </c>
      <c r="AE127" s="1">
        <v>15.14</v>
      </c>
      <c r="AF127" s="1">
        <v>23.6</v>
      </c>
      <c r="AG127" s="1">
        <v>98.84</v>
      </c>
      <c r="AH127" s="1">
        <v>708.8</v>
      </c>
      <c r="AI127" s="1">
        <v>0.12759999999999999</v>
      </c>
      <c r="AJ127" s="1">
        <v>0.13109999999999999</v>
      </c>
      <c r="AK127" s="1">
        <v>0.17860000000000001</v>
      </c>
      <c r="AL127" s="1">
        <v>9.6780000000000005E-2</v>
      </c>
      <c r="AM127" s="1">
        <v>0.25059999999999999</v>
      </c>
      <c r="AN127" s="1">
        <v>7.6230000000000006E-2</v>
      </c>
    </row>
    <row r="128" spans="1:40" s="1" customFormat="1" ht="15" x14ac:dyDescent="0.25">
      <c r="A128" s="1">
        <v>88143502</v>
      </c>
      <c r="B128" s="1" t="s">
        <v>37</v>
      </c>
      <c r="C128" s="1">
        <v>14.34</v>
      </c>
      <c r="D128" s="1">
        <v>13.47</v>
      </c>
      <c r="E128" s="2"/>
      <c r="F128" s="2"/>
      <c r="G128" s="2"/>
      <c r="H128" s="2"/>
      <c r="I128" s="2"/>
      <c r="J128" s="2"/>
      <c r="K128" s="2"/>
      <c r="L128" s="2"/>
      <c r="M128" s="1">
        <v>92.51</v>
      </c>
      <c r="N128" s="1">
        <v>641.20000000000005</v>
      </c>
      <c r="O128" s="1">
        <v>9.9059999999999995E-2</v>
      </c>
      <c r="P128" s="1">
        <v>7.6240000000000002E-2</v>
      </c>
      <c r="Q128" s="1">
        <v>5.7239999999999999E-2</v>
      </c>
      <c r="R128" s="1">
        <v>4.6030000000000001E-2</v>
      </c>
      <c r="S128" s="1">
        <v>0.20749999999999999</v>
      </c>
      <c r="T128" s="1">
        <v>5.4480000000000001E-2</v>
      </c>
      <c r="U128" s="1">
        <v>0.52200000000000002</v>
      </c>
      <c r="V128" s="1">
        <v>0.81210000000000004</v>
      </c>
      <c r="W128" s="1">
        <v>3.7629999999999999</v>
      </c>
      <c r="X128" s="1">
        <v>48.29</v>
      </c>
      <c r="Y128" s="1">
        <v>7.0889999999999998E-3</v>
      </c>
      <c r="Z128" s="1">
        <v>1.4279999999999999E-2</v>
      </c>
      <c r="AA128" s="1">
        <v>2.3599999999999999E-2</v>
      </c>
      <c r="AB128" s="1">
        <v>1.286E-2</v>
      </c>
      <c r="AC128" s="1">
        <v>2.266E-2</v>
      </c>
      <c r="AD128" s="1">
        <v>1.4630000000000001E-3</v>
      </c>
      <c r="AE128" s="1">
        <v>16.77</v>
      </c>
      <c r="AF128" s="1">
        <v>16.899999999999999</v>
      </c>
      <c r="AG128" s="1">
        <v>110.4</v>
      </c>
      <c r="AH128" s="1">
        <v>873.2</v>
      </c>
      <c r="AI128" s="1">
        <v>0.12970000000000001</v>
      </c>
      <c r="AJ128" s="1">
        <v>0.1525</v>
      </c>
      <c r="AK128" s="1">
        <v>0.16320000000000001</v>
      </c>
      <c r="AL128" s="1">
        <v>0.1087</v>
      </c>
      <c r="AM128" s="1">
        <v>0.30620000000000003</v>
      </c>
      <c r="AN128" s="1">
        <v>6.0720000000000003E-2</v>
      </c>
    </row>
    <row r="129" spans="1:40" s="1" customFormat="1" ht="15" x14ac:dyDescent="0.25">
      <c r="A129" s="1">
        <v>88147101</v>
      </c>
      <c r="B129" s="1" t="s">
        <v>37</v>
      </c>
      <c r="C129" s="1">
        <v>10.44</v>
      </c>
      <c r="D129" s="1">
        <v>15.46</v>
      </c>
      <c r="E129" s="2"/>
      <c r="F129" s="2"/>
      <c r="G129" s="2"/>
      <c r="H129" s="2"/>
      <c r="I129" s="2"/>
      <c r="J129" s="2"/>
      <c r="K129" s="2"/>
      <c r="L129" s="2"/>
      <c r="M129" s="1">
        <v>66.62</v>
      </c>
      <c r="N129" s="1">
        <v>329.6</v>
      </c>
      <c r="O129" s="1">
        <v>0.1053</v>
      </c>
      <c r="P129" s="1">
        <v>7.7219999999999997E-2</v>
      </c>
      <c r="Q129" s="1">
        <v>6.6429999999999996E-3</v>
      </c>
      <c r="R129" s="1">
        <v>1.2160000000000001E-2</v>
      </c>
      <c r="S129" s="1">
        <v>0.17879999999999999</v>
      </c>
      <c r="T129" s="1">
        <v>6.4500000000000002E-2</v>
      </c>
      <c r="U129" s="1">
        <v>0.1913</v>
      </c>
      <c r="V129" s="1">
        <v>0.90269999999999995</v>
      </c>
      <c r="W129" s="1">
        <v>1.208</v>
      </c>
      <c r="X129" s="1">
        <v>11.86</v>
      </c>
      <c r="Y129" s="1">
        <v>6.5129999999999997E-3</v>
      </c>
      <c r="Z129" s="1">
        <v>8.0610000000000005E-3</v>
      </c>
      <c r="AA129" s="1">
        <v>2.8170000000000001E-3</v>
      </c>
      <c r="AB129" s="1">
        <v>4.9719999999999999E-3</v>
      </c>
      <c r="AC129" s="1">
        <v>1.502E-2</v>
      </c>
      <c r="AD129" s="1">
        <v>2.8210000000000002E-3</v>
      </c>
      <c r="AE129" s="1">
        <v>11.52</v>
      </c>
      <c r="AF129" s="1">
        <v>19.8</v>
      </c>
      <c r="AG129" s="1">
        <v>73.47</v>
      </c>
      <c r="AH129" s="1">
        <v>395.4</v>
      </c>
      <c r="AI129" s="1">
        <v>0.1341</v>
      </c>
      <c r="AJ129" s="1">
        <v>0.1153</v>
      </c>
      <c r="AK129" s="1">
        <v>2.639E-2</v>
      </c>
      <c r="AL129" s="1">
        <v>4.4639999999999999E-2</v>
      </c>
      <c r="AM129" s="1">
        <v>0.26150000000000001</v>
      </c>
      <c r="AN129" s="1">
        <v>8.269E-2</v>
      </c>
    </row>
    <row r="130" spans="1:40" s="1" customFormat="1" ht="15" x14ac:dyDescent="0.25">
      <c r="A130" s="1">
        <v>88147102</v>
      </c>
      <c r="B130" s="1" t="s">
        <v>37</v>
      </c>
      <c r="C130" s="1">
        <v>15</v>
      </c>
      <c r="D130" s="1">
        <v>15.51</v>
      </c>
      <c r="E130" s="2"/>
      <c r="F130" s="2"/>
      <c r="G130" s="2"/>
      <c r="H130" s="2"/>
      <c r="I130" s="2"/>
      <c r="J130" s="2"/>
      <c r="K130" s="2"/>
      <c r="L130" s="2"/>
      <c r="M130" s="1">
        <v>97.45</v>
      </c>
      <c r="N130" s="1">
        <v>684.5</v>
      </c>
      <c r="O130" s="1">
        <v>8.3710000000000007E-2</v>
      </c>
      <c r="P130" s="1">
        <v>0.1096</v>
      </c>
      <c r="Q130" s="1">
        <v>6.5049999999999997E-2</v>
      </c>
      <c r="R130" s="1">
        <v>3.78E-2</v>
      </c>
      <c r="S130" s="1">
        <v>0.18809999999999999</v>
      </c>
      <c r="T130" s="1">
        <v>5.9069999999999998E-2</v>
      </c>
      <c r="U130" s="1">
        <v>0.23180000000000001</v>
      </c>
      <c r="V130" s="1">
        <v>0.49659999999999999</v>
      </c>
      <c r="W130" s="1">
        <v>2.2759999999999998</v>
      </c>
      <c r="X130" s="1">
        <v>19.88</v>
      </c>
      <c r="Y130" s="1">
        <v>4.1190000000000003E-3</v>
      </c>
      <c r="Z130" s="1">
        <v>3.2070000000000001E-2</v>
      </c>
      <c r="AA130" s="1">
        <v>3.644E-2</v>
      </c>
      <c r="AB130" s="1">
        <v>1.155E-2</v>
      </c>
      <c r="AC130" s="1">
        <v>1.391E-2</v>
      </c>
      <c r="AD130" s="1">
        <v>3.2039999999999998E-3</v>
      </c>
      <c r="AE130" s="1">
        <v>16.41</v>
      </c>
      <c r="AF130" s="1">
        <v>19.309999999999999</v>
      </c>
      <c r="AG130" s="1">
        <v>114.2</v>
      </c>
      <c r="AH130" s="1">
        <v>808.2</v>
      </c>
      <c r="AI130" s="1">
        <v>0.11360000000000001</v>
      </c>
      <c r="AJ130" s="1">
        <v>0.36270000000000002</v>
      </c>
      <c r="AK130" s="1">
        <v>0.3402</v>
      </c>
      <c r="AL130" s="1">
        <v>0.13789999999999999</v>
      </c>
      <c r="AM130" s="1">
        <v>0.2954</v>
      </c>
      <c r="AN130" s="1">
        <v>8.362E-2</v>
      </c>
    </row>
    <row r="131" spans="1:40" s="1" customFormat="1" ht="15" x14ac:dyDescent="0.25">
      <c r="A131" s="1">
        <v>88147202</v>
      </c>
      <c r="B131" s="1" t="s">
        <v>37</v>
      </c>
      <c r="C131" s="1">
        <v>12.62</v>
      </c>
      <c r="D131" s="1">
        <v>23.97</v>
      </c>
      <c r="E131" s="2"/>
      <c r="F131" s="2"/>
      <c r="G131" s="2"/>
      <c r="H131" s="2"/>
      <c r="I131" s="2"/>
      <c r="J131" s="2"/>
      <c r="K131" s="2"/>
      <c r="L131" s="2"/>
      <c r="M131" s="1">
        <v>81.349999999999994</v>
      </c>
      <c r="N131" s="1">
        <v>496.4</v>
      </c>
      <c r="O131" s="1">
        <v>7.9030000000000003E-2</v>
      </c>
      <c r="P131" s="1">
        <v>7.5289999999999996E-2</v>
      </c>
      <c r="Q131" s="1">
        <v>5.4379999999999998E-2</v>
      </c>
      <c r="R131" s="1">
        <v>2.036E-2</v>
      </c>
      <c r="S131" s="1">
        <v>0.15140000000000001</v>
      </c>
      <c r="T131" s="1">
        <v>6.019E-2</v>
      </c>
      <c r="U131" s="1">
        <v>0.24490000000000001</v>
      </c>
      <c r="V131" s="1">
        <v>1.0660000000000001</v>
      </c>
      <c r="W131" s="1">
        <v>1.4450000000000001</v>
      </c>
      <c r="X131" s="1">
        <v>18.510000000000002</v>
      </c>
      <c r="Y131" s="1">
        <v>5.169E-3</v>
      </c>
      <c r="Z131" s="1">
        <v>2.2939999999999999E-2</v>
      </c>
      <c r="AA131" s="1">
        <v>3.0159999999999999E-2</v>
      </c>
      <c r="AB131" s="1">
        <v>8.6910000000000008E-3</v>
      </c>
      <c r="AC131" s="1">
        <v>1.3650000000000001E-2</v>
      </c>
      <c r="AD131" s="1">
        <v>3.4069999999999999E-3</v>
      </c>
      <c r="AE131" s="1">
        <v>14.2</v>
      </c>
      <c r="AF131" s="1">
        <v>31.31</v>
      </c>
      <c r="AG131" s="1">
        <v>90.67</v>
      </c>
      <c r="AH131" s="1">
        <v>624</v>
      </c>
      <c r="AI131" s="1">
        <v>0.1227</v>
      </c>
      <c r="AJ131" s="1">
        <v>0.34539999999999998</v>
      </c>
      <c r="AK131" s="1">
        <v>0.3911</v>
      </c>
      <c r="AL131" s="1">
        <v>0.11799999999999999</v>
      </c>
      <c r="AM131" s="1">
        <v>0.28260000000000002</v>
      </c>
      <c r="AN131" s="1">
        <v>9.5850000000000005E-2</v>
      </c>
    </row>
    <row r="132" spans="1:40" s="1" customFormat="1" ht="15" x14ac:dyDescent="0.25">
      <c r="A132" s="1">
        <v>881861</v>
      </c>
      <c r="B132" s="1" t="s">
        <v>36</v>
      </c>
      <c r="C132" s="1">
        <v>12.83</v>
      </c>
      <c r="D132" s="1">
        <v>22.33</v>
      </c>
      <c r="E132" s="2"/>
      <c r="F132" s="2"/>
      <c r="G132" s="2"/>
      <c r="H132" s="2"/>
      <c r="I132" s="2"/>
      <c r="J132" s="2"/>
      <c r="K132" s="2"/>
      <c r="L132" s="2"/>
      <c r="M132" s="1">
        <v>85.26</v>
      </c>
      <c r="N132" s="1">
        <v>503.2</v>
      </c>
      <c r="O132" s="1">
        <v>0.10879999999999999</v>
      </c>
      <c r="P132" s="1">
        <v>0.1799</v>
      </c>
      <c r="Q132" s="1">
        <v>0.16950000000000001</v>
      </c>
      <c r="R132" s="1">
        <v>6.8610000000000004E-2</v>
      </c>
      <c r="S132" s="1">
        <v>0.21229999999999999</v>
      </c>
      <c r="T132" s="1">
        <v>7.2539999999999993E-2</v>
      </c>
      <c r="U132" s="1">
        <v>0.30609999999999998</v>
      </c>
      <c r="V132" s="1">
        <v>1.069</v>
      </c>
      <c r="W132" s="1">
        <v>2.2570000000000001</v>
      </c>
      <c r="X132" s="1">
        <v>25.13</v>
      </c>
      <c r="Y132" s="1">
        <v>6.9829999999999996E-3</v>
      </c>
      <c r="Z132" s="1">
        <v>3.8580000000000003E-2</v>
      </c>
      <c r="AA132" s="1">
        <v>4.6829999999999997E-2</v>
      </c>
      <c r="AB132" s="1">
        <v>1.499E-2</v>
      </c>
      <c r="AC132" s="1">
        <v>1.6799999999999999E-2</v>
      </c>
      <c r="AD132" s="1">
        <v>5.6169999999999996E-3</v>
      </c>
      <c r="AE132" s="1">
        <v>15.2</v>
      </c>
      <c r="AF132" s="1">
        <v>30.15</v>
      </c>
      <c r="AG132" s="1">
        <v>105.3</v>
      </c>
      <c r="AH132" s="1">
        <v>706</v>
      </c>
      <c r="AI132" s="1">
        <v>0.1777</v>
      </c>
      <c r="AJ132" s="1">
        <v>0.5343</v>
      </c>
      <c r="AK132" s="1">
        <v>0.62819999999999998</v>
      </c>
      <c r="AL132" s="1">
        <v>0.19769999999999999</v>
      </c>
      <c r="AM132" s="1">
        <v>0.3407</v>
      </c>
      <c r="AN132" s="1">
        <v>0.12429999999999999</v>
      </c>
    </row>
    <row r="133" spans="1:40" s="1" customFormat="1" ht="15" x14ac:dyDescent="0.25">
      <c r="A133" s="1">
        <v>881972</v>
      </c>
      <c r="B133" s="1" t="s">
        <v>36</v>
      </c>
      <c r="C133" s="1">
        <v>17.05</v>
      </c>
      <c r="D133" s="1">
        <v>19.079999999999998</v>
      </c>
      <c r="E133" s="2"/>
      <c r="F133" s="2"/>
      <c r="G133" s="2"/>
      <c r="H133" s="2"/>
      <c r="I133" s="2"/>
      <c r="J133" s="2"/>
      <c r="K133" s="2"/>
      <c r="L133" s="2"/>
      <c r="M133" s="1">
        <v>113.4</v>
      </c>
      <c r="N133" s="1">
        <v>895</v>
      </c>
      <c r="O133" s="1">
        <v>0.11409999999999999</v>
      </c>
      <c r="P133" s="1">
        <v>0.15720000000000001</v>
      </c>
      <c r="Q133" s="1">
        <v>0.191</v>
      </c>
      <c r="R133" s="1">
        <v>0.109</v>
      </c>
      <c r="S133" s="1">
        <v>0.21310000000000001</v>
      </c>
      <c r="T133" s="1">
        <v>6.3250000000000001E-2</v>
      </c>
      <c r="U133" s="1">
        <v>0.2959</v>
      </c>
      <c r="V133" s="1">
        <v>0.67900000000000005</v>
      </c>
      <c r="W133" s="1">
        <v>2.153</v>
      </c>
      <c r="X133" s="1">
        <v>31.98</v>
      </c>
      <c r="Y133" s="1">
        <v>5.5319999999999996E-3</v>
      </c>
      <c r="Z133" s="1">
        <v>2.0080000000000001E-2</v>
      </c>
      <c r="AA133" s="1">
        <v>3.0550000000000001E-2</v>
      </c>
      <c r="AB133" s="1">
        <v>1.384E-2</v>
      </c>
      <c r="AC133" s="1">
        <v>1.1769999999999999E-2</v>
      </c>
      <c r="AD133" s="1">
        <v>2.336E-3</v>
      </c>
      <c r="AE133" s="1">
        <v>19.59</v>
      </c>
      <c r="AF133" s="1">
        <v>24.89</v>
      </c>
      <c r="AG133" s="1">
        <v>133.5</v>
      </c>
      <c r="AH133" s="1">
        <v>1189</v>
      </c>
      <c r="AI133" s="1">
        <v>0.17030000000000001</v>
      </c>
      <c r="AJ133" s="1">
        <v>0.39340000000000003</v>
      </c>
      <c r="AK133" s="1">
        <v>0.50180000000000002</v>
      </c>
      <c r="AL133" s="1">
        <v>0.25430000000000003</v>
      </c>
      <c r="AM133" s="1">
        <v>0.31090000000000001</v>
      </c>
      <c r="AN133" s="1">
        <v>9.0609999999999996E-2</v>
      </c>
    </row>
    <row r="134" spans="1:40" s="1" customFormat="1" ht="15" x14ac:dyDescent="0.25">
      <c r="A134" s="1">
        <v>88199202</v>
      </c>
      <c r="B134" s="1" t="s">
        <v>37</v>
      </c>
      <c r="C134" s="1">
        <v>11.32</v>
      </c>
      <c r="D134" s="1">
        <v>27.08</v>
      </c>
      <c r="E134" s="2"/>
      <c r="F134" s="2"/>
      <c r="G134" s="2"/>
      <c r="H134" s="2"/>
      <c r="I134" s="2"/>
      <c r="J134" s="2"/>
      <c r="K134" s="2"/>
      <c r="L134" s="2"/>
      <c r="M134" s="1">
        <v>71.760000000000005</v>
      </c>
      <c r="N134" s="1">
        <v>395.7</v>
      </c>
      <c r="O134" s="1">
        <v>6.8830000000000002E-2</v>
      </c>
      <c r="P134" s="1">
        <v>3.8129999999999997E-2</v>
      </c>
      <c r="Q134" s="1">
        <v>1.6330000000000001E-2</v>
      </c>
      <c r="R134" s="1">
        <v>3.1250000000000002E-3</v>
      </c>
      <c r="S134" s="1">
        <v>0.18690000000000001</v>
      </c>
      <c r="T134" s="1">
        <v>5.6279999999999997E-2</v>
      </c>
      <c r="U134" s="1">
        <v>0.121</v>
      </c>
      <c r="V134" s="1">
        <v>0.89270000000000005</v>
      </c>
      <c r="W134" s="1">
        <v>1.0589999999999999</v>
      </c>
      <c r="X134" s="1">
        <v>8.6050000000000004</v>
      </c>
      <c r="Y134" s="1">
        <v>3.653E-3</v>
      </c>
      <c r="Z134" s="1">
        <v>1.6469999999999999E-2</v>
      </c>
      <c r="AA134" s="1">
        <v>1.6330000000000001E-2</v>
      </c>
      <c r="AB134" s="1">
        <v>3.1250000000000002E-3</v>
      </c>
      <c r="AC134" s="1">
        <v>1.537E-2</v>
      </c>
      <c r="AD134" s="1">
        <v>2.052E-3</v>
      </c>
      <c r="AE134" s="1">
        <v>12.08</v>
      </c>
      <c r="AF134" s="1">
        <v>33.75</v>
      </c>
      <c r="AG134" s="1">
        <v>79.819999999999993</v>
      </c>
      <c r="AH134" s="1">
        <v>452.3</v>
      </c>
      <c r="AI134" s="1">
        <v>9.2030000000000001E-2</v>
      </c>
      <c r="AJ134" s="1">
        <v>0.14319999999999999</v>
      </c>
      <c r="AK134" s="1">
        <v>0.1089</v>
      </c>
      <c r="AL134" s="1">
        <v>2.0830000000000001E-2</v>
      </c>
      <c r="AM134" s="1">
        <v>0.28489999999999999</v>
      </c>
      <c r="AN134" s="1">
        <v>7.0870000000000002E-2</v>
      </c>
    </row>
    <row r="135" spans="1:40" s="1" customFormat="1" ht="15" x14ac:dyDescent="0.25">
      <c r="A135" s="1">
        <v>88203002</v>
      </c>
      <c r="B135" s="1" t="s">
        <v>37</v>
      </c>
      <c r="C135" s="1">
        <v>11.22</v>
      </c>
      <c r="D135" s="1">
        <v>33.81</v>
      </c>
      <c r="E135" s="2"/>
      <c r="F135" s="2"/>
      <c r="G135" s="2"/>
      <c r="H135" s="2"/>
      <c r="I135" s="2"/>
      <c r="J135" s="2"/>
      <c r="K135" s="2"/>
      <c r="L135" s="2"/>
      <c r="M135" s="1">
        <v>70.790000000000006</v>
      </c>
      <c r="N135" s="1">
        <v>386.8</v>
      </c>
      <c r="O135" s="1">
        <v>7.7799999999999994E-2</v>
      </c>
      <c r="P135" s="1">
        <v>3.5740000000000001E-2</v>
      </c>
      <c r="Q135" s="1">
        <v>4.9670000000000001E-3</v>
      </c>
      <c r="R135" s="1">
        <v>6.4339999999999996E-3</v>
      </c>
      <c r="S135" s="1">
        <v>0.1845</v>
      </c>
      <c r="T135" s="1">
        <v>5.8279999999999998E-2</v>
      </c>
      <c r="U135" s="1">
        <v>0.22389999999999999</v>
      </c>
      <c r="V135" s="1">
        <v>1.647</v>
      </c>
      <c r="W135" s="1">
        <v>1.4890000000000001</v>
      </c>
      <c r="X135" s="1">
        <v>15.46</v>
      </c>
      <c r="Y135" s="1">
        <v>4.359E-3</v>
      </c>
      <c r="Z135" s="1">
        <v>6.8129999999999996E-3</v>
      </c>
      <c r="AA135" s="1">
        <v>3.2230000000000002E-3</v>
      </c>
      <c r="AB135" s="1">
        <v>3.4190000000000002E-3</v>
      </c>
      <c r="AC135" s="1">
        <v>1.916E-2</v>
      </c>
      <c r="AD135" s="1">
        <v>2.5339999999999998E-3</v>
      </c>
      <c r="AE135" s="1">
        <v>12.36</v>
      </c>
      <c r="AF135" s="1">
        <v>41.78</v>
      </c>
      <c r="AG135" s="1">
        <v>78.44</v>
      </c>
      <c r="AH135" s="1">
        <v>470.9</v>
      </c>
      <c r="AI135" s="1">
        <v>9.9940000000000001E-2</v>
      </c>
      <c r="AJ135" s="1">
        <v>6.8849999999999995E-2</v>
      </c>
      <c r="AK135" s="1">
        <v>2.3179999999999999E-2</v>
      </c>
      <c r="AL135" s="1">
        <v>3.0020000000000002E-2</v>
      </c>
      <c r="AM135" s="1">
        <v>0.29110000000000003</v>
      </c>
      <c r="AN135" s="1">
        <v>7.3069999999999996E-2</v>
      </c>
    </row>
    <row r="136" spans="1:40" s="1" customFormat="1" ht="15" x14ac:dyDescent="0.25">
      <c r="A136" s="1">
        <v>88206102</v>
      </c>
      <c r="B136" s="1" t="s">
        <v>36</v>
      </c>
      <c r="C136" s="1">
        <v>20.51</v>
      </c>
      <c r="D136" s="1">
        <v>27.81</v>
      </c>
      <c r="E136" s="2"/>
      <c r="F136" s="2"/>
      <c r="G136" s="2"/>
      <c r="H136" s="2"/>
      <c r="I136" s="2"/>
      <c r="J136" s="2"/>
      <c r="K136" s="2"/>
      <c r="L136" s="2"/>
      <c r="M136" s="1">
        <v>134.4</v>
      </c>
      <c r="N136" s="1">
        <v>1319</v>
      </c>
      <c r="O136" s="1">
        <v>9.1590000000000005E-2</v>
      </c>
      <c r="P136" s="1">
        <v>0.1074</v>
      </c>
      <c r="Q136" s="1">
        <v>0.15540000000000001</v>
      </c>
      <c r="R136" s="1">
        <v>8.3400000000000002E-2</v>
      </c>
      <c r="S136" s="1">
        <v>0.14480000000000001</v>
      </c>
      <c r="T136" s="1">
        <v>5.5919999999999997E-2</v>
      </c>
      <c r="U136" s="1">
        <v>0.52400000000000002</v>
      </c>
      <c r="V136" s="1">
        <v>1.1890000000000001</v>
      </c>
      <c r="W136" s="1">
        <v>3.7669999999999999</v>
      </c>
      <c r="X136" s="1">
        <v>70.010000000000005</v>
      </c>
      <c r="Y136" s="1">
        <v>5.0200000000000002E-3</v>
      </c>
      <c r="Z136" s="1">
        <v>2.0619999999999999E-2</v>
      </c>
      <c r="AA136" s="1">
        <v>3.4569999999999997E-2</v>
      </c>
      <c r="AB136" s="1">
        <v>1.091E-2</v>
      </c>
      <c r="AC136" s="1">
        <v>1.298E-2</v>
      </c>
      <c r="AD136" s="1">
        <v>2.8869999999999998E-3</v>
      </c>
      <c r="AE136" s="1">
        <v>24.47</v>
      </c>
      <c r="AF136" s="1">
        <v>37.380000000000003</v>
      </c>
      <c r="AG136" s="1">
        <v>162.69999999999999</v>
      </c>
      <c r="AH136" s="1">
        <v>1872</v>
      </c>
      <c r="AI136" s="1">
        <v>0.12230000000000001</v>
      </c>
      <c r="AJ136" s="1">
        <v>0.27610000000000001</v>
      </c>
      <c r="AK136" s="1">
        <v>0.41460000000000002</v>
      </c>
      <c r="AL136" s="1">
        <v>0.15629999999999999</v>
      </c>
      <c r="AM136" s="1">
        <v>0.2437</v>
      </c>
      <c r="AN136" s="1">
        <v>8.3280000000000007E-2</v>
      </c>
    </row>
    <row r="137" spans="1:40" s="1" customFormat="1" ht="15" x14ac:dyDescent="0.25">
      <c r="A137" s="1">
        <v>882488</v>
      </c>
      <c r="B137" s="1" t="s">
        <v>37</v>
      </c>
      <c r="C137" s="1">
        <v>9.5670000000000002</v>
      </c>
      <c r="D137" s="1">
        <v>15.91</v>
      </c>
      <c r="E137" s="2"/>
      <c r="F137" s="2"/>
      <c r="G137" s="2"/>
      <c r="H137" s="2"/>
      <c r="I137" s="2"/>
      <c r="J137" s="2"/>
      <c r="K137" s="2"/>
      <c r="L137" s="2"/>
      <c r="M137" s="1">
        <v>60.21</v>
      </c>
      <c r="N137" s="1">
        <v>279.60000000000002</v>
      </c>
      <c r="O137" s="1">
        <v>8.4640000000000007E-2</v>
      </c>
      <c r="P137" s="1">
        <v>4.0869999999999997E-2</v>
      </c>
      <c r="Q137" s="1">
        <v>1.652E-2</v>
      </c>
      <c r="R137" s="1">
        <v>1.6670000000000001E-2</v>
      </c>
      <c r="S137" s="1">
        <v>0.15509999999999999</v>
      </c>
      <c r="T137" s="1">
        <v>6.4030000000000004E-2</v>
      </c>
      <c r="U137" s="1">
        <v>0.2152</v>
      </c>
      <c r="V137" s="1">
        <v>0.83009999999999995</v>
      </c>
      <c r="W137" s="1">
        <v>1.2150000000000001</v>
      </c>
      <c r="X137" s="1">
        <v>12.64</v>
      </c>
      <c r="Y137" s="1">
        <v>1.1639999999999999E-2</v>
      </c>
      <c r="Z137" s="1">
        <v>1.04E-2</v>
      </c>
      <c r="AA137" s="1">
        <v>1.1860000000000001E-2</v>
      </c>
      <c r="AB137" s="1">
        <v>9.6229999999999996E-3</v>
      </c>
      <c r="AC137" s="1">
        <v>2.383E-2</v>
      </c>
      <c r="AD137" s="1">
        <v>3.5400000000000002E-3</v>
      </c>
      <c r="AE137" s="1">
        <v>10.51</v>
      </c>
      <c r="AF137" s="1">
        <v>19.16</v>
      </c>
      <c r="AG137" s="1">
        <v>65.739999999999995</v>
      </c>
      <c r="AH137" s="1">
        <v>335.9</v>
      </c>
      <c r="AI137" s="1">
        <v>0.15040000000000001</v>
      </c>
      <c r="AJ137" s="1">
        <v>9.5149999999999998E-2</v>
      </c>
      <c r="AK137" s="1">
        <v>7.1609999999999993E-2</v>
      </c>
      <c r="AL137" s="1">
        <v>7.2220000000000006E-2</v>
      </c>
      <c r="AM137" s="1">
        <v>0.2757</v>
      </c>
      <c r="AN137" s="1">
        <v>8.1780000000000005E-2</v>
      </c>
    </row>
    <row r="138" spans="1:40" s="1" customFormat="1" ht="15" x14ac:dyDescent="0.25">
      <c r="A138" s="1">
        <v>88249602</v>
      </c>
      <c r="B138" s="1" t="s">
        <v>37</v>
      </c>
      <c r="C138" s="1">
        <v>14.03</v>
      </c>
      <c r="D138" s="1">
        <v>21.25</v>
      </c>
      <c r="E138" s="2"/>
      <c r="F138" s="2"/>
      <c r="G138" s="2"/>
      <c r="H138" s="2"/>
      <c r="I138" s="2"/>
      <c r="J138" s="2"/>
      <c r="K138" s="2"/>
      <c r="L138" s="2"/>
      <c r="M138" s="1">
        <v>89.79</v>
      </c>
      <c r="N138" s="1">
        <v>603.4</v>
      </c>
      <c r="O138" s="1">
        <v>9.0700000000000003E-2</v>
      </c>
      <c r="P138" s="1">
        <v>6.9449999999999998E-2</v>
      </c>
      <c r="Q138" s="1">
        <v>1.4619999999999999E-2</v>
      </c>
      <c r="R138" s="1">
        <v>1.8960000000000001E-2</v>
      </c>
      <c r="S138" s="1">
        <v>0.1517</v>
      </c>
      <c r="T138" s="1">
        <v>5.8349999999999999E-2</v>
      </c>
      <c r="U138" s="1">
        <v>0.25890000000000002</v>
      </c>
      <c r="V138" s="1">
        <v>1.5029999999999999</v>
      </c>
      <c r="W138" s="1">
        <v>1.667</v>
      </c>
      <c r="X138" s="1">
        <v>22.07</v>
      </c>
      <c r="Y138" s="1">
        <v>7.3889999999999997E-3</v>
      </c>
      <c r="Z138" s="1">
        <v>1.383E-2</v>
      </c>
      <c r="AA138" s="1">
        <v>7.3020000000000003E-3</v>
      </c>
      <c r="AB138" s="1">
        <v>1.004E-2</v>
      </c>
      <c r="AC138" s="1">
        <v>1.2630000000000001E-2</v>
      </c>
      <c r="AD138" s="1">
        <v>2.9250000000000001E-3</v>
      </c>
      <c r="AE138" s="1">
        <v>15.33</v>
      </c>
      <c r="AF138" s="1">
        <v>30.28</v>
      </c>
      <c r="AG138" s="1">
        <v>98.27</v>
      </c>
      <c r="AH138" s="1">
        <v>715.5</v>
      </c>
      <c r="AI138" s="1">
        <v>0.12870000000000001</v>
      </c>
      <c r="AJ138" s="1">
        <v>0.15129999999999999</v>
      </c>
      <c r="AK138" s="1">
        <v>6.2309999999999997E-2</v>
      </c>
      <c r="AL138" s="1">
        <v>7.9630000000000006E-2</v>
      </c>
      <c r="AM138" s="1">
        <v>0.22259999999999999</v>
      </c>
      <c r="AN138" s="1">
        <v>7.6170000000000002E-2</v>
      </c>
    </row>
    <row r="139" spans="1:40" s="1" customFormat="1" ht="15" x14ac:dyDescent="0.25">
      <c r="A139" s="1">
        <v>88299702</v>
      </c>
      <c r="B139" s="1" t="s">
        <v>36</v>
      </c>
      <c r="C139" s="1">
        <v>23.21</v>
      </c>
      <c r="D139" s="1">
        <v>26.97</v>
      </c>
      <c r="E139" s="2"/>
      <c r="F139" s="2"/>
      <c r="G139" s="2"/>
      <c r="H139" s="2"/>
      <c r="I139" s="2"/>
      <c r="J139" s="2"/>
      <c r="K139" s="2"/>
      <c r="L139" s="2"/>
      <c r="M139" s="1">
        <v>153.5</v>
      </c>
      <c r="N139" s="1">
        <v>1670</v>
      </c>
      <c r="O139" s="1">
        <v>9.5089999999999994E-2</v>
      </c>
      <c r="P139" s="1">
        <v>0.16819999999999999</v>
      </c>
      <c r="Q139" s="1">
        <v>0.19500000000000001</v>
      </c>
      <c r="R139" s="1">
        <v>0.1237</v>
      </c>
      <c r="S139" s="1">
        <v>0.19089999999999999</v>
      </c>
      <c r="T139" s="1">
        <v>6.3089999999999993E-2</v>
      </c>
      <c r="U139" s="1">
        <v>1.0580000000000001</v>
      </c>
      <c r="V139" s="1">
        <v>0.96350000000000002</v>
      </c>
      <c r="W139" s="1">
        <v>7.2469999999999999</v>
      </c>
      <c r="X139" s="1">
        <v>155.80000000000001</v>
      </c>
      <c r="Y139" s="1">
        <v>6.4279999999999997E-3</v>
      </c>
      <c r="Z139" s="1">
        <v>2.8629999999999999E-2</v>
      </c>
      <c r="AA139" s="1">
        <v>4.4970000000000003E-2</v>
      </c>
      <c r="AB139" s="1">
        <v>1.7160000000000002E-2</v>
      </c>
      <c r="AC139" s="1">
        <v>1.5900000000000001E-2</v>
      </c>
      <c r="AD139" s="1">
        <v>3.0530000000000002E-3</v>
      </c>
      <c r="AE139" s="1">
        <v>31.01</v>
      </c>
      <c r="AF139" s="1">
        <v>34.51</v>
      </c>
      <c r="AG139" s="1">
        <v>206</v>
      </c>
      <c r="AH139" s="1">
        <v>2944</v>
      </c>
      <c r="AI139" s="1">
        <v>0.14810000000000001</v>
      </c>
      <c r="AJ139" s="1">
        <v>0.41260000000000002</v>
      </c>
      <c r="AK139" s="1">
        <v>0.58199999999999996</v>
      </c>
      <c r="AL139" s="1">
        <v>0.25929999999999997</v>
      </c>
      <c r="AM139" s="1">
        <v>0.31030000000000002</v>
      </c>
      <c r="AN139" s="1">
        <v>8.677E-2</v>
      </c>
    </row>
    <row r="140" spans="1:40" s="1" customFormat="1" ht="15" x14ac:dyDescent="0.25">
      <c r="A140" s="1">
        <v>883263</v>
      </c>
      <c r="B140" s="1" t="s">
        <v>36</v>
      </c>
      <c r="C140" s="1">
        <v>20.48</v>
      </c>
      <c r="D140" s="1">
        <v>21.46</v>
      </c>
      <c r="E140" s="2"/>
      <c r="F140" s="2"/>
      <c r="G140" s="2"/>
      <c r="H140" s="2"/>
      <c r="I140" s="2"/>
      <c r="J140" s="2"/>
      <c r="K140" s="2"/>
      <c r="L140" s="2"/>
      <c r="M140" s="1">
        <v>132.5</v>
      </c>
      <c r="N140" s="1">
        <v>1306</v>
      </c>
      <c r="O140" s="1">
        <v>8.3549999999999999E-2</v>
      </c>
      <c r="P140" s="1">
        <v>8.3479999999999999E-2</v>
      </c>
      <c r="Q140" s="1">
        <v>9.042E-2</v>
      </c>
      <c r="R140" s="1">
        <v>6.0220000000000003E-2</v>
      </c>
      <c r="S140" s="1">
        <v>0.1467</v>
      </c>
      <c r="T140" s="1">
        <v>5.1769999999999997E-2</v>
      </c>
      <c r="U140" s="1">
        <v>0.68740000000000001</v>
      </c>
      <c r="V140" s="1">
        <v>1.0409999999999999</v>
      </c>
      <c r="W140" s="1">
        <v>5.1440000000000001</v>
      </c>
      <c r="X140" s="1">
        <v>83.5</v>
      </c>
      <c r="Y140" s="1">
        <v>7.9590000000000008E-3</v>
      </c>
      <c r="Z140" s="1">
        <v>3.1329999999999997E-2</v>
      </c>
      <c r="AA140" s="1">
        <v>4.2569999999999997E-2</v>
      </c>
      <c r="AB140" s="1">
        <v>1.6709999999999999E-2</v>
      </c>
      <c r="AC140" s="1">
        <v>1.341E-2</v>
      </c>
      <c r="AD140" s="1">
        <v>3.9329999999999999E-3</v>
      </c>
      <c r="AE140" s="1">
        <v>24.22</v>
      </c>
      <c r="AF140" s="1">
        <v>26.17</v>
      </c>
      <c r="AG140" s="1">
        <v>161.69999999999999</v>
      </c>
      <c r="AH140" s="1">
        <v>1750</v>
      </c>
      <c r="AI140" s="1">
        <v>0.12280000000000001</v>
      </c>
      <c r="AJ140" s="1">
        <v>0.2311</v>
      </c>
      <c r="AK140" s="1">
        <v>0.31580000000000003</v>
      </c>
      <c r="AL140" s="1">
        <v>0.14449999999999999</v>
      </c>
      <c r="AM140" s="1">
        <v>0.2238</v>
      </c>
      <c r="AN140" s="1">
        <v>7.127E-2</v>
      </c>
    </row>
    <row r="141" spans="1:40" s="1" customFormat="1" ht="15" x14ac:dyDescent="0.25">
      <c r="A141" s="1">
        <v>883270</v>
      </c>
      <c r="B141" s="1" t="s">
        <v>37</v>
      </c>
      <c r="C141" s="1">
        <v>14.22</v>
      </c>
      <c r="D141" s="1">
        <v>27.85</v>
      </c>
      <c r="E141" s="2"/>
      <c r="F141" s="2"/>
      <c r="G141" s="2"/>
      <c r="H141" s="2"/>
      <c r="I141" s="2"/>
      <c r="J141" s="2"/>
      <c r="K141" s="2"/>
      <c r="L141" s="2"/>
      <c r="M141" s="1">
        <v>92.55</v>
      </c>
      <c r="N141" s="1">
        <v>623.9</v>
      </c>
      <c r="O141" s="1">
        <v>8.2229999999999998E-2</v>
      </c>
      <c r="P141" s="1">
        <v>0.10390000000000001</v>
      </c>
      <c r="Q141" s="1">
        <v>0.1103</v>
      </c>
      <c r="R141" s="1">
        <v>4.4080000000000001E-2</v>
      </c>
      <c r="S141" s="1">
        <v>0.13420000000000001</v>
      </c>
      <c r="T141" s="1">
        <v>6.1289999999999997E-2</v>
      </c>
      <c r="U141" s="1">
        <v>0.33539999999999998</v>
      </c>
      <c r="V141" s="1">
        <v>2.3239999999999998</v>
      </c>
      <c r="W141" s="1">
        <v>2.105</v>
      </c>
      <c r="X141" s="1">
        <v>29.96</v>
      </c>
      <c r="Y141" s="1">
        <v>6.3070000000000001E-3</v>
      </c>
      <c r="Z141" s="1">
        <v>2.845E-2</v>
      </c>
      <c r="AA141" s="1">
        <v>3.85E-2</v>
      </c>
      <c r="AB141" s="1">
        <v>1.0109999999999999E-2</v>
      </c>
      <c r="AC141" s="1">
        <v>1.1849999999999999E-2</v>
      </c>
      <c r="AD141" s="1">
        <v>3.5890000000000002E-3</v>
      </c>
      <c r="AE141" s="1">
        <v>15.75</v>
      </c>
      <c r="AF141" s="1">
        <v>40.54</v>
      </c>
      <c r="AG141" s="1">
        <v>102.5</v>
      </c>
      <c r="AH141" s="1">
        <v>764</v>
      </c>
      <c r="AI141" s="1">
        <v>0.1081</v>
      </c>
      <c r="AJ141" s="1">
        <v>0.24260000000000001</v>
      </c>
      <c r="AK141" s="1">
        <v>0.30640000000000001</v>
      </c>
      <c r="AL141" s="1">
        <v>8.2189999999999999E-2</v>
      </c>
      <c r="AM141" s="1">
        <v>0.189</v>
      </c>
      <c r="AN141" s="1">
        <v>7.7960000000000002E-2</v>
      </c>
    </row>
    <row r="142" spans="1:40" s="1" customFormat="1" ht="15" x14ac:dyDescent="0.25">
      <c r="A142" s="1">
        <v>88330202</v>
      </c>
      <c r="B142" s="1" t="s">
        <v>36</v>
      </c>
      <c r="C142" s="1">
        <v>17.46</v>
      </c>
      <c r="D142" s="1">
        <v>39.28</v>
      </c>
      <c r="E142" s="2"/>
      <c r="F142" s="2"/>
      <c r="G142" s="2"/>
      <c r="H142" s="2"/>
      <c r="I142" s="2"/>
      <c r="J142" s="2"/>
      <c r="K142" s="2"/>
      <c r="L142" s="2"/>
      <c r="M142" s="1">
        <v>113.4</v>
      </c>
      <c r="N142" s="1">
        <v>920.6</v>
      </c>
      <c r="O142" s="1">
        <v>9.8119999999999999E-2</v>
      </c>
      <c r="P142" s="1">
        <v>0.1298</v>
      </c>
      <c r="Q142" s="1">
        <v>0.14169999999999999</v>
      </c>
      <c r="R142" s="1">
        <v>8.8109999999999994E-2</v>
      </c>
      <c r="S142" s="1">
        <v>0.18090000000000001</v>
      </c>
      <c r="T142" s="1">
        <v>5.9659999999999998E-2</v>
      </c>
      <c r="U142" s="1">
        <v>0.53659999999999997</v>
      </c>
      <c r="V142" s="1">
        <v>0.85609999999999997</v>
      </c>
      <c r="W142" s="1">
        <v>3.0019999999999998</v>
      </c>
      <c r="X142" s="1">
        <v>49</v>
      </c>
      <c r="Y142" s="1">
        <v>4.8599999999999997E-3</v>
      </c>
      <c r="Z142" s="1">
        <v>2.785E-2</v>
      </c>
      <c r="AA142" s="1">
        <v>2.6020000000000001E-2</v>
      </c>
      <c r="AB142" s="1">
        <v>1.374E-2</v>
      </c>
      <c r="AC142" s="1">
        <v>1.226E-2</v>
      </c>
      <c r="AD142" s="1">
        <v>2.7590000000000002E-3</v>
      </c>
      <c r="AE142" s="1">
        <v>22.51</v>
      </c>
      <c r="AF142" s="1">
        <v>44.87</v>
      </c>
      <c r="AG142" s="1">
        <v>141.19999999999999</v>
      </c>
      <c r="AH142" s="1">
        <v>1408</v>
      </c>
      <c r="AI142" s="1">
        <v>0.13650000000000001</v>
      </c>
      <c r="AJ142" s="1">
        <v>0.3735</v>
      </c>
      <c r="AK142" s="1">
        <v>0.3241</v>
      </c>
      <c r="AL142" s="1">
        <v>0.20660000000000001</v>
      </c>
      <c r="AM142" s="1">
        <v>0.2853</v>
      </c>
      <c r="AN142" s="1">
        <v>8.4959999999999994E-2</v>
      </c>
    </row>
    <row r="143" spans="1:40" s="1" customFormat="1" ht="15" x14ac:dyDescent="0.25">
      <c r="A143" s="1">
        <v>88350402</v>
      </c>
      <c r="B143" s="1" t="s">
        <v>37</v>
      </c>
      <c r="C143" s="1">
        <v>13.64</v>
      </c>
      <c r="D143" s="1">
        <v>15.6</v>
      </c>
      <c r="E143" s="2"/>
      <c r="F143" s="2"/>
      <c r="G143" s="2"/>
      <c r="H143" s="2"/>
      <c r="I143" s="2"/>
      <c r="J143" s="2"/>
      <c r="K143" s="2"/>
      <c r="L143" s="2"/>
      <c r="M143" s="1">
        <v>87.38</v>
      </c>
      <c r="N143" s="1">
        <v>575.29999999999995</v>
      </c>
      <c r="O143" s="1">
        <v>9.4229999999999994E-2</v>
      </c>
      <c r="P143" s="1">
        <v>6.6299999999999998E-2</v>
      </c>
      <c r="Q143" s="1">
        <v>4.7050000000000002E-2</v>
      </c>
      <c r="R143" s="1">
        <v>3.7310000000000003E-2</v>
      </c>
      <c r="S143" s="1">
        <v>0.17169999999999999</v>
      </c>
      <c r="T143" s="1">
        <v>5.6599999999999998E-2</v>
      </c>
      <c r="U143" s="1">
        <v>0.32419999999999999</v>
      </c>
      <c r="V143" s="1">
        <v>0.66120000000000001</v>
      </c>
      <c r="W143" s="1">
        <v>1.996</v>
      </c>
      <c r="X143" s="1">
        <v>27.19</v>
      </c>
      <c r="Y143" s="1">
        <v>6.4700000000000001E-3</v>
      </c>
      <c r="Z143" s="1">
        <v>1.248E-2</v>
      </c>
      <c r="AA143" s="1">
        <v>1.8100000000000002E-2</v>
      </c>
      <c r="AB143" s="1">
        <v>1.103E-2</v>
      </c>
      <c r="AC143" s="1">
        <v>1.898E-2</v>
      </c>
      <c r="AD143" s="1">
        <v>1.794E-3</v>
      </c>
      <c r="AE143" s="1">
        <v>14.85</v>
      </c>
      <c r="AF143" s="1">
        <v>19.05</v>
      </c>
      <c r="AG143" s="1">
        <v>94.11</v>
      </c>
      <c r="AH143" s="1">
        <v>683.4</v>
      </c>
      <c r="AI143" s="1">
        <v>0.1278</v>
      </c>
      <c r="AJ143" s="1">
        <v>0.12909999999999999</v>
      </c>
      <c r="AK143" s="1">
        <v>0.15329999999999999</v>
      </c>
      <c r="AL143" s="1">
        <v>9.2219999999999996E-2</v>
      </c>
      <c r="AM143" s="1">
        <v>0.253</v>
      </c>
      <c r="AN143" s="1">
        <v>6.5100000000000005E-2</v>
      </c>
    </row>
    <row r="144" spans="1:40" s="1" customFormat="1" ht="15" x14ac:dyDescent="0.25">
      <c r="A144" s="1">
        <v>883539</v>
      </c>
      <c r="B144" s="1" t="s">
        <v>37</v>
      </c>
      <c r="C144" s="1">
        <v>12.42</v>
      </c>
      <c r="D144" s="1">
        <v>15.04</v>
      </c>
      <c r="E144" s="2"/>
      <c r="F144" s="2"/>
      <c r="G144" s="2"/>
      <c r="H144" s="2"/>
      <c r="I144" s="2"/>
      <c r="J144" s="2"/>
      <c r="K144" s="2"/>
      <c r="L144" s="2"/>
      <c r="M144" s="1">
        <v>78.61</v>
      </c>
      <c r="N144" s="1">
        <v>476.5</v>
      </c>
      <c r="O144" s="1">
        <v>7.9259999999999997E-2</v>
      </c>
      <c r="P144" s="1">
        <v>3.3930000000000002E-2</v>
      </c>
      <c r="Q144" s="1">
        <v>1.0529999999999999E-2</v>
      </c>
      <c r="R144" s="1">
        <v>1.108E-2</v>
      </c>
      <c r="S144" s="1">
        <v>0.15459999999999999</v>
      </c>
      <c r="T144" s="1">
        <v>5.7540000000000001E-2</v>
      </c>
      <c r="U144" s="1">
        <v>0.1153</v>
      </c>
      <c r="V144" s="1">
        <v>0.67449999999999999</v>
      </c>
      <c r="W144" s="1">
        <v>0.75700000000000001</v>
      </c>
      <c r="X144" s="1">
        <v>9.0060000000000002</v>
      </c>
      <c r="Y144" s="1">
        <v>3.2650000000000001E-3</v>
      </c>
      <c r="Z144" s="1">
        <v>4.9300000000000004E-3</v>
      </c>
      <c r="AA144" s="1">
        <v>6.4929999999999996E-3</v>
      </c>
      <c r="AB144" s="1">
        <v>3.7620000000000002E-3</v>
      </c>
      <c r="AC144" s="1">
        <v>1.72E-2</v>
      </c>
      <c r="AD144" s="1">
        <v>1.3600000000000001E-3</v>
      </c>
      <c r="AE144" s="1">
        <v>13.2</v>
      </c>
      <c r="AF144" s="1">
        <v>20.37</v>
      </c>
      <c r="AG144" s="1">
        <v>83.85</v>
      </c>
      <c r="AH144" s="1">
        <v>543.4</v>
      </c>
      <c r="AI144" s="1">
        <v>0.1037</v>
      </c>
      <c r="AJ144" s="1">
        <v>7.7759999999999996E-2</v>
      </c>
      <c r="AK144" s="1">
        <v>6.2429999999999999E-2</v>
      </c>
      <c r="AL144" s="1">
        <v>4.052E-2</v>
      </c>
      <c r="AM144" s="1">
        <v>0.29010000000000002</v>
      </c>
      <c r="AN144" s="1">
        <v>6.7830000000000001E-2</v>
      </c>
    </row>
    <row r="145" spans="1:40" s="1" customFormat="1" ht="15" x14ac:dyDescent="0.25">
      <c r="A145" s="1">
        <v>883852</v>
      </c>
      <c r="B145" s="1" t="s">
        <v>37</v>
      </c>
      <c r="C145" s="1">
        <v>11.3</v>
      </c>
      <c r="D145" s="1">
        <v>18.190000000000001</v>
      </c>
      <c r="E145" s="2"/>
      <c r="F145" s="2"/>
      <c r="G145" s="2"/>
      <c r="H145" s="2"/>
      <c r="I145" s="2"/>
      <c r="J145" s="2"/>
      <c r="K145" s="2"/>
      <c r="L145" s="2"/>
      <c r="M145" s="1">
        <v>73.930000000000007</v>
      </c>
      <c r="N145" s="1">
        <v>389.4</v>
      </c>
      <c r="O145" s="1">
        <v>9.5920000000000005E-2</v>
      </c>
      <c r="P145" s="1">
        <v>0.13250000000000001</v>
      </c>
      <c r="Q145" s="1">
        <v>0.15479999999999999</v>
      </c>
      <c r="R145" s="1">
        <v>2.8539999999999999E-2</v>
      </c>
      <c r="S145" s="1">
        <v>0.2054</v>
      </c>
      <c r="T145" s="1">
        <v>7.6689999999999994E-2</v>
      </c>
      <c r="U145" s="1">
        <v>0.24279999999999999</v>
      </c>
      <c r="V145" s="1">
        <v>1.6419999999999999</v>
      </c>
      <c r="W145" s="1">
        <v>2.3690000000000002</v>
      </c>
      <c r="X145" s="1">
        <v>16.39</v>
      </c>
      <c r="Y145" s="1">
        <v>6.6629999999999997E-3</v>
      </c>
      <c r="Z145" s="1">
        <v>5.9139999999999998E-2</v>
      </c>
      <c r="AA145" s="1">
        <v>8.8800000000000004E-2</v>
      </c>
      <c r="AB145" s="1">
        <v>1.3140000000000001E-2</v>
      </c>
      <c r="AC145" s="1">
        <v>1.9949999999999999E-2</v>
      </c>
      <c r="AD145" s="1">
        <v>8.6750000000000004E-3</v>
      </c>
      <c r="AE145" s="1">
        <v>12.58</v>
      </c>
      <c r="AF145" s="1">
        <v>27.96</v>
      </c>
      <c r="AG145" s="1">
        <v>87.16</v>
      </c>
      <c r="AH145" s="1">
        <v>472.9</v>
      </c>
      <c r="AI145" s="1">
        <v>0.13469999999999999</v>
      </c>
      <c r="AJ145" s="1">
        <v>0.48480000000000001</v>
      </c>
      <c r="AK145" s="1">
        <v>0.74360000000000004</v>
      </c>
      <c r="AL145" s="1">
        <v>0.12180000000000001</v>
      </c>
      <c r="AM145" s="1">
        <v>0.33079999999999998</v>
      </c>
      <c r="AN145" s="1">
        <v>0.12970000000000001</v>
      </c>
    </row>
    <row r="146" spans="1:40" s="1" customFormat="1" ht="15" x14ac:dyDescent="0.25">
      <c r="A146" s="1">
        <v>88411702</v>
      </c>
      <c r="B146" s="1" t="s">
        <v>37</v>
      </c>
      <c r="C146" s="1">
        <v>13.75</v>
      </c>
      <c r="D146" s="1">
        <v>23.77</v>
      </c>
      <c r="E146" s="2"/>
      <c r="F146" s="2"/>
      <c r="G146" s="2"/>
      <c r="H146" s="2"/>
      <c r="I146" s="2"/>
      <c r="J146" s="2"/>
      <c r="K146" s="2"/>
      <c r="L146" s="2"/>
      <c r="M146" s="1">
        <v>88.54</v>
      </c>
      <c r="N146" s="1">
        <v>590</v>
      </c>
      <c r="O146" s="1">
        <v>8.0430000000000001E-2</v>
      </c>
      <c r="P146" s="1">
        <v>6.8070000000000006E-2</v>
      </c>
      <c r="Q146" s="1">
        <v>4.6969999999999998E-2</v>
      </c>
      <c r="R146" s="1">
        <v>2.3439999999999999E-2</v>
      </c>
      <c r="S146" s="1">
        <v>0.17730000000000001</v>
      </c>
      <c r="T146" s="1">
        <v>5.4289999999999998E-2</v>
      </c>
      <c r="U146" s="1">
        <v>0.43469999999999998</v>
      </c>
      <c r="V146" s="1">
        <v>1.0569999999999999</v>
      </c>
      <c r="W146" s="1">
        <v>2.8290000000000002</v>
      </c>
      <c r="X146" s="1">
        <v>39.93</v>
      </c>
      <c r="Y146" s="1">
        <v>4.3509999999999998E-3</v>
      </c>
      <c r="Z146" s="1">
        <v>2.6669999999999999E-2</v>
      </c>
      <c r="AA146" s="1">
        <v>3.3709999999999997E-2</v>
      </c>
      <c r="AB146" s="1">
        <v>1.0070000000000001E-2</v>
      </c>
      <c r="AC146" s="1">
        <v>2.598E-2</v>
      </c>
      <c r="AD146" s="1">
        <v>3.0869999999999999E-3</v>
      </c>
      <c r="AE146" s="1">
        <v>15.01</v>
      </c>
      <c r="AF146" s="1">
        <v>26.34</v>
      </c>
      <c r="AG146" s="1">
        <v>98</v>
      </c>
      <c r="AH146" s="1">
        <v>706</v>
      </c>
      <c r="AI146" s="1">
        <v>9.3679999999999999E-2</v>
      </c>
      <c r="AJ146" s="1">
        <v>0.14419999999999999</v>
      </c>
      <c r="AK146" s="1">
        <v>0.13589999999999999</v>
      </c>
      <c r="AL146" s="1">
        <v>6.1060000000000003E-2</v>
      </c>
      <c r="AM146" s="1">
        <v>0.26629999999999998</v>
      </c>
      <c r="AN146" s="1">
        <v>6.3210000000000002E-2</v>
      </c>
    </row>
    <row r="147" spans="1:40" s="1" customFormat="1" ht="15" x14ac:dyDescent="0.25">
      <c r="A147" s="1">
        <v>884180</v>
      </c>
      <c r="B147" s="1" t="s">
        <v>36</v>
      </c>
      <c r="C147" s="1">
        <v>19.399999999999999</v>
      </c>
      <c r="D147" s="1">
        <v>23.5</v>
      </c>
      <c r="E147" s="2"/>
      <c r="F147" s="2"/>
      <c r="G147" s="2"/>
      <c r="H147" s="2"/>
      <c r="I147" s="2"/>
      <c r="J147" s="2"/>
      <c r="K147" s="2"/>
      <c r="L147" s="2"/>
      <c r="M147" s="1">
        <v>129.1</v>
      </c>
      <c r="N147" s="1">
        <v>1155</v>
      </c>
      <c r="O147" s="1">
        <v>0.1027</v>
      </c>
      <c r="P147" s="1">
        <v>0.15579999999999999</v>
      </c>
      <c r="Q147" s="1">
        <v>0.2049</v>
      </c>
      <c r="R147" s="1">
        <v>8.8859999999999995E-2</v>
      </c>
      <c r="S147" s="1">
        <v>0.1978</v>
      </c>
      <c r="T147" s="1">
        <v>0.06</v>
      </c>
      <c r="U147" s="1">
        <v>0.52429999999999999</v>
      </c>
      <c r="V147" s="1">
        <v>1.802</v>
      </c>
      <c r="W147" s="1">
        <v>4.0369999999999999</v>
      </c>
      <c r="X147" s="1">
        <v>60.41</v>
      </c>
      <c r="Y147" s="1">
        <v>1.061E-2</v>
      </c>
      <c r="Z147" s="1">
        <v>3.252E-2</v>
      </c>
      <c r="AA147" s="1">
        <v>3.9149999999999997E-2</v>
      </c>
      <c r="AB147" s="1">
        <v>1.559E-2</v>
      </c>
      <c r="AC147" s="1">
        <v>2.1860000000000001E-2</v>
      </c>
      <c r="AD147" s="1">
        <v>3.9490000000000003E-3</v>
      </c>
      <c r="AE147" s="1">
        <v>21.65</v>
      </c>
      <c r="AF147" s="1">
        <v>30.53</v>
      </c>
      <c r="AG147" s="1">
        <v>144.9</v>
      </c>
      <c r="AH147" s="1">
        <v>1417</v>
      </c>
      <c r="AI147" s="1">
        <v>0.14630000000000001</v>
      </c>
      <c r="AJ147" s="1">
        <v>0.29680000000000001</v>
      </c>
      <c r="AK147" s="1">
        <v>0.3458</v>
      </c>
      <c r="AL147" s="1">
        <v>0.15640000000000001</v>
      </c>
      <c r="AM147" s="1">
        <v>0.29199999999999998</v>
      </c>
      <c r="AN147" s="1">
        <v>7.6139999999999999E-2</v>
      </c>
    </row>
    <row r="148" spans="1:40" s="1" customFormat="1" ht="15" x14ac:dyDescent="0.25">
      <c r="A148" s="1">
        <v>884437</v>
      </c>
      <c r="B148" s="1" t="s">
        <v>37</v>
      </c>
      <c r="C148" s="1">
        <v>10.48</v>
      </c>
      <c r="D148" s="1">
        <v>19.86</v>
      </c>
      <c r="E148" s="2"/>
      <c r="F148" s="2"/>
      <c r="G148" s="2"/>
      <c r="H148" s="2"/>
      <c r="I148" s="2"/>
      <c r="J148" s="2"/>
      <c r="K148" s="2"/>
      <c r="L148" s="2"/>
      <c r="M148" s="1">
        <v>66.72</v>
      </c>
      <c r="N148" s="1">
        <v>337.7</v>
      </c>
      <c r="O148" s="1">
        <v>0.107</v>
      </c>
      <c r="P148" s="1">
        <v>5.9709999999999999E-2</v>
      </c>
      <c r="Q148" s="1">
        <v>4.8309999999999999E-2</v>
      </c>
      <c r="R148" s="1">
        <v>3.0700000000000002E-2</v>
      </c>
      <c r="S148" s="1">
        <v>0.17369999999999999</v>
      </c>
      <c r="T148" s="1">
        <v>6.4399999999999999E-2</v>
      </c>
      <c r="U148" s="1">
        <v>0.37190000000000001</v>
      </c>
      <c r="V148" s="1">
        <v>2.6120000000000001</v>
      </c>
      <c r="W148" s="1">
        <v>2.5169999999999999</v>
      </c>
      <c r="X148" s="1">
        <v>23.22</v>
      </c>
      <c r="Y148" s="1">
        <v>1.6039999999999999E-2</v>
      </c>
      <c r="Z148" s="1">
        <v>1.3860000000000001E-2</v>
      </c>
      <c r="AA148" s="1">
        <v>1.865E-2</v>
      </c>
      <c r="AB148" s="1">
        <v>1.133E-2</v>
      </c>
      <c r="AC148" s="1">
        <v>3.4759999999999999E-2</v>
      </c>
      <c r="AD148" s="1">
        <v>3.5599999999999998E-3</v>
      </c>
      <c r="AE148" s="1">
        <v>11.48</v>
      </c>
      <c r="AF148" s="1">
        <v>29.46</v>
      </c>
      <c r="AG148" s="1">
        <v>73.680000000000007</v>
      </c>
      <c r="AH148" s="1">
        <v>402.8</v>
      </c>
      <c r="AI148" s="1">
        <v>0.1515</v>
      </c>
      <c r="AJ148" s="1">
        <v>0.1026</v>
      </c>
      <c r="AK148" s="1">
        <v>0.1181</v>
      </c>
      <c r="AL148" s="1">
        <v>6.7360000000000003E-2</v>
      </c>
      <c r="AM148" s="1">
        <v>0.2883</v>
      </c>
      <c r="AN148" s="1">
        <v>7.7479999999999993E-2</v>
      </c>
    </row>
    <row r="149" spans="1:40" s="1" customFormat="1" ht="15" x14ac:dyDescent="0.25">
      <c r="A149" s="1">
        <v>884448</v>
      </c>
      <c r="B149" s="1" t="s">
        <v>37</v>
      </c>
      <c r="C149" s="1">
        <v>13.2</v>
      </c>
      <c r="D149" s="1">
        <v>17.43</v>
      </c>
      <c r="E149" s="2"/>
      <c r="F149" s="2"/>
      <c r="G149" s="2"/>
      <c r="H149" s="2"/>
      <c r="I149" s="2"/>
      <c r="J149" s="2"/>
      <c r="K149" s="2"/>
      <c r="L149" s="2"/>
      <c r="M149" s="1">
        <v>84.13</v>
      </c>
      <c r="N149" s="1">
        <v>541.6</v>
      </c>
      <c r="O149" s="1">
        <v>7.2150000000000006E-2</v>
      </c>
      <c r="P149" s="1">
        <v>4.5240000000000002E-2</v>
      </c>
      <c r="Q149" s="1">
        <v>4.3360000000000003E-2</v>
      </c>
      <c r="R149" s="1">
        <v>1.1050000000000001E-2</v>
      </c>
      <c r="S149" s="1">
        <v>0.1487</v>
      </c>
      <c r="T149" s="1">
        <v>5.6349999999999997E-2</v>
      </c>
      <c r="U149" s="1">
        <v>0.16300000000000001</v>
      </c>
      <c r="V149" s="1">
        <v>1.601</v>
      </c>
      <c r="W149" s="1">
        <v>0.873</v>
      </c>
      <c r="X149" s="1">
        <v>13.56</v>
      </c>
      <c r="Y149" s="1">
        <v>6.2610000000000001E-3</v>
      </c>
      <c r="Z149" s="1">
        <v>1.5689999999999999E-2</v>
      </c>
      <c r="AA149" s="1">
        <v>3.0790000000000001E-2</v>
      </c>
      <c r="AB149" s="1">
        <v>5.3829999999999998E-3</v>
      </c>
      <c r="AC149" s="1">
        <v>1.9619999999999999E-2</v>
      </c>
      <c r="AD149" s="1">
        <v>2.2499999999999998E-3</v>
      </c>
      <c r="AE149" s="1">
        <v>13.94</v>
      </c>
      <c r="AF149" s="1">
        <v>27.82</v>
      </c>
      <c r="AG149" s="1">
        <v>88.28</v>
      </c>
      <c r="AH149" s="1">
        <v>602</v>
      </c>
      <c r="AI149" s="1">
        <v>0.1101</v>
      </c>
      <c r="AJ149" s="1">
        <v>0.15079999999999999</v>
      </c>
      <c r="AK149" s="1">
        <v>0.2298</v>
      </c>
      <c r="AL149" s="1">
        <v>4.9700000000000001E-2</v>
      </c>
      <c r="AM149" s="1">
        <v>0.2767</v>
      </c>
      <c r="AN149" s="1">
        <v>7.1980000000000002E-2</v>
      </c>
    </row>
    <row r="150" spans="1:40" s="1" customFormat="1" ht="15" x14ac:dyDescent="0.25">
      <c r="A150" s="1">
        <v>884626</v>
      </c>
      <c r="B150" s="1" t="s">
        <v>37</v>
      </c>
      <c r="C150" s="1">
        <v>12.89</v>
      </c>
      <c r="D150" s="1">
        <v>14.11</v>
      </c>
      <c r="E150" s="2"/>
      <c r="F150" s="2"/>
      <c r="G150" s="2"/>
      <c r="H150" s="2"/>
      <c r="I150" s="2"/>
      <c r="J150" s="2"/>
      <c r="K150" s="2"/>
      <c r="L150" s="2"/>
      <c r="M150" s="1">
        <v>84.95</v>
      </c>
      <c r="N150" s="1">
        <v>512.20000000000005</v>
      </c>
      <c r="O150" s="1">
        <v>8.7599999999999997E-2</v>
      </c>
      <c r="P150" s="1">
        <v>0.1346</v>
      </c>
      <c r="Q150" s="1">
        <v>0.13739999999999999</v>
      </c>
      <c r="R150" s="1">
        <v>3.9800000000000002E-2</v>
      </c>
      <c r="S150" s="1">
        <v>0.15959999999999999</v>
      </c>
      <c r="T150" s="1">
        <v>6.4089999999999994E-2</v>
      </c>
      <c r="U150" s="1">
        <v>0.20250000000000001</v>
      </c>
      <c r="V150" s="1">
        <v>0.44019999999999998</v>
      </c>
      <c r="W150" s="1">
        <v>2.3929999999999998</v>
      </c>
      <c r="X150" s="1">
        <v>16.350000000000001</v>
      </c>
      <c r="Y150" s="1">
        <v>5.5009999999999998E-3</v>
      </c>
      <c r="Z150" s="1">
        <v>5.5919999999999997E-2</v>
      </c>
      <c r="AA150" s="1">
        <v>8.158E-2</v>
      </c>
      <c r="AB150" s="1">
        <v>1.37E-2</v>
      </c>
      <c r="AC150" s="1">
        <v>1.2659999999999999E-2</v>
      </c>
      <c r="AD150" s="1">
        <v>7.5550000000000001E-3</v>
      </c>
      <c r="AE150" s="1">
        <v>14.39</v>
      </c>
      <c r="AF150" s="1">
        <v>17.7</v>
      </c>
      <c r="AG150" s="1">
        <v>105</v>
      </c>
      <c r="AH150" s="1">
        <v>639.1</v>
      </c>
      <c r="AI150" s="1">
        <v>0.12540000000000001</v>
      </c>
      <c r="AJ150" s="1">
        <v>0.58489999999999998</v>
      </c>
      <c r="AK150" s="1">
        <v>0.77270000000000005</v>
      </c>
      <c r="AL150" s="1">
        <v>0.15609999999999999</v>
      </c>
      <c r="AM150" s="1">
        <v>0.26390000000000002</v>
      </c>
      <c r="AN150" s="1">
        <v>0.1178</v>
      </c>
    </row>
    <row r="151" spans="1:40" s="1" customFormat="1" ht="15" x14ac:dyDescent="0.25">
      <c r="A151" s="1">
        <v>88466802</v>
      </c>
      <c r="B151" s="1" t="s">
        <v>37</v>
      </c>
      <c r="C151" s="1">
        <v>10.65</v>
      </c>
      <c r="D151" s="1">
        <v>25.22</v>
      </c>
      <c r="E151" s="2"/>
      <c r="F151" s="2"/>
      <c r="G151" s="2"/>
      <c r="H151" s="2"/>
      <c r="I151" s="2"/>
      <c r="J151" s="2"/>
      <c r="K151" s="2"/>
      <c r="L151" s="2"/>
      <c r="M151" s="1">
        <v>68.010000000000005</v>
      </c>
      <c r="N151" s="1">
        <v>347</v>
      </c>
      <c r="O151" s="1">
        <v>9.6570000000000003E-2</v>
      </c>
      <c r="P151" s="1">
        <v>7.2340000000000002E-2</v>
      </c>
      <c r="Q151" s="1">
        <v>2.3789999999999999E-2</v>
      </c>
      <c r="R151" s="1">
        <v>1.6150000000000001E-2</v>
      </c>
      <c r="S151" s="1">
        <v>0.18970000000000001</v>
      </c>
      <c r="T151" s="1">
        <v>6.3289999999999999E-2</v>
      </c>
      <c r="U151" s="1">
        <v>0.24970000000000001</v>
      </c>
      <c r="V151" s="1">
        <v>1.4930000000000001</v>
      </c>
      <c r="W151" s="1">
        <v>1.4970000000000001</v>
      </c>
      <c r="X151" s="1">
        <v>16.64</v>
      </c>
      <c r="Y151" s="1">
        <v>7.1890000000000001E-3</v>
      </c>
      <c r="Z151" s="1">
        <v>1.035E-2</v>
      </c>
      <c r="AA151" s="1">
        <v>1.081E-2</v>
      </c>
      <c r="AB151" s="1">
        <v>6.2449999999999997E-3</v>
      </c>
      <c r="AC151" s="1">
        <v>2.1579999999999998E-2</v>
      </c>
      <c r="AD151" s="1">
        <v>2.6189999999999998E-3</v>
      </c>
      <c r="AE151" s="1">
        <v>12.25</v>
      </c>
      <c r="AF151" s="1">
        <v>35.19</v>
      </c>
      <c r="AG151" s="1">
        <v>77.98</v>
      </c>
      <c r="AH151" s="1">
        <v>455.7</v>
      </c>
      <c r="AI151" s="1">
        <v>0.14990000000000001</v>
      </c>
      <c r="AJ151" s="1">
        <v>0.13980000000000001</v>
      </c>
      <c r="AK151" s="1">
        <v>0.1125</v>
      </c>
      <c r="AL151" s="1">
        <v>6.1359999999999998E-2</v>
      </c>
      <c r="AM151" s="1">
        <v>0.34089999999999998</v>
      </c>
      <c r="AN151" s="1">
        <v>8.1470000000000001E-2</v>
      </c>
    </row>
    <row r="152" spans="1:40" s="1" customFormat="1" ht="15" x14ac:dyDescent="0.25">
      <c r="A152" s="1">
        <v>884689</v>
      </c>
      <c r="B152" s="1" t="s">
        <v>37</v>
      </c>
      <c r="C152" s="1">
        <v>11.52</v>
      </c>
      <c r="D152" s="1">
        <v>14.93</v>
      </c>
      <c r="E152" s="2"/>
      <c r="F152" s="2"/>
      <c r="G152" s="2"/>
      <c r="H152" s="2"/>
      <c r="I152" s="2"/>
      <c r="J152" s="2"/>
      <c r="K152" s="2"/>
      <c r="L152" s="2"/>
      <c r="M152" s="1">
        <v>73.87</v>
      </c>
      <c r="N152" s="1">
        <v>406.3</v>
      </c>
      <c r="O152" s="1">
        <v>0.1013</v>
      </c>
      <c r="P152" s="1">
        <v>7.8079999999999997E-2</v>
      </c>
      <c r="Q152" s="1">
        <v>4.3279999999999999E-2</v>
      </c>
      <c r="R152" s="1">
        <v>2.929E-2</v>
      </c>
      <c r="S152" s="1">
        <v>0.1883</v>
      </c>
      <c r="T152" s="1">
        <v>6.1679999999999999E-2</v>
      </c>
      <c r="U152" s="1">
        <v>0.25619999999999998</v>
      </c>
      <c r="V152" s="1">
        <v>1.038</v>
      </c>
      <c r="W152" s="1">
        <v>1.6859999999999999</v>
      </c>
      <c r="X152" s="1">
        <v>18.62</v>
      </c>
      <c r="Y152" s="1">
        <v>6.6620000000000004E-3</v>
      </c>
      <c r="Z152" s="1">
        <v>1.2279999999999999E-2</v>
      </c>
      <c r="AA152" s="1">
        <v>2.1049999999999999E-2</v>
      </c>
      <c r="AB152" s="1">
        <v>1.0059999999999999E-2</v>
      </c>
      <c r="AC152" s="1">
        <v>1.677E-2</v>
      </c>
      <c r="AD152" s="1">
        <v>2.784E-3</v>
      </c>
      <c r="AE152" s="1">
        <v>12.65</v>
      </c>
      <c r="AF152" s="1">
        <v>21.19</v>
      </c>
      <c r="AG152" s="1">
        <v>80.88</v>
      </c>
      <c r="AH152" s="1">
        <v>491.8</v>
      </c>
      <c r="AI152" s="1">
        <v>0.1389</v>
      </c>
      <c r="AJ152" s="1">
        <v>0.15820000000000001</v>
      </c>
      <c r="AK152" s="1">
        <v>0.1804</v>
      </c>
      <c r="AL152" s="1">
        <v>9.6079999999999999E-2</v>
      </c>
      <c r="AM152" s="1">
        <v>0.26640000000000003</v>
      </c>
      <c r="AN152" s="1">
        <v>7.8090000000000007E-2</v>
      </c>
    </row>
    <row r="153" spans="1:40" s="1" customFormat="1" ht="15" x14ac:dyDescent="0.25">
      <c r="A153" s="1">
        <v>884948</v>
      </c>
      <c r="B153" s="1" t="s">
        <v>36</v>
      </c>
      <c r="C153" s="1">
        <v>20.94</v>
      </c>
      <c r="D153" s="1">
        <v>23.56</v>
      </c>
      <c r="E153" s="2"/>
      <c r="F153" s="2"/>
      <c r="G153" s="2"/>
      <c r="H153" s="2"/>
      <c r="I153" s="2"/>
      <c r="J153" s="2"/>
      <c r="K153" s="2"/>
      <c r="L153" s="2"/>
      <c r="M153" s="1">
        <v>138.9</v>
      </c>
      <c r="N153" s="1">
        <v>1364</v>
      </c>
      <c r="O153" s="1">
        <v>0.1007</v>
      </c>
      <c r="P153" s="1">
        <v>0.16059999999999999</v>
      </c>
      <c r="Q153" s="1">
        <v>0.2712</v>
      </c>
      <c r="R153" s="1">
        <v>0.13100000000000001</v>
      </c>
      <c r="S153" s="1">
        <v>0.2205</v>
      </c>
      <c r="T153" s="1">
        <v>5.8979999999999998E-2</v>
      </c>
      <c r="U153" s="1">
        <v>1.004</v>
      </c>
      <c r="V153" s="1">
        <v>0.82079999999999997</v>
      </c>
      <c r="W153" s="1">
        <v>6.3719999999999999</v>
      </c>
      <c r="X153" s="1">
        <v>137.9</v>
      </c>
      <c r="Y153" s="1">
        <v>5.2830000000000004E-3</v>
      </c>
      <c r="Z153" s="1">
        <v>3.9079999999999997E-2</v>
      </c>
      <c r="AA153" s="1">
        <v>9.5180000000000001E-2</v>
      </c>
      <c r="AB153" s="1">
        <v>1.864E-2</v>
      </c>
      <c r="AC153" s="1">
        <v>2.401E-2</v>
      </c>
      <c r="AD153" s="1">
        <v>5.0020000000000004E-3</v>
      </c>
      <c r="AE153" s="1">
        <v>25.58</v>
      </c>
      <c r="AF153" s="1">
        <v>27</v>
      </c>
      <c r="AG153" s="1">
        <v>165.3</v>
      </c>
      <c r="AH153" s="1">
        <v>2010</v>
      </c>
      <c r="AI153" s="1">
        <v>0.1211</v>
      </c>
      <c r="AJ153" s="1">
        <v>0.31719999999999998</v>
      </c>
      <c r="AK153" s="1">
        <v>0.69910000000000005</v>
      </c>
      <c r="AL153" s="1">
        <v>0.21049999999999999</v>
      </c>
      <c r="AM153" s="1">
        <v>0.31259999999999999</v>
      </c>
      <c r="AN153" s="1">
        <v>7.8490000000000004E-2</v>
      </c>
    </row>
    <row r="154" spans="1:40" s="1" customFormat="1" ht="15" x14ac:dyDescent="0.25">
      <c r="A154" s="1">
        <v>88518501</v>
      </c>
      <c r="B154" s="1" t="s">
        <v>37</v>
      </c>
      <c r="C154" s="1">
        <v>11.5</v>
      </c>
      <c r="D154" s="1">
        <v>18.45</v>
      </c>
      <c r="E154" s="2"/>
      <c r="F154" s="2"/>
      <c r="G154" s="2"/>
      <c r="H154" s="2"/>
      <c r="I154" s="2"/>
      <c r="J154" s="2"/>
      <c r="K154" s="2"/>
      <c r="L154" s="2"/>
      <c r="M154" s="1">
        <v>73.28</v>
      </c>
      <c r="N154" s="1">
        <v>407.4</v>
      </c>
      <c r="O154" s="1">
        <v>9.3450000000000005E-2</v>
      </c>
      <c r="P154" s="1">
        <v>5.9909999999999998E-2</v>
      </c>
      <c r="Q154" s="1">
        <v>2.6380000000000001E-2</v>
      </c>
      <c r="R154" s="1">
        <v>2.069E-2</v>
      </c>
      <c r="S154" s="1">
        <v>0.18340000000000001</v>
      </c>
      <c r="T154" s="1">
        <v>5.9339999999999997E-2</v>
      </c>
      <c r="U154" s="1">
        <v>0.39269999999999999</v>
      </c>
      <c r="V154" s="1">
        <v>0.84289999999999998</v>
      </c>
      <c r="W154" s="1">
        <v>2.6840000000000002</v>
      </c>
      <c r="X154" s="1">
        <v>26.99</v>
      </c>
      <c r="Y154" s="1">
        <v>6.3800000000000003E-3</v>
      </c>
      <c r="Z154" s="1">
        <v>1.065E-2</v>
      </c>
      <c r="AA154" s="1">
        <v>1.2449999999999999E-2</v>
      </c>
      <c r="AB154" s="1">
        <v>9.1750000000000009E-3</v>
      </c>
      <c r="AC154" s="1">
        <v>2.2919999999999999E-2</v>
      </c>
      <c r="AD154" s="1">
        <v>1.4610000000000001E-3</v>
      </c>
      <c r="AE154" s="1">
        <v>12.97</v>
      </c>
      <c r="AF154" s="1">
        <v>22.46</v>
      </c>
      <c r="AG154" s="1">
        <v>83.12</v>
      </c>
      <c r="AH154" s="1">
        <v>508.9</v>
      </c>
      <c r="AI154" s="1">
        <v>0.1183</v>
      </c>
      <c r="AJ154" s="1">
        <v>0.10489999999999999</v>
      </c>
      <c r="AK154" s="1">
        <v>8.1049999999999997E-2</v>
      </c>
      <c r="AL154" s="1">
        <v>6.5439999999999998E-2</v>
      </c>
      <c r="AM154" s="1">
        <v>0.27400000000000002</v>
      </c>
      <c r="AN154" s="1">
        <v>6.4869999999999997E-2</v>
      </c>
    </row>
    <row r="155" spans="1:40" s="1" customFormat="1" ht="15" x14ac:dyDescent="0.25">
      <c r="A155" s="1">
        <v>885429</v>
      </c>
      <c r="B155" s="1" t="s">
        <v>36</v>
      </c>
      <c r="C155" s="1">
        <v>19.73</v>
      </c>
      <c r="D155" s="1">
        <v>19.82</v>
      </c>
      <c r="E155" s="2"/>
      <c r="F155" s="2"/>
      <c r="G155" s="2"/>
      <c r="H155" s="2"/>
      <c r="I155" s="2"/>
      <c r="J155" s="2"/>
      <c r="K155" s="2"/>
      <c r="L155" s="2"/>
      <c r="M155" s="1">
        <v>130.69999999999999</v>
      </c>
      <c r="N155" s="1">
        <v>1206</v>
      </c>
      <c r="O155" s="1">
        <v>0.1062</v>
      </c>
      <c r="P155" s="1">
        <v>0.18490000000000001</v>
      </c>
      <c r="Q155" s="1">
        <v>0.2417</v>
      </c>
      <c r="R155" s="1">
        <v>9.74E-2</v>
      </c>
      <c r="S155" s="1">
        <v>0.17330000000000001</v>
      </c>
      <c r="T155" s="1">
        <v>6.6970000000000002E-2</v>
      </c>
      <c r="U155" s="1">
        <v>0.7661</v>
      </c>
      <c r="V155" s="1">
        <v>0.78</v>
      </c>
      <c r="W155" s="1">
        <v>4.1150000000000002</v>
      </c>
      <c r="X155" s="1">
        <v>92.81</v>
      </c>
      <c r="Y155" s="1">
        <v>8.482E-3</v>
      </c>
      <c r="Z155" s="1">
        <v>5.0569999999999997E-2</v>
      </c>
      <c r="AA155" s="1">
        <v>6.8000000000000005E-2</v>
      </c>
      <c r="AB155" s="1">
        <v>1.9709999999999998E-2</v>
      </c>
      <c r="AC155" s="1">
        <v>1.4670000000000001E-2</v>
      </c>
      <c r="AD155" s="1">
        <v>7.2589999999999998E-3</v>
      </c>
      <c r="AE155" s="1">
        <v>25.28</v>
      </c>
      <c r="AF155" s="1">
        <v>25.59</v>
      </c>
      <c r="AG155" s="1">
        <v>159.80000000000001</v>
      </c>
      <c r="AH155" s="1">
        <v>1933</v>
      </c>
      <c r="AI155" s="1">
        <v>0.17100000000000001</v>
      </c>
      <c r="AJ155" s="1">
        <v>0.59550000000000003</v>
      </c>
      <c r="AK155" s="1">
        <v>0.84889999999999999</v>
      </c>
      <c r="AL155" s="1">
        <v>0.25069999999999998</v>
      </c>
      <c r="AM155" s="1">
        <v>0.27489999999999998</v>
      </c>
      <c r="AN155" s="1">
        <v>0.12970000000000001</v>
      </c>
    </row>
    <row r="156" spans="1:40" s="1" customFormat="1" ht="15" x14ac:dyDescent="0.25">
      <c r="A156" s="1">
        <v>8860702</v>
      </c>
      <c r="B156" s="1" t="s">
        <v>36</v>
      </c>
      <c r="C156" s="1">
        <v>17.3</v>
      </c>
      <c r="D156" s="1">
        <v>17.079999999999998</v>
      </c>
      <c r="E156" s="2"/>
      <c r="F156" s="2"/>
      <c r="G156" s="2"/>
      <c r="H156" s="2"/>
      <c r="I156" s="2"/>
      <c r="J156" s="2"/>
      <c r="K156" s="2"/>
      <c r="L156" s="2"/>
      <c r="M156" s="1">
        <v>113</v>
      </c>
      <c r="N156" s="1">
        <v>928.2</v>
      </c>
      <c r="O156" s="1">
        <v>0.1008</v>
      </c>
      <c r="P156" s="1">
        <v>0.1041</v>
      </c>
      <c r="Q156" s="1">
        <v>0.12659999999999999</v>
      </c>
      <c r="R156" s="1">
        <v>8.3529999999999993E-2</v>
      </c>
      <c r="S156" s="1">
        <v>0.18129999999999999</v>
      </c>
      <c r="T156" s="1">
        <v>5.6129999999999999E-2</v>
      </c>
      <c r="U156" s="1">
        <v>0.30930000000000002</v>
      </c>
      <c r="V156" s="1">
        <v>0.85680000000000001</v>
      </c>
      <c r="W156" s="1">
        <v>2.1930000000000001</v>
      </c>
      <c r="X156" s="1">
        <v>33.630000000000003</v>
      </c>
      <c r="Y156" s="1">
        <v>4.7569999999999999E-3</v>
      </c>
      <c r="Z156" s="1">
        <v>1.503E-2</v>
      </c>
      <c r="AA156" s="1">
        <v>2.332E-2</v>
      </c>
      <c r="AB156" s="1">
        <v>1.2619999999999999E-2</v>
      </c>
      <c r="AC156" s="1">
        <v>1.3939999999999999E-2</v>
      </c>
      <c r="AD156" s="1">
        <v>2.362E-3</v>
      </c>
      <c r="AE156" s="1">
        <v>19.850000000000001</v>
      </c>
      <c r="AF156" s="1">
        <v>25.09</v>
      </c>
      <c r="AG156" s="1">
        <v>130.9</v>
      </c>
      <c r="AH156" s="1">
        <v>1222</v>
      </c>
      <c r="AI156" s="1">
        <v>0.1416</v>
      </c>
      <c r="AJ156" s="1">
        <v>0.24049999999999999</v>
      </c>
      <c r="AK156" s="1">
        <v>0.33779999999999999</v>
      </c>
      <c r="AL156" s="1">
        <v>0.1857</v>
      </c>
      <c r="AM156" s="1">
        <v>0.31380000000000002</v>
      </c>
      <c r="AN156" s="1">
        <v>8.1129999999999994E-2</v>
      </c>
    </row>
    <row r="157" spans="1:40" s="1" customFormat="1" ht="15" x14ac:dyDescent="0.25">
      <c r="A157" s="1">
        <v>886226</v>
      </c>
      <c r="B157" s="1" t="s">
        <v>36</v>
      </c>
      <c r="C157" s="1">
        <v>19.45</v>
      </c>
      <c r="D157" s="1">
        <v>19.329999999999998</v>
      </c>
      <c r="E157" s="2"/>
      <c r="F157" s="2"/>
      <c r="G157" s="2"/>
      <c r="H157" s="2"/>
      <c r="I157" s="2"/>
      <c r="J157" s="2"/>
      <c r="K157" s="2"/>
      <c r="L157" s="2"/>
      <c r="M157" s="1">
        <v>126.5</v>
      </c>
      <c r="N157" s="1">
        <v>1169</v>
      </c>
      <c r="O157" s="1">
        <v>0.10349999999999999</v>
      </c>
      <c r="P157" s="1">
        <v>0.1188</v>
      </c>
      <c r="Q157" s="1">
        <v>0.13789999999999999</v>
      </c>
      <c r="R157" s="1">
        <v>8.591E-2</v>
      </c>
      <c r="S157" s="1">
        <v>0.17760000000000001</v>
      </c>
      <c r="T157" s="1">
        <v>5.6469999999999999E-2</v>
      </c>
      <c r="U157" s="1">
        <v>0.59589999999999999</v>
      </c>
      <c r="V157" s="1">
        <v>0.63419999999999999</v>
      </c>
      <c r="W157" s="1">
        <v>3.7970000000000002</v>
      </c>
      <c r="X157" s="1">
        <v>71</v>
      </c>
      <c r="Y157" s="1">
        <v>4.6490000000000004E-3</v>
      </c>
      <c r="Z157" s="1">
        <v>1.7999999999999999E-2</v>
      </c>
      <c r="AA157" s="1">
        <v>2.7490000000000001E-2</v>
      </c>
      <c r="AB157" s="1">
        <v>1.2670000000000001E-2</v>
      </c>
      <c r="AC157" s="1">
        <v>1.3650000000000001E-2</v>
      </c>
      <c r="AD157" s="1">
        <v>2.5500000000000002E-3</v>
      </c>
      <c r="AE157" s="1">
        <v>25.7</v>
      </c>
      <c r="AF157" s="1">
        <v>24.57</v>
      </c>
      <c r="AG157" s="1">
        <v>163.1</v>
      </c>
      <c r="AH157" s="1">
        <v>1972</v>
      </c>
      <c r="AI157" s="1">
        <v>0.1497</v>
      </c>
      <c r="AJ157" s="1">
        <v>0.31609999999999999</v>
      </c>
      <c r="AK157" s="1">
        <v>0.43169999999999997</v>
      </c>
      <c r="AL157" s="1">
        <v>0.19989999999999999</v>
      </c>
      <c r="AM157" s="1">
        <v>0.33789999999999998</v>
      </c>
      <c r="AN157" s="1">
        <v>8.9499999999999996E-2</v>
      </c>
    </row>
    <row r="158" spans="1:40" s="1" customFormat="1" ht="15" x14ac:dyDescent="0.25">
      <c r="A158" s="1">
        <v>886452</v>
      </c>
      <c r="B158" s="1" t="s">
        <v>36</v>
      </c>
      <c r="C158" s="1">
        <v>13.96</v>
      </c>
      <c r="D158" s="1">
        <v>17.05</v>
      </c>
      <c r="E158" s="2"/>
      <c r="F158" s="2"/>
      <c r="G158" s="2"/>
      <c r="H158" s="2"/>
      <c r="I158" s="2"/>
      <c r="J158" s="2"/>
      <c r="K158" s="2"/>
      <c r="L158" s="2"/>
      <c r="M158" s="1">
        <v>91.43</v>
      </c>
      <c r="N158" s="1">
        <v>602.4</v>
      </c>
      <c r="O158" s="1">
        <v>0.1096</v>
      </c>
      <c r="P158" s="1">
        <v>0.12790000000000001</v>
      </c>
      <c r="Q158" s="1">
        <v>9.7890000000000005E-2</v>
      </c>
      <c r="R158" s="1">
        <v>5.246E-2</v>
      </c>
      <c r="S158" s="1">
        <v>0.1908</v>
      </c>
      <c r="T158" s="1">
        <v>6.13E-2</v>
      </c>
      <c r="U158" s="1">
        <v>0.42499999999999999</v>
      </c>
      <c r="V158" s="1">
        <v>0.80979999999999996</v>
      </c>
      <c r="W158" s="1">
        <v>2.5630000000000002</v>
      </c>
      <c r="X158" s="1">
        <v>35.74</v>
      </c>
      <c r="Y158" s="1">
        <v>6.3509999999999999E-3</v>
      </c>
      <c r="Z158" s="1">
        <v>2.6790000000000001E-2</v>
      </c>
      <c r="AA158" s="1">
        <v>3.1189999999999999E-2</v>
      </c>
      <c r="AB158" s="1">
        <v>1.342E-2</v>
      </c>
      <c r="AC158" s="1">
        <v>2.0619999999999999E-2</v>
      </c>
      <c r="AD158" s="1">
        <v>2.6949999999999999E-3</v>
      </c>
      <c r="AE158" s="1">
        <v>16.39</v>
      </c>
      <c r="AF158" s="1">
        <v>22.07</v>
      </c>
      <c r="AG158" s="1">
        <v>108.1</v>
      </c>
      <c r="AH158" s="1">
        <v>826</v>
      </c>
      <c r="AI158" s="1">
        <v>0.1512</v>
      </c>
      <c r="AJ158" s="1">
        <v>0.32619999999999999</v>
      </c>
      <c r="AK158" s="1">
        <v>0.32090000000000002</v>
      </c>
      <c r="AL158" s="1">
        <v>0.13739999999999999</v>
      </c>
      <c r="AM158" s="1">
        <v>0.30680000000000002</v>
      </c>
      <c r="AN158" s="1">
        <v>7.9570000000000002E-2</v>
      </c>
    </row>
    <row r="159" spans="1:40" s="1" customFormat="1" ht="15" x14ac:dyDescent="0.25">
      <c r="A159" s="1">
        <v>88649001</v>
      </c>
      <c r="B159" s="1" t="s">
        <v>36</v>
      </c>
      <c r="C159" s="1">
        <v>19.55</v>
      </c>
      <c r="D159" s="1">
        <v>28.77</v>
      </c>
      <c r="E159" s="2"/>
      <c r="F159" s="2"/>
      <c r="G159" s="2"/>
      <c r="H159" s="2"/>
      <c r="I159" s="2"/>
      <c r="J159" s="2"/>
      <c r="K159" s="2"/>
      <c r="L159" s="2"/>
      <c r="M159" s="1">
        <v>133.6</v>
      </c>
      <c r="N159" s="1">
        <v>1207</v>
      </c>
      <c r="O159" s="1">
        <v>9.2600000000000002E-2</v>
      </c>
      <c r="P159" s="1">
        <v>0.20630000000000001</v>
      </c>
      <c r="Q159" s="1">
        <v>0.1784</v>
      </c>
      <c r="R159" s="1">
        <v>0.1144</v>
      </c>
      <c r="S159" s="1">
        <v>0.1893</v>
      </c>
      <c r="T159" s="1">
        <v>6.232E-2</v>
      </c>
      <c r="U159" s="1">
        <v>0.84260000000000002</v>
      </c>
      <c r="V159" s="1">
        <v>1.1990000000000001</v>
      </c>
      <c r="W159" s="1">
        <v>7.1580000000000004</v>
      </c>
      <c r="X159" s="1">
        <v>106.4</v>
      </c>
      <c r="Y159" s="1">
        <v>6.3559999999999997E-3</v>
      </c>
      <c r="Z159" s="1">
        <v>4.7649999999999998E-2</v>
      </c>
      <c r="AA159" s="1">
        <v>3.8629999999999998E-2</v>
      </c>
      <c r="AB159" s="1">
        <v>1.519E-2</v>
      </c>
      <c r="AC159" s="1">
        <v>1.9359999999999999E-2</v>
      </c>
      <c r="AD159" s="1">
        <v>5.2519999999999997E-3</v>
      </c>
      <c r="AE159" s="1">
        <v>25.05</v>
      </c>
      <c r="AF159" s="1">
        <v>36.270000000000003</v>
      </c>
      <c r="AG159" s="1">
        <v>178.6</v>
      </c>
      <c r="AH159" s="1">
        <v>1926</v>
      </c>
      <c r="AI159" s="1">
        <v>0.12809999999999999</v>
      </c>
      <c r="AJ159" s="1">
        <v>0.53290000000000004</v>
      </c>
      <c r="AK159" s="1">
        <v>0.42509999999999998</v>
      </c>
      <c r="AL159" s="1">
        <v>0.19409999999999999</v>
      </c>
      <c r="AM159" s="1">
        <v>0.28179999999999999</v>
      </c>
      <c r="AN159" s="1">
        <v>0.10050000000000001</v>
      </c>
    </row>
    <row r="160" spans="1:40" s="1" customFormat="1" ht="15" x14ac:dyDescent="0.25">
      <c r="A160" s="1">
        <v>886776</v>
      </c>
      <c r="B160" s="1" t="s">
        <v>36</v>
      </c>
      <c r="C160" s="1">
        <v>15.32</v>
      </c>
      <c r="D160" s="1">
        <v>17.27</v>
      </c>
      <c r="E160" s="2"/>
      <c r="F160" s="2"/>
      <c r="G160" s="2"/>
      <c r="H160" s="2"/>
      <c r="I160" s="2"/>
      <c r="J160" s="2"/>
      <c r="K160" s="2"/>
      <c r="L160" s="2"/>
      <c r="M160" s="1">
        <v>103.2</v>
      </c>
      <c r="N160" s="1">
        <v>713.3</v>
      </c>
      <c r="O160" s="1">
        <v>0.13350000000000001</v>
      </c>
      <c r="P160" s="1">
        <v>0.22839999999999999</v>
      </c>
      <c r="Q160" s="1">
        <v>0.24479999999999999</v>
      </c>
      <c r="R160" s="1">
        <v>0.1242</v>
      </c>
      <c r="S160" s="1">
        <v>0.23980000000000001</v>
      </c>
      <c r="T160" s="1">
        <v>7.596E-2</v>
      </c>
      <c r="U160" s="1">
        <v>0.65920000000000001</v>
      </c>
      <c r="V160" s="1">
        <v>1.0589999999999999</v>
      </c>
      <c r="W160" s="1">
        <v>4.0609999999999999</v>
      </c>
      <c r="X160" s="1">
        <v>59.46</v>
      </c>
      <c r="Y160" s="1">
        <v>1.0149999999999999E-2</v>
      </c>
      <c r="Z160" s="1">
        <v>4.5879999999999997E-2</v>
      </c>
      <c r="AA160" s="1">
        <v>4.9829999999999999E-2</v>
      </c>
      <c r="AB160" s="1">
        <v>2.1270000000000001E-2</v>
      </c>
      <c r="AC160" s="1">
        <v>1.8839999999999999E-2</v>
      </c>
      <c r="AD160" s="1">
        <v>8.6599999999999993E-3</v>
      </c>
      <c r="AE160" s="1">
        <v>17.73</v>
      </c>
      <c r="AF160" s="1">
        <v>22.66</v>
      </c>
      <c r="AG160" s="1">
        <v>119.8</v>
      </c>
      <c r="AH160" s="1">
        <v>928.8</v>
      </c>
      <c r="AI160" s="1">
        <v>0.17649999999999999</v>
      </c>
      <c r="AJ160" s="1">
        <v>0.45029999999999998</v>
      </c>
      <c r="AK160" s="1">
        <v>0.44290000000000002</v>
      </c>
      <c r="AL160" s="1">
        <v>0.22289999999999999</v>
      </c>
      <c r="AM160" s="1">
        <v>0.32579999999999998</v>
      </c>
      <c r="AN160" s="1">
        <v>0.1191</v>
      </c>
    </row>
    <row r="161" spans="1:40" s="1" customFormat="1" ht="15" x14ac:dyDescent="0.25">
      <c r="A161" s="1">
        <v>887181</v>
      </c>
      <c r="B161" s="1" t="s">
        <v>36</v>
      </c>
      <c r="C161" s="1">
        <v>15.66</v>
      </c>
      <c r="D161" s="1">
        <v>23.2</v>
      </c>
      <c r="E161" s="2"/>
      <c r="F161" s="2"/>
      <c r="G161" s="2"/>
      <c r="H161" s="2"/>
      <c r="I161" s="2"/>
      <c r="J161" s="2"/>
      <c r="K161" s="2"/>
      <c r="L161" s="2"/>
      <c r="M161" s="1">
        <v>110.2</v>
      </c>
      <c r="N161" s="1">
        <v>773.5</v>
      </c>
      <c r="O161" s="1">
        <v>0.1109</v>
      </c>
      <c r="P161" s="1">
        <v>0.31140000000000001</v>
      </c>
      <c r="Q161" s="1">
        <v>0.31759999999999999</v>
      </c>
      <c r="R161" s="1">
        <v>0.13769999999999999</v>
      </c>
      <c r="S161" s="1">
        <v>0.2495</v>
      </c>
      <c r="T161" s="1">
        <v>8.1040000000000001E-2</v>
      </c>
      <c r="U161" s="1">
        <v>1.292</v>
      </c>
      <c r="V161" s="1">
        <v>2.4540000000000002</v>
      </c>
      <c r="W161" s="1">
        <v>10.119999999999999</v>
      </c>
      <c r="X161" s="1">
        <v>138.5</v>
      </c>
      <c r="Y161" s="1">
        <v>1.2359999999999999E-2</v>
      </c>
      <c r="Z161" s="1">
        <v>5.9950000000000003E-2</v>
      </c>
      <c r="AA161" s="1">
        <v>8.2320000000000004E-2</v>
      </c>
      <c r="AB161" s="1">
        <v>3.024E-2</v>
      </c>
      <c r="AC161" s="1">
        <v>2.3369999999999998E-2</v>
      </c>
      <c r="AD161" s="1">
        <v>6.0419999999999996E-3</v>
      </c>
      <c r="AE161" s="1">
        <v>19.850000000000001</v>
      </c>
      <c r="AF161" s="1">
        <v>31.64</v>
      </c>
      <c r="AG161" s="1">
        <v>143.69999999999999</v>
      </c>
      <c r="AH161" s="1">
        <v>1226</v>
      </c>
      <c r="AI161" s="1">
        <v>0.15040000000000001</v>
      </c>
      <c r="AJ161" s="1">
        <v>0.51719999999999999</v>
      </c>
      <c r="AK161" s="1">
        <v>0.61809999999999998</v>
      </c>
      <c r="AL161" s="1">
        <v>0.2462</v>
      </c>
      <c r="AM161" s="1">
        <v>0.32769999999999999</v>
      </c>
      <c r="AN161" s="1">
        <v>0.1019</v>
      </c>
    </row>
    <row r="162" spans="1:40" s="1" customFormat="1" ht="15" x14ac:dyDescent="0.25">
      <c r="A162" s="1">
        <v>88725602</v>
      </c>
      <c r="B162" s="1" t="s">
        <v>36</v>
      </c>
      <c r="C162" s="1">
        <v>15.53</v>
      </c>
      <c r="D162" s="1">
        <v>33.56</v>
      </c>
      <c r="E162" s="2"/>
      <c r="F162" s="2"/>
      <c r="G162" s="2"/>
      <c r="H162" s="2"/>
      <c r="I162" s="2"/>
      <c r="J162" s="2"/>
      <c r="K162" s="2"/>
      <c r="L162" s="2"/>
      <c r="M162" s="1">
        <v>103.7</v>
      </c>
      <c r="N162" s="1">
        <v>744.9</v>
      </c>
      <c r="O162" s="1">
        <v>0.10630000000000001</v>
      </c>
      <c r="P162" s="1">
        <v>0.16389999999999999</v>
      </c>
      <c r="Q162" s="1">
        <v>0.17510000000000001</v>
      </c>
      <c r="R162" s="1">
        <v>8.3989999999999995E-2</v>
      </c>
      <c r="S162" s="1">
        <v>0.20910000000000001</v>
      </c>
      <c r="T162" s="1">
        <v>6.6500000000000004E-2</v>
      </c>
      <c r="U162" s="1">
        <v>0.2419</v>
      </c>
      <c r="V162" s="1">
        <v>1.278</v>
      </c>
      <c r="W162" s="1">
        <v>1.903</v>
      </c>
      <c r="X162" s="1">
        <v>23.02</v>
      </c>
      <c r="Y162" s="1">
        <v>5.3449999999999999E-3</v>
      </c>
      <c r="Z162" s="1">
        <v>2.5559999999999999E-2</v>
      </c>
      <c r="AA162" s="1">
        <v>2.8889999999999999E-2</v>
      </c>
      <c r="AB162" s="1">
        <v>1.022E-2</v>
      </c>
      <c r="AC162" s="1">
        <v>9.9469999999999992E-3</v>
      </c>
      <c r="AD162" s="1">
        <v>3.359E-3</v>
      </c>
      <c r="AE162" s="1">
        <v>18.489999999999998</v>
      </c>
      <c r="AF162" s="1">
        <v>49.54</v>
      </c>
      <c r="AG162" s="1">
        <v>126.3</v>
      </c>
      <c r="AH162" s="1">
        <v>1035</v>
      </c>
      <c r="AI162" s="1">
        <v>0.1883</v>
      </c>
      <c r="AJ162" s="1">
        <v>0.55640000000000001</v>
      </c>
      <c r="AK162" s="1">
        <v>0.57030000000000003</v>
      </c>
      <c r="AL162" s="1">
        <v>0.2014</v>
      </c>
      <c r="AM162" s="1">
        <v>0.35120000000000001</v>
      </c>
      <c r="AN162" s="1">
        <v>0.12039999999999999</v>
      </c>
    </row>
    <row r="163" spans="1:40" s="1" customFormat="1" ht="15" x14ac:dyDescent="0.25">
      <c r="A163" s="1">
        <v>887549</v>
      </c>
      <c r="B163" s="1" t="s">
        <v>36</v>
      </c>
      <c r="C163" s="1">
        <v>20.309999999999999</v>
      </c>
      <c r="D163" s="1">
        <v>27.06</v>
      </c>
      <c r="E163" s="2"/>
      <c r="F163" s="2"/>
      <c r="G163" s="2"/>
      <c r="H163" s="2"/>
      <c r="I163" s="2"/>
      <c r="J163" s="2"/>
      <c r="K163" s="2"/>
      <c r="L163" s="2"/>
      <c r="M163" s="1">
        <v>132.9</v>
      </c>
      <c r="N163" s="1">
        <v>1288</v>
      </c>
      <c r="O163" s="1">
        <v>0.1</v>
      </c>
      <c r="P163" s="1">
        <v>0.10879999999999999</v>
      </c>
      <c r="Q163" s="1">
        <v>0.15190000000000001</v>
      </c>
      <c r="R163" s="1">
        <v>9.3329999999999996E-2</v>
      </c>
      <c r="S163" s="1">
        <v>0.18140000000000001</v>
      </c>
      <c r="T163" s="1">
        <v>5.5719999999999999E-2</v>
      </c>
      <c r="U163" s="1">
        <v>0.3977</v>
      </c>
      <c r="V163" s="1">
        <v>1.0329999999999999</v>
      </c>
      <c r="W163" s="1">
        <v>2.5870000000000002</v>
      </c>
      <c r="X163" s="1">
        <v>52.34</v>
      </c>
      <c r="Y163" s="1">
        <v>5.0429999999999997E-3</v>
      </c>
      <c r="Z163" s="1">
        <v>1.5779999999999999E-2</v>
      </c>
      <c r="AA163" s="1">
        <v>2.1170000000000001E-2</v>
      </c>
      <c r="AB163" s="1">
        <v>8.1849999999999996E-3</v>
      </c>
      <c r="AC163" s="1">
        <v>1.282E-2</v>
      </c>
      <c r="AD163" s="1">
        <v>1.892E-3</v>
      </c>
      <c r="AE163" s="1">
        <v>24.33</v>
      </c>
      <c r="AF163" s="1">
        <v>39.159999999999997</v>
      </c>
      <c r="AG163" s="1">
        <v>162.30000000000001</v>
      </c>
      <c r="AH163" s="1">
        <v>1844</v>
      </c>
      <c r="AI163" s="1">
        <v>0.1522</v>
      </c>
      <c r="AJ163" s="1">
        <v>0.29449999999999998</v>
      </c>
      <c r="AK163" s="1">
        <v>0.37880000000000003</v>
      </c>
      <c r="AL163" s="1">
        <v>0.16969999999999999</v>
      </c>
      <c r="AM163" s="1">
        <v>0.31509999999999999</v>
      </c>
      <c r="AN163" s="1">
        <v>7.9990000000000006E-2</v>
      </c>
    </row>
    <row r="164" spans="1:40" s="1" customFormat="1" ht="15" x14ac:dyDescent="0.25">
      <c r="A164" s="1">
        <v>888264</v>
      </c>
      <c r="B164" s="1" t="s">
        <v>36</v>
      </c>
      <c r="C164" s="1">
        <v>17.350000000000001</v>
      </c>
      <c r="D164" s="1">
        <v>23.06</v>
      </c>
      <c r="E164" s="2"/>
      <c r="F164" s="2"/>
      <c r="G164" s="2"/>
      <c r="H164" s="2"/>
      <c r="I164" s="2"/>
      <c r="J164" s="2"/>
      <c r="K164" s="2"/>
      <c r="L164" s="2"/>
      <c r="M164" s="1">
        <v>111</v>
      </c>
      <c r="N164" s="1">
        <v>933.1</v>
      </c>
      <c r="O164" s="1">
        <v>8.6620000000000003E-2</v>
      </c>
      <c r="P164" s="1">
        <v>6.2899999999999998E-2</v>
      </c>
      <c r="Q164" s="1">
        <v>2.8910000000000002E-2</v>
      </c>
      <c r="R164" s="1">
        <v>2.8369999999999999E-2</v>
      </c>
      <c r="S164" s="1">
        <v>0.15640000000000001</v>
      </c>
      <c r="T164" s="1">
        <v>5.3069999999999999E-2</v>
      </c>
      <c r="U164" s="1">
        <v>0.4007</v>
      </c>
      <c r="V164" s="1">
        <v>1.3169999999999999</v>
      </c>
      <c r="W164" s="1">
        <v>2.577</v>
      </c>
      <c r="X164" s="1">
        <v>44.41</v>
      </c>
      <c r="Y164" s="1">
        <v>5.7260000000000002E-3</v>
      </c>
      <c r="Z164" s="1">
        <v>1.106E-2</v>
      </c>
      <c r="AA164" s="1">
        <v>1.2460000000000001E-2</v>
      </c>
      <c r="AB164" s="1">
        <v>7.6709999999999999E-3</v>
      </c>
      <c r="AC164" s="1">
        <v>1.4109999999999999E-2</v>
      </c>
      <c r="AD164" s="1">
        <v>1.578E-3</v>
      </c>
      <c r="AE164" s="1">
        <v>19.850000000000001</v>
      </c>
      <c r="AF164" s="1">
        <v>31.47</v>
      </c>
      <c r="AG164" s="1">
        <v>128.19999999999999</v>
      </c>
      <c r="AH164" s="1">
        <v>1218</v>
      </c>
      <c r="AI164" s="1">
        <v>0.124</v>
      </c>
      <c r="AJ164" s="1">
        <v>0.14860000000000001</v>
      </c>
      <c r="AK164" s="1">
        <v>0.1211</v>
      </c>
      <c r="AL164" s="1">
        <v>8.2350000000000007E-2</v>
      </c>
      <c r="AM164" s="1">
        <v>0.2452</v>
      </c>
      <c r="AN164" s="1">
        <v>6.515E-2</v>
      </c>
    </row>
    <row r="165" spans="1:40" s="1" customFormat="1" ht="15" x14ac:dyDescent="0.25">
      <c r="A165" s="1">
        <v>888570</v>
      </c>
      <c r="B165" s="1" t="s">
        <v>36</v>
      </c>
      <c r="C165" s="1">
        <v>17.29</v>
      </c>
      <c r="D165" s="1">
        <v>22.13</v>
      </c>
      <c r="E165" s="2"/>
      <c r="F165" s="2"/>
      <c r="G165" s="2"/>
      <c r="H165" s="2"/>
      <c r="I165" s="2"/>
      <c r="J165" s="2"/>
      <c r="K165" s="2"/>
      <c r="L165" s="2"/>
      <c r="M165" s="1">
        <v>114.4</v>
      </c>
      <c r="N165" s="1">
        <v>947.8</v>
      </c>
      <c r="O165" s="1">
        <v>8.9990000000000001E-2</v>
      </c>
      <c r="P165" s="1">
        <v>0.1273</v>
      </c>
      <c r="Q165" s="1">
        <v>9.6970000000000001E-2</v>
      </c>
      <c r="R165" s="1">
        <v>7.5069999999999998E-2</v>
      </c>
      <c r="S165" s="1">
        <v>0.21079999999999999</v>
      </c>
      <c r="T165" s="1">
        <v>5.4640000000000001E-2</v>
      </c>
      <c r="U165" s="1">
        <v>0.83479999999999999</v>
      </c>
      <c r="V165" s="1">
        <v>1.633</v>
      </c>
      <c r="W165" s="1">
        <v>6.1459999999999999</v>
      </c>
      <c r="X165" s="1">
        <v>90.94</v>
      </c>
      <c r="Y165" s="1">
        <v>6.7169999999999999E-3</v>
      </c>
      <c r="Z165" s="1">
        <v>5.9810000000000002E-2</v>
      </c>
      <c r="AA165" s="1">
        <v>4.6379999999999998E-2</v>
      </c>
      <c r="AB165" s="1">
        <v>2.1489999999999999E-2</v>
      </c>
      <c r="AC165" s="1">
        <v>2.7470000000000001E-2</v>
      </c>
      <c r="AD165" s="1">
        <v>5.8380000000000003E-3</v>
      </c>
      <c r="AE165" s="1">
        <v>20.39</v>
      </c>
      <c r="AF165" s="1">
        <v>27.24</v>
      </c>
      <c r="AG165" s="1">
        <v>137.9</v>
      </c>
      <c r="AH165" s="1">
        <v>1295</v>
      </c>
      <c r="AI165" s="1">
        <v>0.1134</v>
      </c>
      <c r="AJ165" s="1">
        <v>0.28670000000000001</v>
      </c>
      <c r="AK165" s="1">
        <v>0.2298</v>
      </c>
      <c r="AL165" s="1">
        <v>0.15279999999999999</v>
      </c>
      <c r="AM165" s="1">
        <v>0.30669999999999997</v>
      </c>
      <c r="AN165" s="1">
        <v>7.4840000000000004E-2</v>
      </c>
    </row>
    <row r="166" spans="1:40" s="1" customFormat="1" ht="15" x14ac:dyDescent="0.25">
      <c r="A166" s="1">
        <v>889403</v>
      </c>
      <c r="B166" s="1" t="s">
        <v>36</v>
      </c>
      <c r="C166" s="1">
        <v>15.61</v>
      </c>
      <c r="D166" s="1">
        <v>19.38</v>
      </c>
      <c r="E166" s="2"/>
      <c r="F166" s="2"/>
      <c r="G166" s="2"/>
      <c r="H166" s="2"/>
      <c r="I166" s="2"/>
      <c r="J166" s="2"/>
      <c r="K166" s="2"/>
      <c r="L166" s="2"/>
      <c r="M166" s="1">
        <v>100</v>
      </c>
      <c r="N166" s="1">
        <v>758.6</v>
      </c>
      <c r="O166" s="1">
        <v>7.8399999999999997E-2</v>
      </c>
      <c r="P166" s="1">
        <v>5.6160000000000002E-2</v>
      </c>
      <c r="Q166" s="1">
        <v>4.2090000000000002E-2</v>
      </c>
      <c r="R166" s="1">
        <v>2.8469999999999999E-2</v>
      </c>
      <c r="S166" s="1">
        <v>0.1547</v>
      </c>
      <c r="T166" s="1">
        <v>5.4429999999999999E-2</v>
      </c>
      <c r="U166" s="1">
        <v>0.2298</v>
      </c>
      <c r="V166" s="1">
        <v>0.99880000000000002</v>
      </c>
      <c r="W166" s="1">
        <v>1.534</v>
      </c>
      <c r="X166" s="1">
        <v>22.18</v>
      </c>
      <c r="Y166" s="1">
        <v>2.826E-3</v>
      </c>
      <c r="Z166" s="1">
        <v>9.1050000000000002E-3</v>
      </c>
      <c r="AA166" s="1">
        <v>1.311E-2</v>
      </c>
      <c r="AB166" s="1">
        <v>5.1739999999999998E-3</v>
      </c>
      <c r="AC166" s="1">
        <v>1.013E-2</v>
      </c>
      <c r="AD166" s="1">
        <v>1.3450000000000001E-3</v>
      </c>
      <c r="AE166" s="1">
        <v>17.91</v>
      </c>
      <c r="AF166" s="1">
        <v>31.67</v>
      </c>
      <c r="AG166" s="1">
        <v>115.9</v>
      </c>
      <c r="AH166" s="1">
        <v>988.6</v>
      </c>
      <c r="AI166" s="1">
        <v>0.1084</v>
      </c>
      <c r="AJ166" s="1">
        <v>0.1807</v>
      </c>
      <c r="AK166" s="1">
        <v>0.22600000000000001</v>
      </c>
      <c r="AL166" s="1">
        <v>8.5680000000000006E-2</v>
      </c>
      <c r="AM166" s="1">
        <v>0.26829999999999998</v>
      </c>
      <c r="AN166" s="1">
        <v>6.8290000000000003E-2</v>
      </c>
    </row>
    <row r="167" spans="1:40" s="1" customFormat="1" ht="15" x14ac:dyDescent="0.25">
      <c r="A167" s="1">
        <v>889719</v>
      </c>
      <c r="B167" s="1" t="s">
        <v>36</v>
      </c>
      <c r="C167" s="1">
        <v>17.190000000000001</v>
      </c>
      <c r="D167" s="1">
        <v>22.07</v>
      </c>
      <c r="E167" s="2"/>
      <c r="F167" s="2"/>
      <c r="G167" s="2"/>
      <c r="H167" s="2"/>
      <c r="I167" s="2"/>
      <c r="J167" s="2"/>
      <c r="K167" s="2"/>
      <c r="L167" s="2"/>
      <c r="M167" s="1">
        <v>111.6</v>
      </c>
      <c r="N167" s="1">
        <v>928.3</v>
      </c>
      <c r="O167" s="1">
        <v>9.7259999999999999E-2</v>
      </c>
      <c r="P167" s="1">
        <v>8.9950000000000002E-2</v>
      </c>
      <c r="Q167" s="1">
        <v>9.0609999999999996E-2</v>
      </c>
      <c r="R167" s="1">
        <v>6.5269999999999995E-2</v>
      </c>
      <c r="S167" s="1">
        <v>0.1867</v>
      </c>
      <c r="T167" s="1">
        <v>5.5800000000000002E-2</v>
      </c>
      <c r="U167" s="1">
        <v>0.42030000000000001</v>
      </c>
      <c r="V167" s="1">
        <v>0.73829999999999996</v>
      </c>
      <c r="W167" s="1">
        <v>2.819</v>
      </c>
      <c r="X167" s="1">
        <v>45.42</v>
      </c>
      <c r="Y167" s="1">
        <v>4.4929999999999996E-3</v>
      </c>
      <c r="Z167" s="1">
        <v>1.206E-2</v>
      </c>
      <c r="AA167" s="1">
        <v>2.0480000000000002E-2</v>
      </c>
      <c r="AB167" s="1">
        <v>9.8750000000000001E-3</v>
      </c>
      <c r="AC167" s="1">
        <v>1.1440000000000001E-2</v>
      </c>
      <c r="AD167" s="1">
        <v>1.575E-3</v>
      </c>
      <c r="AE167" s="1">
        <v>21.58</v>
      </c>
      <c r="AF167" s="1">
        <v>29.33</v>
      </c>
      <c r="AG167" s="1">
        <v>140.5</v>
      </c>
      <c r="AH167" s="1">
        <v>1436</v>
      </c>
      <c r="AI167" s="1">
        <v>0.15579999999999999</v>
      </c>
      <c r="AJ167" s="1">
        <v>0.25669999999999998</v>
      </c>
      <c r="AK167" s="1">
        <v>0.38890000000000002</v>
      </c>
      <c r="AL167" s="1">
        <v>0.19839999999999999</v>
      </c>
      <c r="AM167" s="1">
        <v>0.3216</v>
      </c>
      <c r="AN167" s="1">
        <v>7.5700000000000003E-2</v>
      </c>
    </row>
    <row r="168" spans="1:40" s="1" customFormat="1" ht="15" x14ac:dyDescent="0.25">
      <c r="A168" s="1">
        <v>88995002</v>
      </c>
      <c r="B168" s="1" t="s">
        <v>36</v>
      </c>
      <c r="C168" s="1">
        <v>20.73</v>
      </c>
      <c r="D168" s="1">
        <v>31.12</v>
      </c>
      <c r="E168" s="2"/>
      <c r="F168" s="2"/>
      <c r="G168" s="2"/>
      <c r="H168" s="2"/>
      <c r="I168" s="2"/>
      <c r="J168" s="2"/>
      <c r="K168" s="2"/>
      <c r="L168" s="2"/>
      <c r="M168" s="1">
        <v>135.69999999999999</v>
      </c>
      <c r="N168" s="1">
        <v>1419</v>
      </c>
      <c r="O168" s="1">
        <v>9.4689999999999996E-2</v>
      </c>
      <c r="P168" s="1">
        <v>0.1143</v>
      </c>
      <c r="Q168" s="1">
        <v>0.13669999999999999</v>
      </c>
      <c r="R168" s="1">
        <v>8.6459999999999995E-2</v>
      </c>
      <c r="S168" s="1">
        <v>0.1769</v>
      </c>
      <c r="T168" s="1">
        <v>5.6739999999999999E-2</v>
      </c>
      <c r="U168" s="1">
        <v>1.1719999999999999</v>
      </c>
      <c r="V168" s="1">
        <v>1.617</v>
      </c>
      <c r="W168" s="1">
        <v>7.7489999999999997</v>
      </c>
      <c r="X168" s="1">
        <v>199.7</v>
      </c>
      <c r="Y168" s="1">
        <v>4.5510000000000004E-3</v>
      </c>
      <c r="Z168" s="1">
        <v>1.478E-2</v>
      </c>
      <c r="AA168" s="1">
        <v>2.1430000000000001E-2</v>
      </c>
      <c r="AB168" s="1">
        <v>9.2800000000000001E-3</v>
      </c>
      <c r="AC168" s="1">
        <v>1.367E-2</v>
      </c>
      <c r="AD168" s="1">
        <v>2.2989999999999998E-3</v>
      </c>
      <c r="AE168" s="1">
        <v>32.49</v>
      </c>
      <c r="AF168" s="1">
        <v>47.16</v>
      </c>
      <c r="AG168" s="1">
        <v>214</v>
      </c>
      <c r="AH168" s="1">
        <v>3432</v>
      </c>
      <c r="AI168" s="1">
        <v>0.1401</v>
      </c>
      <c r="AJ168" s="1">
        <v>0.26440000000000002</v>
      </c>
      <c r="AK168" s="1">
        <v>0.34420000000000001</v>
      </c>
      <c r="AL168" s="1">
        <v>0.16589999999999999</v>
      </c>
      <c r="AM168" s="1">
        <v>0.2868</v>
      </c>
      <c r="AN168" s="1">
        <v>8.2180000000000003E-2</v>
      </c>
    </row>
    <row r="169" spans="1:40" s="1" customFormat="1" ht="15" x14ac:dyDescent="0.25">
      <c r="A169" s="1">
        <v>8910251</v>
      </c>
      <c r="B169" s="1" t="s">
        <v>37</v>
      </c>
      <c r="C169" s="1">
        <v>10.6</v>
      </c>
      <c r="D169" s="1">
        <v>18.95</v>
      </c>
      <c r="E169" s="2"/>
      <c r="F169" s="2"/>
      <c r="G169" s="2"/>
      <c r="H169" s="2"/>
      <c r="I169" s="2"/>
      <c r="J169" s="2"/>
      <c r="K169" s="2"/>
      <c r="L169" s="2"/>
      <c r="M169" s="1">
        <v>69.28</v>
      </c>
      <c r="N169" s="1">
        <v>346.4</v>
      </c>
      <c r="O169" s="1">
        <v>9.6879999999999994E-2</v>
      </c>
      <c r="P169" s="1">
        <v>0.1147</v>
      </c>
      <c r="Q169" s="1">
        <v>6.3869999999999996E-2</v>
      </c>
      <c r="R169" s="1">
        <v>2.6419999999999999E-2</v>
      </c>
      <c r="S169" s="1">
        <v>0.19220000000000001</v>
      </c>
      <c r="T169" s="1">
        <v>6.4909999999999995E-2</v>
      </c>
      <c r="U169" s="1">
        <v>0.45050000000000001</v>
      </c>
      <c r="V169" s="1">
        <v>1.1970000000000001</v>
      </c>
      <c r="W169" s="1">
        <v>3.43</v>
      </c>
      <c r="X169" s="1">
        <v>27.1</v>
      </c>
      <c r="Y169" s="1">
        <v>7.4700000000000001E-3</v>
      </c>
      <c r="Z169" s="1">
        <v>3.5810000000000002E-2</v>
      </c>
      <c r="AA169" s="1">
        <v>3.354E-2</v>
      </c>
      <c r="AB169" s="1">
        <v>1.3650000000000001E-2</v>
      </c>
      <c r="AC169" s="1">
        <v>3.5040000000000002E-2</v>
      </c>
      <c r="AD169" s="1">
        <v>3.3180000000000002E-3</v>
      </c>
      <c r="AE169" s="1">
        <v>11.88</v>
      </c>
      <c r="AF169" s="1">
        <v>22.94</v>
      </c>
      <c r="AG169" s="1">
        <v>78.28</v>
      </c>
      <c r="AH169" s="1">
        <v>424.8</v>
      </c>
      <c r="AI169" s="1">
        <v>0.12130000000000001</v>
      </c>
      <c r="AJ169" s="1">
        <v>0.2515</v>
      </c>
      <c r="AK169" s="1">
        <v>0.19159999999999999</v>
      </c>
      <c r="AL169" s="1">
        <v>7.9259999999999997E-2</v>
      </c>
      <c r="AM169" s="1">
        <v>0.29399999999999998</v>
      </c>
      <c r="AN169" s="1">
        <v>7.5870000000000007E-2</v>
      </c>
    </row>
    <row r="170" spans="1:40" s="1" customFormat="1" ht="15" x14ac:dyDescent="0.25">
      <c r="A170" s="1">
        <v>8910499</v>
      </c>
      <c r="B170" s="1" t="s">
        <v>37</v>
      </c>
      <c r="C170" s="1">
        <v>13.59</v>
      </c>
      <c r="D170" s="1">
        <v>21.84</v>
      </c>
      <c r="E170" s="2"/>
      <c r="F170" s="2"/>
      <c r="G170" s="2"/>
      <c r="H170" s="2"/>
      <c r="I170" s="2"/>
      <c r="J170" s="2"/>
      <c r="K170" s="2"/>
      <c r="L170" s="2"/>
      <c r="M170" s="1">
        <v>87.16</v>
      </c>
      <c r="N170" s="1">
        <v>561</v>
      </c>
      <c r="O170" s="1">
        <v>7.9560000000000006E-2</v>
      </c>
      <c r="P170" s="1">
        <v>8.2589999999999997E-2</v>
      </c>
      <c r="Q170" s="1">
        <v>4.0719999999999999E-2</v>
      </c>
      <c r="R170" s="1">
        <v>2.1420000000000002E-2</v>
      </c>
      <c r="S170" s="1">
        <v>0.16350000000000001</v>
      </c>
      <c r="T170" s="1">
        <v>5.8590000000000003E-2</v>
      </c>
      <c r="U170" s="1">
        <v>0.33800000000000002</v>
      </c>
      <c r="V170" s="1">
        <v>1.9159999999999999</v>
      </c>
      <c r="W170" s="1">
        <v>2.5910000000000002</v>
      </c>
      <c r="X170" s="1">
        <v>26.76</v>
      </c>
      <c r="Y170" s="1">
        <v>5.4359999999999999E-3</v>
      </c>
      <c r="Z170" s="1">
        <v>2.4060000000000002E-2</v>
      </c>
      <c r="AA170" s="1">
        <v>3.099E-2</v>
      </c>
      <c r="AB170" s="1">
        <v>9.9190000000000007E-3</v>
      </c>
      <c r="AC170" s="1">
        <v>2.0299999999999999E-2</v>
      </c>
      <c r="AD170" s="1">
        <v>3.009E-3</v>
      </c>
      <c r="AE170" s="1">
        <v>14.8</v>
      </c>
      <c r="AF170" s="1">
        <v>30.04</v>
      </c>
      <c r="AG170" s="1">
        <v>97.66</v>
      </c>
      <c r="AH170" s="1">
        <v>661.5</v>
      </c>
      <c r="AI170" s="1">
        <v>0.10050000000000001</v>
      </c>
      <c r="AJ170" s="1">
        <v>0.17299999999999999</v>
      </c>
      <c r="AK170" s="1">
        <v>0.14530000000000001</v>
      </c>
      <c r="AL170" s="1">
        <v>6.1890000000000001E-2</v>
      </c>
      <c r="AM170" s="1">
        <v>0.24460000000000001</v>
      </c>
      <c r="AN170" s="1">
        <v>7.0239999999999997E-2</v>
      </c>
    </row>
    <row r="171" spans="1:40" s="1" customFormat="1" ht="15" x14ac:dyDescent="0.25">
      <c r="A171" s="1">
        <v>8910506</v>
      </c>
      <c r="B171" s="1" t="s">
        <v>37</v>
      </c>
      <c r="C171" s="1">
        <v>12.87</v>
      </c>
      <c r="D171" s="1">
        <v>16.21</v>
      </c>
      <c r="E171" s="2"/>
      <c r="F171" s="2"/>
      <c r="G171" s="2"/>
      <c r="H171" s="2"/>
      <c r="I171" s="2"/>
      <c r="J171" s="2"/>
      <c r="K171" s="2"/>
      <c r="L171" s="2"/>
      <c r="M171" s="1">
        <v>82.38</v>
      </c>
      <c r="N171" s="1">
        <v>512.20000000000005</v>
      </c>
      <c r="O171" s="1">
        <v>9.425E-2</v>
      </c>
      <c r="P171" s="1">
        <v>6.2190000000000002E-2</v>
      </c>
      <c r="Q171" s="1">
        <v>3.9E-2</v>
      </c>
      <c r="R171" s="1">
        <v>1.6150000000000001E-2</v>
      </c>
      <c r="S171" s="1">
        <v>0.20100000000000001</v>
      </c>
      <c r="T171" s="1">
        <v>5.7689999999999998E-2</v>
      </c>
      <c r="U171" s="1">
        <v>0.23449999999999999</v>
      </c>
      <c r="V171" s="1">
        <v>1.2190000000000001</v>
      </c>
      <c r="W171" s="1">
        <v>1.546</v>
      </c>
      <c r="X171" s="1">
        <v>18.239999999999998</v>
      </c>
      <c r="Y171" s="1">
        <v>5.5180000000000003E-3</v>
      </c>
      <c r="Z171" s="1">
        <v>2.1780000000000001E-2</v>
      </c>
      <c r="AA171" s="1">
        <v>2.589E-2</v>
      </c>
      <c r="AB171" s="1">
        <v>6.3299999999999997E-3</v>
      </c>
      <c r="AC171" s="1">
        <v>2.5930000000000002E-2</v>
      </c>
      <c r="AD171" s="1">
        <v>2.1570000000000001E-3</v>
      </c>
      <c r="AE171" s="1">
        <v>13.9</v>
      </c>
      <c r="AF171" s="1">
        <v>23.64</v>
      </c>
      <c r="AG171" s="1">
        <v>89.27</v>
      </c>
      <c r="AH171" s="1">
        <v>597.5</v>
      </c>
      <c r="AI171" s="1">
        <v>0.12559999999999999</v>
      </c>
      <c r="AJ171" s="1">
        <v>0.18079999999999999</v>
      </c>
      <c r="AK171" s="1">
        <v>0.19919999999999999</v>
      </c>
      <c r="AL171" s="1">
        <v>5.7799999999999997E-2</v>
      </c>
      <c r="AM171" s="1">
        <v>0.3604</v>
      </c>
      <c r="AN171" s="1">
        <v>7.0620000000000002E-2</v>
      </c>
    </row>
    <row r="172" spans="1:40" s="1" customFormat="1" ht="15" x14ac:dyDescent="0.25">
      <c r="A172" s="1">
        <v>8910720</v>
      </c>
      <c r="B172" s="1" t="s">
        <v>37</v>
      </c>
      <c r="C172" s="1">
        <v>10.71</v>
      </c>
      <c r="D172" s="1">
        <v>20.39</v>
      </c>
      <c r="E172" s="2"/>
      <c r="F172" s="2"/>
      <c r="G172" s="2"/>
      <c r="H172" s="2"/>
      <c r="I172" s="2"/>
      <c r="J172" s="2"/>
      <c r="K172" s="2"/>
      <c r="L172" s="2"/>
      <c r="M172" s="1">
        <v>69.5</v>
      </c>
      <c r="N172" s="1">
        <v>344.9</v>
      </c>
      <c r="O172" s="1">
        <v>0.1082</v>
      </c>
      <c r="P172" s="1">
        <v>0.12889999999999999</v>
      </c>
      <c r="Q172" s="1">
        <v>8.448E-2</v>
      </c>
      <c r="R172" s="1">
        <v>2.8670000000000001E-2</v>
      </c>
      <c r="S172" s="1">
        <v>0.1668</v>
      </c>
      <c r="T172" s="1">
        <v>6.862E-2</v>
      </c>
      <c r="U172" s="1">
        <v>0.31979999999999997</v>
      </c>
      <c r="V172" s="1">
        <v>1.4890000000000001</v>
      </c>
      <c r="W172" s="1">
        <v>2.23</v>
      </c>
      <c r="X172" s="1">
        <v>20.74</v>
      </c>
      <c r="Y172" s="1">
        <v>8.9020000000000002E-3</v>
      </c>
      <c r="Z172" s="1">
        <v>4.7849999999999997E-2</v>
      </c>
      <c r="AA172" s="1">
        <v>7.3389999999999997E-2</v>
      </c>
      <c r="AB172" s="1">
        <v>1.745E-2</v>
      </c>
      <c r="AC172" s="1">
        <v>2.7279999999999999E-2</v>
      </c>
      <c r="AD172" s="1">
        <v>7.6099999999999996E-3</v>
      </c>
      <c r="AE172" s="1">
        <v>11.69</v>
      </c>
      <c r="AF172" s="1">
        <v>25.21</v>
      </c>
      <c r="AG172" s="1">
        <v>76.510000000000005</v>
      </c>
      <c r="AH172" s="1">
        <v>410.4</v>
      </c>
      <c r="AI172" s="1">
        <v>0.13350000000000001</v>
      </c>
      <c r="AJ172" s="1">
        <v>0.255</v>
      </c>
      <c r="AK172" s="1">
        <v>0.25340000000000001</v>
      </c>
      <c r="AL172" s="1">
        <v>8.5999999999999993E-2</v>
      </c>
      <c r="AM172" s="1">
        <v>0.26050000000000001</v>
      </c>
      <c r="AN172" s="1">
        <v>8.7010000000000004E-2</v>
      </c>
    </row>
    <row r="173" spans="1:40" s="1" customFormat="1" ht="15" x14ac:dyDescent="0.25">
      <c r="A173" s="1">
        <v>8910721</v>
      </c>
      <c r="B173" s="1" t="s">
        <v>37</v>
      </c>
      <c r="C173" s="1">
        <v>14.29</v>
      </c>
      <c r="D173" s="1">
        <v>16.82</v>
      </c>
      <c r="E173" s="2"/>
      <c r="F173" s="2"/>
      <c r="G173" s="2"/>
      <c r="H173" s="2"/>
      <c r="I173" s="2"/>
      <c r="J173" s="2"/>
      <c r="K173" s="2"/>
      <c r="L173" s="2"/>
      <c r="M173" s="1">
        <v>90.3</v>
      </c>
      <c r="N173" s="1">
        <v>632.6</v>
      </c>
      <c r="O173" s="1">
        <v>6.429E-2</v>
      </c>
      <c r="P173" s="1">
        <v>2.6749999999999999E-2</v>
      </c>
      <c r="Q173" s="1">
        <v>7.2500000000000004E-3</v>
      </c>
      <c r="R173" s="1">
        <v>6.2500000000000003E-3</v>
      </c>
      <c r="S173" s="1">
        <v>0.15079999999999999</v>
      </c>
      <c r="T173" s="1">
        <v>5.3760000000000002E-2</v>
      </c>
      <c r="U173" s="1">
        <v>0.13020000000000001</v>
      </c>
      <c r="V173" s="1">
        <v>0.7198</v>
      </c>
      <c r="W173" s="1">
        <v>0.84389999999999998</v>
      </c>
      <c r="X173" s="1">
        <v>10.77</v>
      </c>
      <c r="Y173" s="1">
        <v>3.4919999999999999E-3</v>
      </c>
      <c r="Z173" s="1">
        <v>3.7100000000000002E-3</v>
      </c>
      <c r="AA173" s="1">
        <v>4.8260000000000004E-3</v>
      </c>
      <c r="AB173" s="1">
        <v>3.6080000000000001E-3</v>
      </c>
      <c r="AC173" s="1">
        <v>1.536E-2</v>
      </c>
      <c r="AD173" s="1">
        <v>1.3810000000000001E-3</v>
      </c>
      <c r="AE173" s="1">
        <v>14.91</v>
      </c>
      <c r="AF173" s="1">
        <v>20.65</v>
      </c>
      <c r="AG173" s="1">
        <v>94.44</v>
      </c>
      <c r="AH173" s="1">
        <v>684.6</v>
      </c>
      <c r="AI173" s="1">
        <v>8.5669999999999996E-2</v>
      </c>
      <c r="AJ173" s="1">
        <v>5.0360000000000002E-2</v>
      </c>
      <c r="AK173" s="1">
        <v>3.866E-2</v>
      </c>
      <c r="AL173" s="1">
        <v>3.3329999999999999E-2</v>
      </c>
      <c r="AM173" s="1">
        <v>0.24579999999999999</v>
      </c>
      <c r="AN173" s="1">
        <v>6.1199999999999997E-2</v>
      </c>
    </row>
    <row r="174" spans="1:40" s="1" customFormat="1" ht="15" x14ac:dyDescent="0.25">
      <c r="A174" s="1">
        <v>8910748</v>
      </c>
      <c r="B174" s="1" t="s">
        <v>37</v>
      </c>
      <c r="C174" s="1">
        <v>11.29</v>
      </c>
      <c r="D174" s="1">
        <v>13.04</v>
      </c>
      <c r="E174" s="2"/>
      <c r="F174" s="2"/>
      <c r="G174" s="2"/>
      <c r="H174" s="2"/>
      <c r="I174" s="2"/>
      <c r="J174" s="2"/>
      <c r="K174" s="2"/>
      <c r="L174" s="2"/>
      <c r="M174" s="1">
        <v>72.23</v>
      </c>
      <c r="N174" s="1">
        <v>388</v>
      </c>
      <c r="O174" s="1">
        <v>9.8339999999999997E-2</v>
      </c>
      <c r="P174" s="1">
        <v>7.6079999999999995E-2</v>
      </c>
      <c r="Q174" s="1">
        <v>3.2649999999999998E-2</v>
      </c>
      <c r="R174" s="1">
        <v>2.7550000000000002E-2</v>
      </c>
      <c r="S174" s="1">
        <v>0.1769</v>
      </c>
      <c r="T174" s="1">
        <v>6.2700000000000006E-2</v>
      </c>
      <c r="U174" s="1">
        <v>0.19040000000000001</v>
      </c>
      <c r="V174" s="1">
        <v>0.52929999999999999</v>
      </c>
      <c r="W174" s="1">
        <v>1.1639999999999999</v>
      </c>
      <c r="X174" s="1">
        <v>13.17</v>
      </c>
      <c r="Y174" s="1">
        <v>6.4720000000000003E-3</v>
      </c>
      <c r="Z174" s="1">
        <v>1.1220000000000001E-2</v>
      </c>
      <c r="AA174" s="1">
        <v>1.282E-2</v>
      </c>
      <c r="AB174" s="1">
        <v>8.8489999999999992E-3</v>
      </c>
      <c r="AC174" s="1">
        <v>1.6920000000000001E-2</v>
      </c>
      <c r="AD174" s="1">
        <v>2.8170000000000001E-3</v>
      </c>
      <c r="AE174" s="1">
        <v>12.32</v>
      </c>
      <c r="AF174" s="1">
        <v>16.18</v>
      </c>
      <c r="AG174" s="1">
        <v>78.27</v>
      </c>
      <c r="AH174" s="1">
        <v>457.5</v>
      </c>
      <c r="AI174" s="1">
        <v>0.1358</v>
      </c>
      <c r="AJ174" s="1">
        <v>0.1507</v>
      </c>
      <c r="AK174" s="1">
        <v>0.1275</v>
      </c>
      <c r="AL174" s="1">
        <v>8.7499999999999994E-2</v>
      </c>
      <c r="AM174" s="1">
        <v>0.27329999999999999</v>
      </c>
      <c r="AN174" s="1">
        <v>8.022E-2</v>
      </c>
    </row>
    <row r="175" spans="1:40" s="1" customFormat="1" ht="15" x14ac:dyDescent="0.25">
      <c r="A175" s="1">
        <v>8910988</v>
      </c>
      <c r="B175" s="1" t="s">
        <v>36</v>
      </c>
      <c r="C175" s="1">
        <v>21.75</v>
      </c>
      <c r="D175" s="1">
        <v>20.99</v>
      </c>
      <c r="E175" s="2"/>
      <c r="F175" s="2"/>
      <c r="G175" s="2"/>
      <c r="H175" s="2"/>
      <c r="I175" s="2"/>
      <c r="J175" s="2"/>
      <c r="K175" s="2"/>
      <c r="L175" s="2"/>
      <c r="M175" s="1">
        <v>147.30000000000001</v>
      </c>
      <c r="N175" s="1">
        <v>1491</v>
      </c>
      <c r="O175" s="1">
        <v>9.4009999999999996E-2</v>
      </c>
      <c r="P175" s="1">
        <v>0.1961</v>
      </c>
      <c r="Q175" s="1">
        <v>0.2195</v>
      </c>
      <c r="R175" s="1">
        <v>0.10879999999999999</v>
      </c>
      <c r="S175" s="1">
        <v>0.1721</v>
      </c>
      <c r="T175" s="1">
        <v>6.1940000000000002E-2</v>
      </c>
      <c r="U175" s="1">
        <v>1.167</v>
      </c>
      <c r="V175" s="1">
        <v>1.3520000000000001</v>
      </c>
      <c r="W175" s="1">
        <v>8.8670000000000009</v>
      </c>
      <c r="X175" s="1">
        <v>156.80000000000001</v>
      </c>
      <c r="Y175" s="1">
        <v>5.6870000000000002E-3</v>
      </c>
      <c r="Z175" s="1">
        <v>4.9599999999999998E-2</v>
      </c>
      <c r="AA175" s="1">
        <v>6.3289999999999999E-2</v>
      </c>
      <c r="AB175" s="1">
        <v>1.5610000000000001E-2</v>
      </c>
      <c r="AC175" s="1">
        <v>1.924E-2</v>
      </c>
      <c r="AD175" s="1">
        <v>4.614E-3</v>
      </c>
      <c r="AE175" s="1">
        <v>28.19</v>
      </c>
      <c r="AF175" s="1">
        <v>28.18</v>
      </c>
      <c r="AG175" s="1">
        <v>195.9</v>
      </c>
      <c r="AH175" s="1">
        <v>2384</v>
      </c>
      <c r="AI175" s="1">
        <v>0.12720000000000001</v>
      </c>
      <c r="AJ175" s="1">
        <v>0.47249999999999998</v>
      </c>
      <c r="AK175" s="1">
        <v>0.58069999999999999</v>
      </c>
      <c r="AL175" s="1">
        <v>0.18410000000000001</v>
      </c>
      <c r="AM175" s="1">
        <v>0.2833</v>
      </c>
      <c r="AN175" s="1">
        <v>8.8580000000000006E-2</v>
      </c>
    </row>
    <row r="176" spans="1:40" s="1" customFormat="1" ht="15" x14ac:dyDescent="0.25">
      <c r="A176" s="1">
        <v>8910996</v>
      </c>
      <c r="B176" s="1" t="s">
        <v>37</v>
      </c>
      <c r="C176" s="1">
        <v>9.7420000000000009</v>
      </c>
      <c r="D176" s="1">
        <v>15.67</v>
      </c>
      <c r="E176" s="2"/>
      <c r="F176" s="2"/>
      <c r="G176" s="2"/>
      <c r="H176" s="2"/>
      <c r="I176" s="2"/>
      <c r="J176" s="2"/>
      <c r="K176" s="2"/>
      <c r="L176" s="2"/>
      <c r="M176" s="1">
        <v>61.5</v>
      </c>
      <c r="N176" s="1">
        <v>289.89999999999998</v>
      </c>
      <c r="O176" s="1">
        <v>9.0370000000000006E-2</v>
      </c>
      <c r="P176" s="1">
        <v>4.6890000000000001E-2</v>
      </c>
      <c r="Q176" s="1">
        <v>1.103E-2</v>
      </c>
      <c r="R176" s="1">
        <v>1.4069999999999999E-2</v>
      </c>
      <c r="S176" s="1">
        <v>0.20810000000000001</v>
      </c>
      <c r="T176" s="1">
        <v>6.3119999999999996E-2</v>
      </c>
      <c r="U176" s="1">
        <v>0.26840000000000003</v>
      </c>
      <c r="V176" s="1">
        <v>1.409</v>
      </c>
      <c r="W176" s="1">
        <v>1.75</v>
      </c>
      <c r="X176" s="1">
        <v>16.39</v>
      </c>
      <c r="Y176" s="1">
        <v>1.38E-2</v>
      </c>
      <c r="Z176" s="1">
        <v>1.0670000000000001E-2</v>
      </c>
      <c r="AA176" s="1">
        <v>8.3470000000000003E-3</v>
      </c>
      <c r="AB176" s="1">
        <v>9.4719999999999995E-3</v>
      </c>
      <c r="AC176" s="1">
        <v>1.7979999999999999E-2</v>
      </c>
      <c r="AD176" s="1">
        <v>4.261E-3</v>
      </c>
      <c r="AE176" s="1">
        <v>10.75</v>
      </c>
      <c r="AF176" s="1">
        <v>20.88</v>
      </c>
      <c r="AG176" s="1">
        <v>68.09</v>
      </c>
      <c r="AH176" s="1">
        <v>355.2</v>
      </c>
      <c r="AI176" s="1">
        <v>0.1467</v>
      </c>
      <c r="AJ176" s="1">
        <v>9.3700000000000006E-2</v>
      </c>
      <c r="AK176" s="1">
        <v>4.0430000000000001E-2</v>
      </c>
      <c r="AL176" s="1">
        <v>5.1589999999999997E-2</v>
      </c>
      <c r="AM176" s="1">
        <v>0.28410000000000002</v>
      </c>
      <c r="AN176" s="1">
        <v>8.1750000000000003E-2</v>
      </c>
    </row>
    <row r="177" spans="1:40" s="1" customFormat="1" ht="15" x14ac:dyDescent="0.25">
      <c r="A177" s="1">
        <v>8911163</v>
      </c>
      <c r="B177" s="1" t="s">
        <v>36</v>
      </c>
      <c r="C177" s="1">
        <v>17.93</v>
      </c>
      <c r="D177" s="1">
        <v>24.48</v>
      </c>
      <c r="E177" s="2"/>
      <c r="F177" s="2"/>
      <c r="G177" s="2"/>
      <c r="H177" s="2"/>
      <c r="I177" s="2"/>
      <c r="J177" s="2"/>
      <c r="K177" s="2"/>
      <c r="L177" s="2"/>
      <c r="M177" s="1">
        <v>115.2</v>
      </c>
      <c r="N177" s="1">
        <v>998.9</v>
      </c>
      <c r="O177" s="1">
        <v>8.8550000000000004E-2</v>
      </c>
      <c r="P177" s="1">
        <v>7.0269999999999999E-2</v>
      </c>
      <c r="Q177" s="1">
        <v>5.6989999999999999E-2</v>
      </c>
      <c r="R177" s="1">
        <v>4.7440000000000003E-2</v>
      </c>
      <c r="S177" s="1">
        <v>0.15379999999999999</v>
      </c>
      <c r="T177" s="1">
        <v>5.5100000000000003E-2</v>
      </c>
      <c r="U177" s="1">
        <v>0.42120000000000002</v>
      </c>
      <c r="V177" s="1">
        <v>1.4330000000000001</v>
      </c>
      <c r="W177" s="1">
        <v>2.7650000000000001</v>
      </c>
      <c r="X177" s="1">
        <v>45.81</v>
      </c>
      <c r="Y177" s="1">
        <v>5.4440000000000001E-3</v>
      </c>
      <c r="Z177" s="1">
        <v>1.1690000000000001E-2</v>
      </c>
      <c r="AA177" s="1">
        <v>1.6219999999999998E-2</v>
      </c>
      <c r="AB177" s="1">
        <v>8.5220000000000001E-3</v>
      </c>
      <c r="AC177" s="1">
        <v>1.4189999999999999E-2</v>
      </c>
      <c r="AD177" s="1">
        <v>2.751E-3</v>
      </c>
      <c r="AE177" s="1">
        <v>20.92</v>
      </c>
      <c r="AF177" s="1">
        <v>34.69</v>
      </c>
      <c r="AG177" s="1">
        <v>135.1</v>
      </c>
      <c r="AH177" s="1">
        <v>1320</v>
      </c>
      <c r="AI177" s="1">
        <v>0.13150000000000001</v>
      </c>
      <c r="AJ177" s="1">
        <v>0.18060000000000001</v>
      </c>
      <c r="AK177" s="1">
        <v>0.20799999999999999</v>
      </c>
      <c r="AL177" s="1">
        <v>0.11360000000000001</v>
      </c>
      <c r="AM177" s="1">
        <v>0.25040000000000001</v>
      </c>
      <c r="AN177" s="1">
        <v>7.9479999999999995E-2</v>
      </c>
    </row>
    <row r="178" spans="1:40" s="1" customFormat="1" ht="15" x14ac:dyDescent="0.25">
      <c r="A178" s="1">
        <v>8911164</v>
      </c>
      <c r="B178" s="1" t="s">
        <v>37</v>
      </c>
      <c r="C178" s="1">
        <v>11.89</v>
      </c>
      <c r="D178" s="1">
        <v>17.36</v>
      </c>
      <c r="E178" s="2"/>
      <c r="F178" s="2"/>
      <c r="G178" s="2"/>
      <c r="H178" s="2"/>
      <c r="I178" s="2"/>
      <c r="J178" s="2"/>
      <c r="K178" s="2"/>
      <c r="L178" s="2"/>
      <c r="M178" s="1">
        <v>76.2</v>
      </c>
      <c r="N178" s="1">
        <v>435.6</v>
      </c>
      <c r="O178" s="1">
        <v>0.1225</v>
      </c>
      <c r="P178" s="1">
        <v>7.2099999999999997E-2</v>
      </c>
      <c r="Q178" s="1">
        <v>5.9290000000000002E-2</v>
      </c>
      <c r="R178" s="1">
        <v>7.4039999999999995E-2</v>
      </c>
      <c r="S178" s="1">
        <v>0.20150000000000001</v>
      </c>
      <c r="T178" s="1">
        <v>5.8749999999999997E-2</v>
      </c>
      <c r="U178" s="1">
        <v>0.64119999999999999</v>
      </c>
      <c r="V178" s="1">
        <v>2.2930000000000001</v>
      </c>
      <c r="W178" s="1">
        <v>4.0209999999999999</v>
      </c>
      <c r="X178" s="1">
        <v>48.84</v>
      </c>
      <c r="Y178" s="1">
        <v>1.418E-2</v>
      </c>
      <c r="Z178" s="1">
        <v>1.489E-2</v>
      </c>
      <c r="AA178" s="1">
        <v>1.2670000000000001E-2</v>
      </c>
      <c r="AB178" s="1">
        <v>1.9099999999999999E-2</v>
      </c>
      <c r="AC178" s="1">
        <v>2.6780000000000002E-2</v>
      </c>
      <c r="AD178" s="1">
        <v>3.0019999999999999E-3</v>
      </c>
      <c r="AE178" s="1">
        <v>12.4</v>
      </c>
      <c r="AF178" s="1">
        <v>18.989999999999998</v>
      </c>
      <c r="AG178" s="1">
        <v>79.459999999999994</v>
      </c>
      <c r="AH178" s="1">
        <v>472.4</v>
      </c>
      <c r="AI178" s="1">
        <v>0.13589999999999999</v>
      </c>
      <c r="AJ178" s="1">
        <v>8.3680000000000004E-2</v>
      </c>
      <c r="AK178" s="1">
        <v>7.1529999999999996E-2</v>
      </c>
      <c r="AL178" s="1">
        <v>8.9459999999999998E-2</v>
      </c>
      <c r="AM178" s="1">
        <v>0.222</v>
      </c>
      <c r="AN178" s="1">
        <v>6.0330000000000002E-2</v>
      </c>
    </row>
    <row r="179" spans="1:40" s="1" customFormat="1" ht="15" x14ac:dyDescent="0.25">
      <c r="A179" s="1">
        <v>8911230</v>
      </c>
      <c r="B179" s="1" t="s">
        <v>37</v>
      </c>
      <c r="C179" s="1">
        <v>11.33</v>
      </c>
      <c r="D179" s="1">
        <v>14.16</v>
      </c>
      <c r="E179" s="2"/>
      <c r="F179" s="2"/>
      <c r="G179" s="2"/>
      <c r="H179" s="2"/>
      <c r="I179" s="2"/>
      <c r="J179" s="2"/>
      <c r="K179" s="2"/>
      <c r="L179" s="2"/>
      <c r="M179" s="1">
        <v>71.790000000000006</v>
      </c>
      <c r="N179" s="1">
        <v>396.6</v>
      </c>
      <c r="O179" s="1">
        <v>9.3789999999999998E-2</v>
      </c>
      <c r="P179" s="1">
        <v>3.8719999999999997E-2</v>
      </c>
      <c r="Q179" s="1">
        <v>1.487E-3</v>
      </c>
      <c r="R179" s="1">
        <v>3.333E-3</v>
      </c>
      <c r="S179" s="1">
        <v>0.19539999999999999</v>
      </c>
      <c r="T179" s="1">
        <v>5.8209999999999998E-2</v>
      </c>
      <c r="U179" s="1">
        <v>0.23749999999999999</v>
      </c>
      <c r="V179" s="1">
        <v>1.28</v>
      </c>
      <c r="W179" s="1">
        <v>1.5649999999999999</v>
      </c>
      <c r="X179" s="1">
        <v>17.09</v>
      </c>
      <c r="Y179" s="1">
        <v>8.4259999999999995E-3</v>
      </c>
      <c r="Z179" s="1">
        <v>8.9980000000000008E-3</v>
      </c>
      <c r="AA179" s="1">
        <v>1.487E-3</v>
      </c>
      <c r="AB179" s="1">
        <v>3.333E-3</v>
      </c>
      <c r="AC179" s="1">
        <v>2.358E-2</v>
      </c>
      <c r="AD179" s="1">
        <v>1.627E-3</v>
      </c>
      <c r="AE179" s="1">
        <v>12.2</v>
      </c>
      <c r="AF179" s="1">
        <v>18.989999999999998</v>
      </c>
      <c r="AG179" s="1">
        <v>77.37</v>
      </c>
      <c r="AH179" s="1">
        <v>458</v>
      </c>
      <c r="AI179" s="1">
        <v>0.12590000000000001</v>
      </c>
      <c r="AJ179" s="1">
        <v>7.3480000000000004E-2</v>
      </c>
      <c r="AK179" s="1">
        <v>4.9550000000000002E-3</v>
      </c>
      <c r="AL179" s="1">
        <v>1.111E-2</v>
      </c>
      <c r="AM179" s="1">
        <v>0.27579999999999999</v>
      </c>
      <c r="AN179" s="1">
        <v>6.386E-2</v>
      </c>
    </row>
    <row r="180" spans="1:40" s="1" customFormat="1" ht="15" x14ac:dyDescent="0.25">
      <c r="A180" s="1">
        <v>8911670</v>
      </c>
      <c r="B180" s="1" t="s">
        <v>36</v>
      </c>
      <c r="C180" s="1">
        <v>18.809999999999999</v>
      </c>
      <c r="D180" s="1">
        <v>19.98</v>
      </c>
      <c r="E180" s="2"/>
      <c r="F180" s="2"/>
      <c r="G180" s="2"/>
      <c r="H180" s="2"/>
      <c r="I180" s="2"/>
      <c r="J180" s="2"/>
      <c r="K180" s="2"/>
      <c r="L180" s="2"/>
      <c r="M180" s="1">
        <v>120.9</v>
      </c>
      <c r="N180" s="1">
        <v>1102</v>
      </c>
      <c r="O180" s="1">
        <v>8.9230000000000004E-2</v>
      </c>
      <c r="P180" s="1">
        <v>5.8840000000000003E-2</v>
      </c>
      <c r="Q180" s="1">
        <v>8.0199999999999994E-2</v>
      </c>
      <c r="R180" s="1">
        <v>5.8430000000000003E-2</v>
      </c>
      <c r="S180" s="1">
        <v>0.155</v>
      </c>
      <c r="T180" s="1">
        <v>4.9959999999999997E-2</v>
      </c>
      <c r="U180" s="1">
        <v>0.32829999999999998</v>
      </c>
      <c r="V180" s="1">
        <v>0.82799999999999996</v>
      </c>
      <c r="W180" s="1">
        <v>2.363</v>
      </c>
      <c r="X180" s="1">
        <v>36.74</v>
      </c>
      <c r="Y180" s="1">
        <v>7.5709999999999996E-3</v>
      </c>
      <c r="Z180" s="1">
        <v>1.1140000000000001E-2</v>
      </c>
      <c r="AA180" s="1">
        <v>2.623E-2</v>
      </c>
      <c r="AB180" s="1">
        <v>1.4630000000000001E-2</v>
      </c>
      <c r="AC180" s="1">
        <v>1.9300000000000001E-2</v>
      </c>
      <c r="AD180" s="1">
        <v>1.676E-3</v>
      </c>
      <c r="AE180" s="1">
        <v>19.96</v>
      </c>
      <c r="AF180" s="1">
        <v>24.3</v>
      </c>
      <c r="AG180" s="1">
        <v>129</v>
      </c>
      <c r="AH180" s="1">
        <v>1236</v>
      </c>
      <c r="AI180" s="1">
        <v>0.12429999999999999</v>
      </c>
      <c r="AJ180" s="1">
        <v>0.11600000000000001</v>
      </c>
      <c r="AK180" s="1">
        <v>0.221</v>
      </c>
      <c r="AL180" s="1">
        <v>0.12939999999999999</v>
      </c>
      <c r="AM180" s="1">
        <v>0.25669999999999998</v>
      </c>
      <c r="AN180" s="1">
        <v>5.7369999999999997E-2</v>
      </c>
    </row>
    <row r="181" spans="1:40" s="1" customFormat="1" ht="15" x14ac:dyDescent="0.25">
      <c r="A181" s="1">
        <v>8911800</v>
      </c>
      <c r="B181" s="1" t="s">
        <v>37</v>
      </c>
      <c r="C181" s="1">
        <v>13.59</v>
      </c>
      <c r="D181" s="1">
        <v>17.84</v>
      </c>
      <c r="E181" s="2"/>
      <c r="F181" s="2"/>
      <c r="G181" s="2"/>
      <c r="H181" s="2"/>
      <c r="I181" s="2"/>
      <c r="J181" s="2"/>
      <c r="K181" s="2"/>
      <c r="L181" s="2"/>
      <c r="M181" s="1">
        <v>86.24</v>
      </c>
      <c r="N181" s="1">
        <v>572.29999999999995</v>
      </c>
      <c r="O181" s="1">
        <v>7.9479999999999995E-2</v>
      </c>
      <c r="P181" s="1">
        <v>4.052E-2</v>
      </c>
      <c r="Q181" s="1">
        <v>1.9970000000000002E-2</v>
      </c>
      <c r="R181" s="1">
        <v>1.238E-2</v>
      </c>
      <c r="S181" s="1">
        <v>0.1573</v>
      </c>
      <c r="T181" s="1">
        <v>5.5199999999999999E-2</v>
      </c>
      <c r="U181" s="1">
        <v>0.25800000000000001</v>
      </c>
      <c r="V181" s="1">
        <v>1.1659999999999999</v>
      </c>
      <c r="W181" s="1">
        <v>1.6830000000000001</v>
      </c>
      <c r="X181" s="1">
        <v>22.22</v>
      </c>
      <c r="Y181" s="1">
        <v>3.741E-3</v>
      </c>
      <c r="Z181" s="1">
        <v>5.274E-3</v>
      </c>
      <c r="AA181" s="1">
        <v>1.065E-2</v>
      </c>
      <c r="AB181" s="1">
        <v>5.0439999999999999E-3</v>
      </c>
      <c r="AC181" s="1">
        <v>1.3440000000000001E-2</v>
      </c>
      <c r="AD181" s="1">
        <v>1.126E-3</v>
      </c>
      <c r="AE181" s="1">
        <v>15.5</v>
      </c>
      <c r="AF181" s="1">
        <v>26.1</v>
      </c>
      <c r="AG181" s="1">
        <v>98.91</v>
      </c>
      <c r="AH181" s="1">
        <v>739.1</v>
      </c>
      <c r="AI181" s="1">
        <v>0.105</v>
      </c>
      <c r="AJ181" s="1">
        <v>7.6219999999999996E-2</v>
      </c>
      <c r="AK181" s="1">
        <v>0.106</v>
      </c>
      <c r="AL181" s="1">
        <v>5.185E-2</v>
      </c>
      <c r="AM181" s="1">
        <v>0.23350000000000001</v>
      </c>
      <c r="AN181" s="1">
        <v>6.2630000000000005E-2</v>
      </c>
    </row>
    <row r="182" spans="1:40" s="1" customFormat="1" ht="15" x14ac:dyDescent="0.25">
      <c r="A182" s="1">
        <v>8911834</v>
      </c>
      <c r="B182" s="1" t="s">
        <v>37</v>
      </c>
      <c r="C182" s="1">
        <v>13.85</v>
      </c>
      <c r="D182" s="1">
        <v>15.18</v>
      </c>
      <c r="E182" s="2"/>
      <c r="F182" s="2"/>
      <c r="G182" s="2"/>
      <c r="H182" s="2"/>
      <c r="I182" s="2"/>
      <c r="J182" s="2"/>
      <c r="K182" s="2"/>
      <c r="L182" s="2"/>
      <c r="M182" s="1">
        <v>88.99</v>
      </c>
      <c r="N182" s="1">
        <v>587.4</v>
      </c>
      <c r="O182" s="1">
        <v>9.5159999999999995E-2</v>
      </c>
      <c r="P182" s="1">
        <v>7.6880000000000004E-2</v>
      </c>
      <c r="Q182" s="1">
        <v>4.4790000000000003E-2</v>
      </c>
      <c r="R182" s="1">
        <v>3.7109999999999997E-2</v>
      </c>
      <c r="S182" s="1">
        <v>0.21099999999999999</v>
      </c>
      <c r="T182" s="1">
        <v>5.8529999999999999E-2</v>
      </c>
      <c r="U182" s="1">
        <v>0.24790000000000001</v>
      </c>
      <c r="V182" s="1">
        <v>0.91949999999999998</v>
      </c>
      <c r="W182" s="1">
        <v>1.83</v>
      </c>
      <c r="X182" s="1">
        <v>19.41</v>
      </c>
      <c r="Y182" s="1">
        <v>4.235E-3</v>
      </c>
      <c r="Z182" s="1">
        <v>1.541E-2</v>
      </c>
      <c r="AA182" s="1">
        <v>1.457E-2</v>
      </c>
      <c r="AB182" s="1">
        <v>1.043E-2</v>
      </c>
      <c r="AC182" s="1">
        <v>1.528E-2</v>
      </c>
      <c r="AD182" s="1">
        <v>1.593E-3</v>
      </c>
      <c r="AE182" s="1">
        <v>14.98</v>
      </c>
      <c r="AF182" s="1">
        <v>21.74</v>
      </c>
      <c r="AG182" s="1">
        <v>98.37</v>
      </c>
      <c r="AH182" s="1">
        <v>670</v>
      </c>
      <c r="AI182" s="1">
        <v>0.11849999999999999</v>
      </c>
      <c r="AJ182" s="1">
        <v>0.1724</v>
      </c>
      <c r="AK182" s="1">
        <v>0.14560000000000001</v>
      </c>
      <c r="AL182" s="1">
        <v>9.9930000000000005E-2</v>
      </c>
      <c r="AM182" s="1">
        <v>0.29549999999999998</v>
      </c>
      <c r="AN182" s="1">
        <v>6.9120000000000001E-2</v>
      </c>
    </row>
    <row r="183" spans="1:40" s="1" customFormat="1" ht="15" x14ac:dyDescent="0.25">
      <c r="A183" s="1">
        <v>8912049</v>
      </c>
      <c r="B183" s="1" t="s">
        <v>36</v>
      </c>
      <c r="C183" s="1">
        <v>19.16</v>
      </c>
      <c r="D183" s="1">
        <v>26.6</v>
      </c>
      <c r="E183" s="2"/>
      <c r="F183" s="2"/>
      <c r="G183" s="2"/>
      <c r="H183" s="2"/>
      <c r="I183" s="2"/>
      <c r="J183" s="2"/>
      <c r="K183" s="2"/>
      <c r="L183" s="2"/>
      <c r="M183" s="1">
        <v>126.2</v>
      </c>
      <c r="N183" s="1">
        <v>1138</v>
      </c>
      <c r="O183" s="1">
        <v>0.10199999999999999</v>
      </c>
      <c r="P183" s="1">
        <v>0.14530000000000001</v>
      </c>
      <c r="Q183" s="1">
        <v>0.19209999999999999</v>
      </c>
      <c r="R183" s="1">
        <v>9.6640000000000004E-2</v>
      </c>
      <c r="S183" s="1">
        <v>0.19020000000000001</v>
      </c>
      <c r="T183" s="1">
        <v>6.2199999999999998E-2</v>
      </c>
      <c r="U183" s="1">
        <v>0.6361</v>
      </c>
      <c r="V183" s="1">
        <v>1.0009999999999999</v>
      </c>
      <c r="W183" s="1">
        <v>4.3209999999999997</v>
      </c>
      <c r="X183" s="1">
        <v>69.650000000000006</v>
      </c>
      <c r="Y183" s="1">
        <v>7.3920000000000001E-3</v>
      </c>
      <c r="Z183" s="1">
        <v>2.4490000000000001E-2</v>
      </c>
      <c r="AA183" s="1">
        <v>3.9879999999999999E-2</v>
      </c>
      <c r="AB183" s="1">
        <v>1.2930000000000001E-2</v>
      </c>
      <c r="AC183" s="1">
        <v>1.435E-2</v>
      </c>
      <c r="AD183" s="1">
        <v>3.4459999999999998E-3</v>
      </c>
      <c r="AE183" s="1">
        <v>23.72</v>
      </c>
      <c r="AF183" s="1">
        <v>35.9</v>
      </c>
      <c r="AG183" s="1">
        <v>159.80000000000001</v>
      </c>
      <c r="AH183" s="1">
        <v>1724</v>
      </c>
      <c r="AI183" s="1">
        <v>0.1782</v>
      </c>
      <c r="AJ183" s="1">
        <v>0.3841</v>
      </c>
      <c r="AK183" s="1">
        <v>0.57540000000000002</v>
      </c>
      <c r="AL183" s="1">
        <v>0.18720000000000001</v>
      </c>
      <c r="AM183" s="1">
        <v>0.32579999999999998</v>
      </c>
      <c r="AN183" s="1">
        <v>9.7199999999999995E-2</v>
      </c>
    </row>
    <row r="184" spans="1:40" s="1" customFormat="1" ht="15" x14ac:dyDescent="0.25">
      <c r="A184" s="1">
        <v>8912055</v>
      </c>
      <c r="B184" s="1" t="s">
        <v>37</v>
      </c>
      <c r="C184" s="1">
        <v>11.74</v>
      </c>
      <c r="D184" s="1">
        <v>14.02</v>
      </c>
      <c r="E184" s="2"/>
      <c r="F184" s="2"/>
      <c r="G184" s="2"/>
      <c r="H184" s="2"/>
      <c r="I184" s="2"/>
      <c r="J184" s="2"/>
      <c r="K184" s="2"/>
      <c r="L184" s="2"/>
      <c r="M184" s="1">
        <v>74.239999999999995</v>
      </c>
      <c r="N184" s="1">
        <v>427.3</v>
      </c>
      <c r="O184" s="1">
        <v>7.8130000000000005E-2</v>
      </c>
      <c r="P184" s="1">
        <v>4.3400000000000001E-2</v>
      </c>
      <c r="Q184" s="1">
        <v>2.2450000000000001E-2</v>
      </c>
      <c r="R184" s="1">
        <v>2.7629999999999998E-2</v>
      </c>
      <c r="S184" s="1">
        <v>0.21010000000000001</v>
      </c>
      <c r="T184" s="1">
        <v>6.1129999999999997E-2</v>
      </c>
      <c r="U184" s="1">
        <v>0.56189999999999996</v>
      </c>
      <c r="V184" s="1">
        <v>1.268</v>
      </c>
      <c r="W184" s="1">
        <v>3.7170000000000001</v>
      </c>
      <c r="X184" s="1">
        <v>37.83</v>
      </c>
      <c r="Y184" s="1">
        <v>8.0339999999999995E-3</v>
      </c>
      <c r="Z184" s="1">
        <v>1.4420000000000001E-2</v>
      </c>
      <c r="AA184" s="1">
        <v>1.5140000000000001E-2</v>
      </c>
      <c r="AB184" s="1">
        <v>1.8460000000000001E-2</v>
      </c>
      <c r="AC184" s="1">
        <v>2.921E-2</v>
      </c>
      <c r="AD184" s="1">
        <v>2.0049999999999998E-3</v>
      </c>
      <c r="AE184" s="1">
        <v>13.31</v>
      </c>
      <c r="AF184" s="1">
        <v>18.260000000000002</v>
      </c>
      <c r="AG184" s="1">
        <v>84.7</v>
      </c>
      <c r="AH184" s="1">
        <v>533.70000000000005</v>
      </c>
      <c r="AI184" s="1">
        <v>0.1036</v>
      </c>
      <c r="AJ184" s="1">
        <v>8.5000000000000006E-2</v>
      </c>
      <c r="AK184" s="1">
        <v>6.7349999999999993E-2</v>
      </c>
      <c r="AL184" s="1">
        <v>8.2900000000000001E-2</v>
      </c>
      <c r="AM184" s="1">
        <v>0.31009999999999999</v>
      </c>
      <c r="AN184" s="1">
        <v>6.6879999999999995E-2</v>
      </c>
    </row>
    <row r="185" spans="1:40" s="1" customFormat="1" ht="15" x14ac:dyDescent="0.25">
      <c r="A185" s="1">
        <v>89122</v>
      </c>
      <c r="B185" s="1" t="s">
        <v>36</v>
      </c>
      <c r="C185" s="1">
        <v>19.399999999999999</v>
      </c>
      <c r="D185" s="1">
        <v>18.18</v>
      </c>
      <c r="E185" s="2"/>
      <c r="F185" s="2"/>
      <c r="G185" s="2"/>
      <c r="H185" s="2"/>
      <c r="I185" s="2"/>
      <c r="J185" s="2"/>
      <c r="K185" s="2"/>
      <c r="L185" s="2"/>
      <c r="M185" s="1">
        <v>127.2</v>
      </c>
      <c r="N185" s="1">
        <v>1145</v>
      </c>
      <c r="O185" s="1">
        <v>0.1037</v>
      </c>
      <c r="P185" s="1">
        <v>0.14419999999999999</v>
      </c>
      <c r="Q185" s="1">
        <v>0.16259999999999999</v>
      </c>
      <c r="R185" s="1">
        <v>9.4640000000000002E-2</v>
      </c>
      <c r="S185" s="1">
        <v>0.1893</v>
      </c>
      <c r="T185" s="1">
        <v>5.892E-2</v>
      </c>
      <c r="U185" s="1">
        <v>0.47089999999999999</v>
      </c>
      <c r="V185" s="1">
        <v>0.99509999999999998</v>
      </c>
      <c r="W185" s="1">
        <v>2.903</v>
      </c>
      <c r="X185" s="1">
        <v>53.16</v>
      </c>
      <c r="Y185" s="1">
        <v>5.6540000000000002E-3</v>
      </c>
      <c r="Z185" s="1">
        <v>2.1989999999999999E-2</v>
      </c>
      <c r="AA185" s="1">
        <v>3.0589999999999999E-2</v>
      </c>
      <c r="AB185" s="1">
        <v>1.499E-2</v>
      </c>
      <c r="AC185" s="1">
        <v>1.6230000000000001E-2</v>
      </c>
      <c r="AD185" s="1">
        <v>1.9650000000000002E-3</v>
      </c>
      <c r="AE185" s="1">
        <v>23.79</v>
      </c>
      <c r="AF185" s="1">
        <v>28.65</v>
      </c>
      <c r="AG185" s="1">
        <v>152.4</v>
      </c>
      <c r="AH185" s="1">
        <v>1628</v>
      </c>
      <c r="AI185" s="1">
        <v>0.15179999999999999</v>
      </c>
      <c r="AJ185" s="1">
        <v>0.37490000000000001</v>
      </c>
      <c r="AK185" s="1">
        <v>0.43159999999999998</v>
      </c>
      <c r="AL185" s="1">
        <v>0.22520000000000001</v>
      </c>
      <c r="AM185" s="1">
        <v>0.35899999999999999</v>
      </c>
      <c r="AN185" s="1">
        <v>7.7869999999999995E-2</v>
      </c>
    </row>
    <row r="186" spans="1:40" s="1" customFormat="1" ht="15" x14ac:dyDescent="0.25">
      <c r="A186" s="1">
        <v>8912280</v>
      </c>
      <c r="B186" s="1" t="s">
        <v>36</v>
      </c>
      <c r="C186" s="1">
        <v>16.239999999999998</v>
      </c>
      <c r="D186" s="1">
        <v>18.77</v>
      </c>
      <c r="E186" s="2"/>
      <c r="F186" s="2"/>
      <c r="G186" s="2"/>
      <c r="H186" s="2"/>
      <c r="I186" s="2"/>
      <c r="J186" s="2"/>
      <c r="K186" s="2"/>
      <c r="L186" s="2"/>
      <c r="M186" s="1">
        <v>108.8</v>
      </c>
      <c r="N186" s="1">
        <v>805.1</v>
      </c>
      <c r="O186" s="1">
        <v>0.1066</v>
      </c>
      <c r="P186" s="1">
        <v>0.1802</v>
      </c>
      <c r="Q186" s="1">
        <v>0.1948</v>
      </c>
      <c r="R186" s="1">
        <v>9.0520000000000003E-2</v>
      </c>
      <c r="S186" s="1">
        <v>0.18759999999999999</v>
      </c>
      <c r="T186" s="1">
        <v>6.6839999999999997E-2</v>
      </c>
      <c r="U186" s="1">
        <v>0.2873</v>
      </c>
      <c r="V186" s="1">
        <v>0.9173</v>
      </c>
      <c r="W186" s="1">
        <v>2.464</v>
      </c>
      <c r="X186" s="1">
        <v>28.09</v>
      </c>
      <c r="Y186" s="1">
        <v>4.5630000000000002E-3</v>
      </c>
      <c r="Z186" s="1">
        <v>3.4810000000000001E-2</v>
      </c>
      <c r="AA186" s="1">
        <v>3.8719999999999997E-2</v>
      </c>
      <c r="AB186" s="1">
        <v>1.209E-2</v>
      </c>
      <c r="AC186" s="1">
        <v>1.388E-2</v>
      </c>
      <c r="AD186" s="1">
        <v>4.0810000000000004E-3</v>
      </c>
      <c r="AE186" s="1">
        <v>18.55</v>
      </c>
      <c r="AF186" s="1">
        <v>25.09</v>
      </c>
      <c r="AG186" s="1">
        <v>126.9</v>
      </c>
      <c r="AH186" s="1">
        <v>1031</v>
      </c>
      <c r="AI186" s="1">
        <v>0.13650000000000001</v>
      </c>
      <c r="AJ186" s="1">
        <v>0.47060000000000002</v>
      </c>
      <c r="AK186" s="1">
        <v>0.50260000000000005</v>
      </c>
      <c r="AL186" s="1">
        <v>0.17319999999999999</v>
      </c>
      <c r="AM186" s="1">
        <v>0.27700000000000002</v>
      </c>
      <c r="AN186" s="1">
        <v>0.10630000000000001</v>
      </c>
    </row>
    <row r="187" spans="1:40" s="1" customFormat="1" ht="15" x14ac:dyDescent="0.25">
      <c r="A187" s="1">
        <v>8912284</v>
      </c>
      <c r="B187" s="1" t="s">
        <v>37</v>
      </c>
      <c r="C187" s="1">
        <v>12.89</v>
      </c>
      <c r="D187" s="1">
        <v>15.7</v>
      </c>
      <c r="E187" s="2"/>
      <c r="F187" s="2"/>
      <c r="G187" s="2"/>
      <c r="H187" s="2"/>
      <c r="I187" s="2"/>
      <c r="J187" s="2"/>
      <c r="K187" s="2"/>
      <c r="L187" s="2"/>
      <c r="M187" s="1">
        <v>84.08</v>
      </c>
      <c r="N187" s="1">
        <v>516.6</v>
      </c>
      <c r="O187" s="1">
        <v>7.8179999999999999E-2</v>
      </c>
      <c r="P187" s="1">
        <v>9.5799999999999996E-2</v>
      </c>
      <c r="Q187" s="1">
        <v>0.1115</v>
      </c>
      <c r="R187" s="1">
        <v>3.39E-2</v>
      </c>
      <c r="S187" s="1">
        <v>0.14319999999999999</v>
      </c>
      <c r="T187" s="1">
        <v>5.935E-2</v>
      </c>
      <c r="U187" s="1">
        <v>0.2913</v>
      </c>
      <c r="V187" s="1">
        <v>1.389</v>
      </c>
      <c r="W187" s="1">
        <v>2.347</v>
      </c>
      <c r="X187" s="1">
        <v>23.29</v>
      </c>
      <c r="Y187" s="1">
        <v>6.4180000000000001E-3</v>
      </c>
      <c r="Z187" s="1">
        <v>3.9609999999999999E-2</v>
      </c>
      <c r="AA187" s="1">
        <v>7.9269999999999993E-2</v>
      </c>
      <c r="AB187" s="1">
        <v>1.7739999999999999E-2</v>
      </c>
      <c r="AC187" s="1">
        <v>1.8780000000000002E-2</v>
      </c>
      <c r="AD187" s="1">
        <v>3.6960000000000001E-3</v>
      </c>
      <c r="AE187" s="1">
        <v>13.9</v>
      </c>
      <c r="AF187" s="1">
        <v>19.690000000000001</v>
      </c>
      <c r="AG187" s="1">
        <v>92.12</v>
      </c>
      <c r="AH187" s="1">
        <v>595.6</v>
      </c>
      <c r="AI187" s="1">
        <v>9.9260000000000001E-2</v>
      </c>
      <c r="AJ187" s="1">
        <v>0.23169999999999999</v>
      </c>
      <c r="AK187" s="1">
        <v>0.33439999999999998</v>
      </c>
      <c r="AL187" s="1">
        <v>0.1017</v>
      </c>
      <c r="AM187" s="1">
        <v>0.19989999999999999</v>
      </c>
      <c r="AN187" s="1">
        <v>7.127E-2</v>
      </c>
    </row>
    <row r="188" spans="1:40" s="1" customFormat="1" ht="15" x14ac:dyDescent="0.25">
      <c r="A188" s="1">
        <v>8912521</v>
      </c>
      <c r="B188" s="1" t="s">
        <v>37</v>
      </c>
      <c r="C188" s="1">
        <v>12.58</v>
      </c>
      <c r="D188" s="1">
        <v>18.399999999999999</v>
      </c>
      <c r="E188" s="2"/>
      <c r="F188" s="2"/>
      <c r="G188" s="2"/>
      <c r="H188" s="2"/>
      <c r="I188" s="2"/>
      <c r="J188" s="2"/>
      <c r="K188" s="2"/>
      <c r="L188" s="2"/>
      <c r="M188" s="1">
        <v>79.83</v>
      </c>
      <c r="N188" s="1">
        <v>489</v>
      </c>
      <c r="O188" s="1">
        <v>8.3930000000000005E-2</v>
      </c>
      <c r="P188" s="1">
        <v>4.2160000000000003E-2</v>
      </c>
      <c r="Q188" s="1">
        <v>1.8600000000000001E-3</v>
      </c>
      <c r="R188" s="1">
        <v>2.9239999999999999E-3</v>
      </c>
      <c r="S188" s="1">
        <v>0.16969999999999999</v>
      </c>
      <c r="T188" s="1">
        <v>5.8549999999999998E-2</v>
      </c>
      <c r="U188" s="1">
        <v>0.27189999999999998</v>
      </c>
      <c r="V188" s="1">
        <v>1.35</v>
      </c>
      <c r="W188" s="1">
        <v>1.7210000000000001</v>
      </c>
      <c r="X188" s="1">
        <v>22.45</v>
      </c>
      <c r="Y188" s="1">
        <v>6.3829999999999998E-3</v>
      </c>
      <c r="Z188" s="1">
        <v>8.0079999999999995E-3</v>
      </c>
      <c r="AA188" s="1">
        <v>1.8600000000000001E-3</v>
      </c>
      <c r="AB188" s="1">
        <v>2.9239999999999999E-3</v>
      </c>
      <c r="AC188" s="1">
        <v>2.571E-2</v>
      </c>
      <c r="AD188" s="1">
        <v>2.0149999999999999E-3</v>
      </c>
      <c r="AE188" s="1">
        <v>13.5</v>
      </c>
      <c r="AF188" s="1">
        <v>23.08</v>
      </c>
      <c r="AG188" s="1">
        <v>85.56</v>
      </c>
      <c r="AH188" s="1">
        <v>564.1</v>
      </c>
      <c r="AI188" s="1">
        <v>0.1038</v>
      </c>
      <c r="AJ188" s="1">
        <v>6.6239999999999993E-2</v>
      </c>
      <c r="AK188" s="1">
        <v>5.5789999999999998E-3</v>
      </c>
      <c r="AL188" s="1">
        <v>8.7720000000000003E-3</v>
      </c>
      <c r="AM188" s="1">
        <v>0.2505</v>
      </c>
      <c r="AN188" s="1">
        <v>6.4310000000000006E-2</v>
      </c>
    </row>
    <row r="189" spans="1:40" s="1" customFormat="1" ht="15" x14ac:dyDescent="0.25">
      <c r="A189" s="1">
        <v>8912909</v>
      </c>
      <c r="B189" s="1" t="s">
        <v>37</v>
      </c>
      <c r="C189" s="1">
        <v>11.94</v>
      </c>
      <c r="D189" s="1">
        <v>20.76</v>
      </c>
      <c r="E189" s="2"/>
      <c r="F189" s="2"/>
      <c r="G189" s="2"/>
      <c r="H189" s="2"/>
      <c r="I189" s="2"/>
      <c r="J189" s="2"/>
      <c r="K189" s="2"/>
      <c r="L189" s="2"/>
      <c r="M189" s="1">
        <v>77.87</v>
      </c>
      <c r="N189" s="1">
        <v>441</v>
      </c>
      <c r="O189" s="1">
        <v>8.6050000000000001E-2</v>
      </c>
      <c r="P189" s="1">
        <v>0.1011</v>
      </c>
      <c r="Q189" s="1">
        <v>6.5740000000000007E-2</v>
      </c>
      <c r="R189" s="1">
        <v>3.7909999999999999E-2</v>
      </c>
      <c r="S189" s="1">
        <v>0.1588</v>
      </c>
      <c r="T189" s="1">
        <v>6.7659999999999998E-2</v>
      </c>
      <c r="U189" s="1">
        <v>0.2742</v>
      </c>
      <c r="V189" s="1">
        <v>1.39</v>
      </c>
      <c r="W189" s="1">
        <v>3.198</v>
      </c>
      <c r="X189" s="1">
        <v>21.91</v>
      </c>
      <c r="Y189" s="1">
        <v>6.7190000000000001E-3</v>
      </c>
      <c r="Z189" s="1">
        <v>5.1560000000000002E-2</v>
      </c>
      <c r="AA189" s="1">
        <v>4.3869999999999999E-2</v>
      </c>
      <c r="AB189" s="1">
        <v>1.6330000000000001E-2</v>
      </c>
      <c r="AC189" s="1">
        <v>1.8720000000000001E-2</v>
      </c>
      <c r="AD189" s="1">
        <v>8.0149999999999996E-3</v>
      </c>
      <c r="AE189" s="1">
        <v>13.24</v>
      </c>
      <c r="AF189" s="1">
        <v>27.29</v>
      </c>
      <c r="AG189" s="1">
        <v>92.2</v>
      </c>
      <c r="AH189" s="1">
        <v>546.1</v>
      </c>
      <c r="AI189" s="1">
        <v>0.1116</v>
      </c>
      <c r="AJ189" s="1">
        <v>0.28129999999999999</v>
      </c>
      <c r="AK189" s="1">
        <v>0.23649999999999999</v>
      </c>
      <c r="AL189" s="1">
        <v>0.11550000000000001</v>
      </c>
      <c r="AM189" s="1">
        <v>0.2465</v>
      </c>
      <c r="AN189" s="1">
        <v>9.9809999999999996E-2</v>
      </c>
    </row>
    <row r="190" spans="1:40" s="1" customFormat="1" ht="15" x14ac:dyDescent="0.25">
      <c r="A190" s="1">
        <v>8913</v>
      </c>
      <c r="B190" s="1" t="s">
        <v>37</v>
      </c>
      <c r="C190" s="1">
        <v>12.89</v>
      </c>
      <c r="D190" s="1">
        <v>13.12</v>
      </c>
      <c r="E190" s="2"/>
      <c r="F190" s="2"/>
      <c r="G190" s="2"/>
      <c r="H190" s="2"/>
      <c r="I190" s="2"/>
      <c r="J190" s="2"/>
      <c r="K190" s="2"/>
      <c r="L190" s="2"/>
      <c r="M190" s="1">
        <v>81.89</v>
      </c>
      <c r="N190" s="1">
        <v>515.9</v>
      </c>
      <c r="O190" s="1">
        <v>6.9550000000000001E-2</v>
      </c>
      <c r="P190" s="1">
        <v>3.7289999999999997E-2</v>
      </c>
      <c r="Q190" s="1">
        <v>2.2599999999999999E-2</v>
      </c>
      <c r="R190" s="1">
        <v>1.171E-2</v>
      </c>
      <c r="S190" s="1">
        <v>0.13370000000000001</v>
      </c>
      <c r="T190" s="1">
        <v>5.5809999999999998E-2</v>
      </c>
      <c r="U190" s="1">
        <v>0.1532</v>
      </c>
      <c r="V190" s="1">
        <v>0.46899999999999997</v>
      </c>
      <c r="W190" s="1">
        <v>1.115</v>
      </c>
      <c r="X190" s="1">
        <v>12.68</v>
      </c>
      <c r="Y190" s="1">
        <v>4.731E-3</v>
      </c>
      <c r="Z190" s="1">
        <v>1.345E-2</v>
      </c>
      <c r="AA190" s="1">
        <v>1.652E-2</v>
      </c>
      <c r="AB190" s="1">
        <v>5.9049999999999997E-3</v>
      </c>
      <c r="AC190" s="1">
        <v>1.619E-2</v>
      </c>
      <c r="AD190" s="1">
        <v>2.081E-3</v>
      </c>
      <c r="AE190" s="1">
        <v>13.62</v>
      </c>
      <c r="AF190" s="1">
        <v>15.54</v>
      </c>
      <c r="AG190" s="1">
        <v>87.4</v>
      </c>
      <c r="AH190" s="1">
        <v>577</v>
      </c>
      <c r="AI190" s="1">
        <v>9.6159999999999995E-2</v>
      </c>
      <c r="AJ190" s="1">
        <v>0.1147</v>
      </c>
      <c r="AK190" s="1">
        <v>0.1186</v>
      </c>
      <c r="AL190" s="1">
        <v>5.3659999999999999E-2</v>
      </c>
      <c r="AM190" s="1">
        <v>0.23089999999999999</v>
      </c>
      <c r="AN190" s="1">
        <v>6.9150000000000003E-2</v>
      </c>
    </row>
    <row r="191" spans="1:40" s="1" customFormat="1" ht="15" x14ac:dyDescent="0.25">
      <c r="A191" s="1">
        <v>8913049</v>
      </c>
      <c r="B191" s="1" t="s">
        <v>37</v>
      </c>
      <c r="C191" s="1">
        <v>11.26</v>
      </c>
      <c r="D191" s="1">
        <v>19.96</v>
      </c>
      <c r="E191" s="2"/>
      <c r="F191" s="2"/>
      <c r="G191" s="2"/>
      <c r="H191" s="2"/>
      <c r="I191" s="2"/>
      <c r="J191" s="2"/>
      <c r="K191" s="2"/>
      <c r="L191" s="2"/>
      <c r="M191" s="1">
        <v>73.72</v>
      </c>
      <c r="N191" s="1">
        <v>394.1</v>
      </c>
      <c r="O191" s="1">
        <v>8.0199999999999994E-2</v>
      </c>
      <c r="P191" s="1">
        <v>0.1181</v>
      </c>
      <c r="Q191" s="1">
        <v>9.2740000000000003E-2</v>
      </c>
      <c r="R191" s="1">
        <v>5.5879999999999999E-2</v>
      </c>
      <c r="S191" s="1">
        <v>0.25950000000000001</v>
      </c>
      <c r="T191" s="1">
        <v>6.2330000000000003E-2</v>
      </c>
      <c r="U191" s="1">
        <v>0.48659999999999998</v>
      </c>
      <c r="V191" s="1">
        <v>1.905</v>
      </c>
      <c r="W191" s="1">
        <v>2.8769999999999998</v>
      </c>
      <c r="X191" s="1">
        <v>34.68</v>
      </c>
      <c r="Y191" s="1">
        <v>1.5740000000000001E-2</v>
      </c>
      <c r="Z191" s="1">
        <v>8.2619999999999999E-2</v>
      </c>
      <c r="AA191" s="1">
        <v>8.0990000000000006E-2</v>
      </c>
      <c r="AB191" s="1">
        <v>3.4869999999999998E-2</v>
      </c>
      <c r="AC191" s="1">
        <v>3.4180000000000002E-2</v>
      </c>
      <c r="AD191" s="1">
        <v>6.5170000000000002E-3</v>
      </c>
      <c r="AE191" s="1">
        <v>11.86</v>
      </c>
      <c r="AF191" s="1">
        <v>22.33</v>
      </c>
      <c r="AG191" s="1">
        <v>78.27</v>
      </c>
      <c r="AH191" s="1">
        <v>437.6</v>
      </c>
      <c r="AI191" s="1">
        <v>0.1028</v>
      </c>
      <c r="AJ191" s="1">
        <v>0.18429999999999999</v>
      </c>
      <c r="AK191" s="1">
        <v>0.15459999999999999</v>
      </c>
      <c r="AL191" s="1">
        <v>9.3140000000000001E-2</v>
      </c>
      <c r="AM191" s="1">
        <v>0.29549999999999998</v>
      </c>
      <c r="AN191" s="1">
        <v>7.009E-2</v>
      </c>
    </row>
    <row r="192" spans="1:40" s="1" customFormat="1" ht="15" x14ac:dyDescent="0.25">
      <c r="A192" s="1">
        <v>89143601</v>
      </c>
      <c r="B192" s="1" t="s">
        <v>37</v>
      </c>
      <c r="C192" s="1">
        <v>11.37</v>
      </c>
      <c r="D192" s="1">
        <v>18.89</v>
      </c>
      <c r="E192" s="2"/>
      <c r="F192" s="2"/>
      <c r="G192" s="2"/>
      <c r="H192" s="2"/>
      <c r="I192" s="2"/>
      <c r="J192" s="2"/>
      <c r="K192" s="2"/>
      <c r="L192" s="2"/>
      <c r="M192" s="1">
        <v>72.17</v>
      </c>
      <c r="N192" s="1">
        <v>396</v>
      </c>
      <c r="O192" s="1">
        <v>8.7129999999999999E-2</v>
      </c>
      <c r="P192" s="1">
        <v>5.008E-2</v>
      </c>
      <c r="Q192" s="1">
        <v>2.3990000000000001E-2</v>
      </c>
      <c r="R192" s="1">
        <v>2.1729999999999999E-2</v>
      </c>
      <c r="S192" s="1">
        <v>0.20130000000000001</v>
      </c>
      <c r="T192" s="1">
        <v>5.9549999999999999E-2</v>
      </c>
      <c r="U192" s="1">
        <v>0.2656</v>
      </c>
      <c r="V192" s="1">
        <v>1.974</v>
      </c>
      <c r="W192" s="1">
        <v>1.954</v>
      </c>
      <c r="X192" s="1">
        <v>17.489999999999998</v>
      </c>
      <c r="Y192" s="1">
        <v>6.5380000000000004E-3</v>
      </c>
      <c r="Z192" s="1">
        <v>1.3950000000000001E-2</v>
      </c>
      <c r="AA192" s="1">
        <v>1.376E-2</v>
      </c>
      <c r="AB192" s="1">
        <v>9.9240000000000005E-3</v>
      </c>
      <c r="AC192" s="1">
        <v>3.4160000000000003E-2</v>
      </c>
      <c r="AD192" s="1">
        <v>2.928E-3</v>
      </c>
      <c r="AE192" s="1">
        <v>12.36</v>
      </c>
      <c r="AF192" s="1">
        <v>26.14</v>
      </c>
      <c r="AG192" s="1">
        <v>79.290000000000006</v>
      </c>
      <c r="AH192" s="1">
        <v>459.3</v>
      </c>
      <c r="AI192" s="1">
        <v>0.1118</v>
      </c>
      <c r="AJ192" s="1">
        <v>9.708E-2</v>
      </c>
      <c r="AK192" s="1">
        <v>7.5289999999999996E-2</v>
      </c>
      <c r="AL192" s="1">
        <v>6.2030000000000002E-2</v>
      </c>
      <c r="AM192" s="1">
        <v>0.32669999999999999</v>
      </c>
      <c r="AN192" s="1">
        <v>6.9940000000000002E-2</v>
      </c>
    </row>
    <row r="193" spans="1:40" s="1" customFormat="1" ht="15" x14ac:dyDescent="0.25">
      <c r="A193" s="1">
        <v>89143602</v>
      </c>
      <c r="B193" s="1" t="s">
        <v>37</v>
      </c>
      <c r="C193" s="1">
        <v>14.41</v>
      </c>
      <c r="D193" s="1">
        <v>19.73</v>
      </c>
      <c r="E193" s="2"/>
      <c r="F193" s="2"/>
      <c r="G193" s="2"/>
      <c r="H193" s="2"/>
      <c r="I193" s="2"/>
      <c r="J193" s="2"/>
      <c r="K193" s="2"/>
      <c r="L193" s="2"/>
      <c r="M193" s="1">
        <v>96.03</v>
      </c>
      <c r="N193" s="1">
        <v>651</v>
      </c>
      <c r="O193" s="1">
        <v>8.7569999999999995E-2</v>
      </c>
      <c r="P193" s="1">
        <v>0.1676</v>
      </c>
      <c r="Q193" s="1">
        <v>0.13619999999999999</v>
      </c>
      <c r="R193" s="1">
        <v>6.6019999999999995E-2</v>
      </c>
      <c r="S193" s="1">
        <v>0.1714</v>
      </c>
      <c r="T193" s="1">
        <v>7.1919999999999998E-2</v>
      </c>
      <c r="U193" s="1">
        <v>0.88109999999999999</v>
      </c>
      <c r="V193" s="1">
        <v>1.77</v>
      </c>
      <c r="W193" s="1">
        <v>4.3600000000000003</v>
      </c>
      <c r="X193" s="1">
        <v>77.11</v>
      </c>
      <c r="Y193" s="1">
        <v>7.7619999999999998E-3</v>
      </c>
      <c r="Z193" s="1">
        <v>0.10639999999999999</v>
      </c>
      <c r="AA193" s="1">
        <v>9.9599999999999994E-2</v>
      </c>
      <c r="AB193" s="1">
        <v>2.7709999999999999E-2</v>
      </c>
      <c r="AC193" s="1">
        <v>4.0770000000000001E-2</v>
      </c>
      <c r="AD193" s="1">
        <v>2.2859999999999998E-2</v>
      </c>
      <c r="AE193" s="1">
        <v>15.77</v>
      </c>
      <c r="AF193" s="1">
        <v>22.13</v>
      </c>
      <c r="AG193" s="1">
        <v>101.7</v>
      </c>
      <c r="AH193" s="1">
        <v>767.3</v>
      </c>
      <c r="AI193" s="1">
        <v>9.9830000000000002E-2</v>
      </c>
      <c r="AJ193" s="1">
        <v>0.2472</v>
      </c>
      <c r="AK193" s="1">
        <v>0.222</v>
      </c>
      <c r="AL193" s="1">
        <v>0.1021</v>
      </c>
      <c r="AM193" s="1">
        <v>0.22720000000000001</v>
      </c>
      <c r="AN193" s="1">
        <v>8.7989999999999999E-2</v>
      </c>
    </row>
    <row r="194" spans="1:40" s="1" customFormat="1" ht="15" x14ac:dyDescent="0.25">
      <c r="A194" s="1">
        <v>8915</v>
      </c>
      <c r="B194" s="1" t="s">
        <v>37</v>
      </c>
      <c r="C194" s="1">
        <v>14.96</v>
      </c>
      <c r="D194" s="1">
        <v>19.100000000000001</v>
      </c>
      <c r="E194" s="2"/>
      <c r="F194" s="2"/>
      <c r="G194" s="2"/>
      <c r="H194" s="2"/>
      <c r="I194" s="2"/>
      <c r="J194" s="2"/>
      <c r="K194" s="2"/>
      <c r="L194" s="2"/>
      <c r="M194" s="1">
        <v>97.03</v>
      </c>
      <c r="N194" s="1">
        <v>687.3</v>
      </c>
      <c r="O194" s="1">
        <v>8.992E-2</v>
      </c>
      <c r="P194" s="1">
        <v>9.8229999999999998E-2</v>
      </c>
      <c r="Q194" s="1">
        <v>5.9400000000000001E-2</v>
      </c>
      <c r="R194" s="1">
        <v>4.8189999999999997E-2</v>
      </c>
      <c r="S194" s="1">
        <v>0.18790000000000001</v>
      </c>
      <c r="T194" s="1">
        <v>5.8520000000000003E-2</v>
      </c>
      <c r="U194" s="1">
        <v>0.28770000000000001</v>
      </c>
      <c r="V194" s="1">
        <v>0.94799999999999995</v>
      </c>
      <c r="W194" s="1">
        <v>2.1709999999999998</v>
      </c>
      <c r="X194" s="1">
        <v>24.87</v>
      </c>
      <c r="Y194" s="1">
        <v>5.3319999999999999E-3</v>
      </c>
      <c r="Z194" s="1">
        <v>2.1149999999999999E-2</v>
      </c>
      <c r="AA194" s="1">
        <v>1.536E-2</v>
      </c>
      <c r="AB194" s="1">
        <v>1.187E-2</v>
      </c>
      <c r="AC194" s="1">
        <v>1.5219999999999999E-2</v>
      </c>
      <c r="AD194" s="1">
        <v>2.8149999999999998E-3</v>
      </c>
      <c r="AE194" s="1">
        <v>16.25</v>
      </c>
      <c r="AF194" s="1">
        <v>26.19</v>
      </c>
      <c r="AG194" s="1">
        <v>109.1</v>
      </c>
      <c r="AH194" s="1">
        <v>809.8</v>
      </c>
      <c r="AI194" s="1">
        <v>0.1313</v>
      </c>
      <c r="AJ194" s="1">
        <v>0.30299999999999999</v>
      </c>
      <c r="AK194" s="1">
        <v>0.1804</v>
      </c>
      <c r="AL194" s="1">
        <v>0.1489</v>
      </c>
      <c r="AM194" s="1">
        <v>0.29620000000000002</v>
      </c>
      <c r="AN194" s="1">
        <v>8.4720000000000004E-2</v>
      </c>
    </row>
    <row r="195" spans="1:40" s="1" customFormat="1" ht="15" x14ac:dyDescent="0.25">
      <c r="A195" s="1">
        <v>891670</v>
      </c>
      <c r="B195" s="1" t="s">
        <v>37</v>
      </c>
      <c r="C195" s="1">
        <v>12.95</v>
      </c>
      <c r="D195" s="1">
        <v>16.02</v>
      </c>
      <c r="E195" s="2"/>
      <c r="F195" s="2"/>
      <c r="G195" s="2"/>
      <c r="H195" s="2"/>
      <c r="I195" s="2"/>
      <c r="J195" s="2"/>
      <c r="K195" s="2"/>
      <c r="L195" s="2"/>
      <c r="M195" s="1">
        <v>83.14</v>
      </c>
      <c r="N195" s="1">
        <v>513.70000000000005</v>
      </c>
      <c r="O195" s="1">
        <v>0.10050000000000001</v>
      </c>
      <c r="P195" s="1">
        <v>7.9430000000000001E-2</v>
      </c>
      <c r="Q195" s="1">
        <v>6.1550000000000001E-2</v>
      </c>
      <c r="R195" s="1">
        <v>3.3700000000000001E-2</v>
      </c>
      <c r="S195" s="1">
        <v>0.17299999999999999</v>
      </c>
      <c r="T195" s="1">
        <v>6.4699999999999994E-2</v>
      </c>
      <c r="U195" s="1">
        <v>0.2094</v>
      </c>
      <c r="V195" s="1">
        <v>0.76359999999999995</v>
      </c>
      <c r="W195" s="1">
        <v>1.2310000000000001</v>
      </c>
      <c r="X195" s="1">
        <v>17.670000000000002</v>
      </c>
      <c r="Y195" s="1">
        <v>8.7250000000000001E-3</v>
      </c>
      <c r="Z195" s="1">
        <v>2.0029999999999999E-2</v>
      </c>
      <c r="AA195" s="1">
        <v>2.3349999999999999E-2</v>
      </c>
      <c r="AB195" s="1">
        <v>1.132E-2</v>
      </c>
      <c r="AC195" s="1">
        <v>2.6249999999999999E-2</v>
      </c>
      <c r="AD195" s="1">
        <v>4.7260000000000002E-3</v>
      </c>
      <c r="AE195" s="1">
        <v>13.74</v>
      </c>
      <c r="AF195" s="1">
        <v>19.93</v>
      </c>
      <c r="AG195" s="1">
        <v>88.81</v>
      </c>
      <c r="AH195" s="1">
        <v>585.4</v>
      </c>
      <c r="AI195" s="1">
        <v>0.14829999999999999</v>
      </c>
      <c r="AJ195" s="1">
        <v>0.20680000000000001</v>
      </c>
      <c r="AK195" s="1">
        <v>0.22409999999999999</v>
      </c>
      <c r="AL195" s="1">
        <v>0.1056</v>
      </c>
      <c r="AM195" s="1">
        <v>0.33800000000000002</v>
      </c>
      <c r="AN195" s="1">
        <v>9.5839999999999995E-2</v>
      </c>
    </row>
    <row r="196" spans="1:40" s="1" customFormat="1" ht="15" x14ac:dyDescent="0.25">
      <c r="A196" s="1">
        <v>891703</v>
      </c>
      <c r="B196" s="1" t="s">
        <v>37</v>
      </c>
      <c r="C196" s="1">
        <v>11.85</v>
      </c>
      <c r="D196" s="1">
        <v>17.46</v>
      </c>
      <c r="E196" s="2"/>
      <c r="F196" s="2"/>
      <c r="G196" s="2"/>
      <c r="H196" s="2"/>
      <c r="I196" s="2"/>
      <c r="J196" s="2"/>
      <c r="K196" s="2"/>
      <c r="L196" s="2"/>
      <c r="M196" s="1">
        <v>75.540000000000006</v>
      </c>
      <c r="N196" s="1">
        <v>432.7</v>
      </c>
      <c r="O196" s="1">
        <v>8.3720000000000003E-2</v>
      </c>
      <c r="P196" s="1">
        <v>5.6419999999999998E-2</v>
      </c>
      <c r="Q196" s="1">
        <v>2.6880000000000001E-2</v>
      </c>
      <c r="R196" s="1">
        <v>2.2800000000000001E-2</v>
      </c>
      <c r="S196" s="1">
        <v>0.1875</v>
      </c>
      <c r="T196" s="1">
        <v>5.7149999999999999E-2</v>
      </c>
      <c r="U196" s="1">
        <v>0.20699999999999999</v>
      </c>
      <c r="V196" s="1">
        <v>1.238</v>
      </c>
      <c r="W196" s="1">
        <v>1.234</v>
      </c>
      <c r="X196" s="1">
        <v>13.88</v>
      </c>
      <c r="Y196" s="1">
        <v>7.5950000000000002E-3</v>
      </c>
      <c r="Z196" s="1">
        <v>1.4999999999999999E-2</v>
      </c>
      <c r="AA196" s="1">
        <v>1.4120000000000001E-2</v>
      </c>
      <c r="AB196" s="1">
        <v>8.5780000000000006E-3</v>
      </c>
      <c r="AC196" s="1">
        <v>1.7919999999999998E-2</v>
      </c>
      <c r="AD196" s="1">
        <v>1.784E-3</v>
      </c>
      <c r="AE196" s="1">
        <v>13.06</v>
      </c>
      <c r="AF196" s="1">
        <v>25.75</v>
      </c>
      <c r="AG196" s="1">
        <v>84.35</v>
      </c>
      <c r="AH196" s="1">
        <v>517.79999999999995</v>
      </c>
      <c r="AI196" s="1">
        <v>0.13689999999999999</v>
      </c>
      <c r="AJ196" s="1">
        <v>0.17580000000000001</v>
      </c>
      <c r="AK196" s="1">
        <v>0.13159999999999999</v>
      </c>
      <c r="AL196" s="1">
        <v>9.1399999999999995E-2</v>
      </c>
      <c r="AM196" s="1">
        <v>0.31009999999999999</v>
      </c>
      <c r="AN196" s="1">
        <v>7.0069999999999993E-2</v>
      </c>
    </row>
    <row r="197" spans="1:40" s="1" customFormat="1" ht="15" x14ac:dyDescent="0.25">
      <c r="A197" s="1">
        <v>891716</v>
      </c>
      <c r="B197" s="1" t="s">
        <v>37</v>
      </c>
      <c r="C197" s="1">
        <v>12.72</v>
      </c>
      <c r="D197" s="1">
        <v>13.78</v>
      </c>
      <c r="E197" s="2"/>
      <c r="F197" s="2"/>
      <c r="G197" s="2"/>
      <c r="H197" s="2"/>
      <c r="I197" s="2"/>
      <c r="J197" s="2"/>
      <c r="K197" s="2"/>
      <c r="L197" s="2"/>
      <c r="M197" s="1">
        <v>81.78</v>
      </c>
      <c r="N197" s="1">
        <v>492.1</v>
      </c>
      <c r="O197" s="1">
        <v>9.6670000000000006E-2</v>
      </c>
      <c r="P197" s="1">
        <v>8.3930000000000005E-2</v>
      </c>
      <c r="Q197" s="1">
        <v>1.2880000000000001E-2</v>
      </c>
      <c r="R197" s="1">
        <v>1.924E-2</v>
      </c>
      <c r="S197" s="1">
        <v>0.1638</v>
      </c>
      <c r="T197" s="1">
        <v>6.0999999999999999E-2</v>
      </c>
      <c r="U197" s="1">
        <v>0.1807</v>
      </c>
      <c r="V197" s="1">
        <v>0.69310000000000005</v>
      </c>
      <c r="W197" s="1">
        <v>1.34</v>
      </c>
      <c r="X197" s="1">
        <v>13.38</v>
      </c>
      <c r="Y197" s="1">
        <v>6.0639999999999999E-3</v>
      </c>
      <c r="Z197" s="1">
        <v>1.18E-2</v>
      </c>
      <c r="AA197" s="1">
        <v>6.5640000000000004E-3</v>
      </c>
      <c r="AB197" s="1">
        <v>7.9780000000000007E-3</v>
      </c>
      <c r="AC197" s="1">
        <v>1.374E-2</v>
      </c>
      <c r="AD197" s="1">
        <v>1.392E-3</v>
      </c>
      <c r="AE197" s="1">
        <v>13.5</v>
      </c>
      <c r="AF197" s="1">
        <v>17.48</v>
      </c>
      <c r="AG197" s="1">
        <v>88.54</v>
      </c>
      <c r="AH197" s="1">
        <v>553.70000000000005</v>
      </c>
      <c r="AI197" s="1">
        <v>0.1298</v>
      </c>
      <c r="AJ197" s="1">
        <v>0.1472</v>
      </c>
      <c r="AK197" s="1">
        <v>5.2330000000000002E-2</v>
      </c>
      <c r="AL197" s="1">
        <v>6.343E-2</v>
      </c>
      <c r="AM197" s="1">
        <v>0.2369</v>
      </c>
      <c r="AN197" s="1">
        <v>6.9220000000000004E-2</v>
      </c>
    </row>
    <row r="198" spans="1:40" s="1" customFormat="1" ht="15" x14ac:dyDescent="0.25">
      <c r="A198" s="1">
        <v>891923</v>
      </c>
      <c r="B198" s="1" t="s">
        <v>37</v>
      </c>
      <c r="C198" s="1">
        <v>13.77</v>
      </c>
      <c r="D198" s="1">
        <v>13.27</v>
      </c>
      <c r="E198" s="2"/>
      <c r="F198" s="2"/>
      <c r="G198" s="2"/>
      <c r="H198" s="2"/>
      <c r="I198" s="2"/>
      <c r="J198" s="2"/>
      <c r="K198" s="2"/>
      <c r="L198" s="2"/>
      <c r="M198" s="1">
        <v>88.06</v>
      </c>
      <c r="N198" s="1">
        <v>582.70000000000005</v>
      </c>
      <c r="O198" s="1">
        <v>9.1980000000000006E-2</v>
      </c>
      <c r="P198" s="1">
        <v>6.2210000000000001E-2</v>
      </c>
      <c r="Q198" s="1">
        <v>1.0630000000000001E-2</v>
      </c>
      <c r="R198" s="1">
        <v>1.917E-2</v>
      </c>
      <c r="S198" s="1">
        <v>0.15920000000000001</v>
      </c>
      <c r="T198" s="1">
        <v>5.9119999999999999E-2</v>
      </c>
      <c r="U198" s="1">
        <v>0.21909999999999999</v>
      </c>
      <c r="V198" s="1">
        <v>0.6946</v>
      </c>
      <c r="W198" s="1">
        <v>1.4790000000000001</v>
      </c>
      <c r="X198" s="1">
        <v>17.739999999999998</v>
      </c>
      <c r="Y198" s="1">
        <v>4.3480000000000003E-3</v>
      </c>
      <c r="Z198" s="1">
        <v>8.1530000000000005E-3</v>
      </c>
      <c r="AA198" s="1">
        <v>4.2719999999999998E-3</v>
      </c>
      <c r="AB198" s="1">
        <v>6.829E-3</v>
      </c>
      <c r="AC198" s="1">
        <v>2.154E-2</v>
      </c>
      <c r="AD198" s="1">
        <v>1.802E-3</v>
      </c>
      <c r="AE198" s="1">
        <v>14.67</v>
      </c>
      <c r="AF198" s="1">
        <v>16.93</v>
      </c>
      <c r="AG198" s="1">
        <v>94.17</v>
      </c>
      <c r="AH198" s="1">
        <v>661.1</v>
      </c>
      <c r="AI198" s="1">
        <v>0.11700000000000001</v>
      </c>
      <c r="AJ198" s="1">
        <v>0.1072</v>
      </c>
      <c r="AK198" s="1">
        <v>3.7319999999999999E-2</v>
      </c>
      <c r="AL198" s="1">
        <v>5.8020000000000002E-2</v>
      </c>
      <c r="AM198" s="1">
        <v>0.2823</v>
      </c>
      <c r="AN198" s="1">
        <v>6.794E-2</v>
      </c>
    </row>
    <row r="199" spans="1:40" s="1" customFormat="1" ht="15" x14ac:dyDescent="0.25">
      <c r="A199" s="1">
        <v>891936</v>
      </c>
      <c r="B199" s="1" t="s">
        <v>37</v>
      </c>
      <c r="C199" s="1">
        <v>10.91</v>
      </c>
      <c r="D199" s="1">
        <v>12.35</v>
      </c>
      <c r="E199" s="2"/>
      <c r="F199" s="2"/>
      <c r="G199" s="2"/>
      <c r="H199" s="2"/>
      <c r="I199" s="2"/>
      <c r="J199" s="2"/>
      <c r="K199" s="2"/>
      <c r="L199" s="2"/>
      <c r="M199" s="1">
        <v>69.14</v>
      </c>
      <c r="N199" s="1">
        <v>363.7</v>
      </c>
      <c r="O199" s="1">
        <v>8.5180000000000006E-2</v>
      </c>
      <c r="P199" s="1">
        <v>4.7210000000000002E-2</v>
      </c>
      <c r="Q199" s="1">
        <v>1.2359999999999999E-2</v>
      </c>
      <c r="R199" s="1">
        <v>1.3690000000000001E-2</v>
      </c>
      <c r="S199" s="1">
        <v>0.1449</v>
      </c>
      <c r="T199" s="1">
        <v>6.0310000000000002E-2</v>
      </c>
      <c r="U199" s="1">
        <v>0.17530000000000001</v>
      </c>
      <c r="V199" s="1">
        <v>1.0269999999999999</v>
      </c>
      <c r="W199" s="1">
        <v>1.2669999999999999</v>
      </c>
      <c r="X199" s="1">
        <v>11.09</v>
      </c>
      <c r="Y199" s="1">
        <v>3.4780000000000002E-3</v>
      </c>
      <c r="Z199" s="1">
        <v>1.221E-2</v>
      </c>
      <c r="AA199" s="1">
        <v>1.072E-2</v>
      </c>
      <c r="AB199" s="1">
        <v>9.3930000000000003E-3</v>
      </c>
      <c r="AC199" s="1">
        <v>2.9409999999999999E-2</v>
      </c>
      <c r="AD199" s="1">
        <v>3.4280000000000001E-3</v>
      </c>
      <c r="AE199" s="1">
        <v>11.37</v>
      </c>
      <c r="AF199" s="1">
        <v>14.82</v>
      </c>
      <c r="AG199" s="1">
        <v>72.42</v>
      </c>
      <c r="AH199" s="1">
        <v>392.2</v>
      </c>
      <c r="AI199" s="1">
        <v>9.3119999999999994E-2</v>
      </c>
      <c r="AJ199" s="1">
        <v>7.5060000000000002E-2</v>
      </c>
      <c r="AK199" s="1">
        <v>2.8840000000000001E-2</v>
      </c>
      <c r="AL199" s="1">
        <v>3.1940000000000003E-2</v>
      </c>
      <c r="AM199" s="1">
        <v>0.21429999999999999</v>
      </c>
      <c r="AN199" s="1">
        <v>6.6430000000000003E-2</v>
      </c>
    </row>
    <row r="200" spans="1:40" s="1" customFormat="1" ht="15" x14ac:dyDescent="0.25">
      <c r="A200" s="1">
        <v>892189</v>
      </c>
      <c r="B200" s="1" t="s">
        <v>36</v>
      </c>
      <c r="C200" s="1">
        <v>11.76</v>
      </c>
      <c r="D200" s="1">
        <v>18.14</v>
      </c>
      <c r="E200" s="2"/>
      <c r="F200" s="2"/>
      <c r="G200" s="2"/>
      <c r="H200" s="2"/>
      <c r="I200" s="2"/>
      <c r="J200" s="2"/>
      <c r="K200" s="2"/>
      <c r="L200" s="2"/>
      <c r="M200" s="1">
        <v>75</v>
      </c>
      <c r="N200" s="1">
        <v>431.1</v>
      </c>
      <c r="O200" s="1">
        <v>9.9680000000000005E-2</v>
      </c>
      <c r="P200" s="1">
        <v>5.9139999999999998E-2</v>
      </c>
      <c r="Q200" s="1">
        <v>2.6849999999999999E-2</v>
      </c>
      <c r="R200" s="1">
        <v>3.5150000000000001E-2</v>
      </c>
      <c r="S200" s="1">
        <v>0.16189999999999999</v>
      </c>
      <c r="T200" s="1">
        <v>6.2869999999999995E-2</v>
      </c>
      <c r="U200" s="1">
        <v>0.64500000000000002</v>
      </c>
      <c r="V200" s="1">
        <v>2.105</v>
      </c>
      <c r="W200" s="1">
        <v>4.1379999999999999</v>
      </c>
      <c r="X200" s="1">
        <v>49.11</v>
      </c>
      <c r="Y200" s="1">
        <v>5.5960000000000003E-3</v>
      </c>
      <c r="Z200" s="1">
        <v>1.005E-2</v>
      </c>
      <c r="AA200" s="1">
        <v>1.272E-2</v>
      </c>
      <c r="AB200" s="1">
        <v>1.4319999999999999E-2</v>
      </c>
      <c r="AC200" s="1">
        <v>1.575E-2</v>
      </c>
      <c r="AD200" s="1">
        <v>2.758E-3</v>
      </c>
      <c r="AE200" s="1">
        <v>13.36</v>
      </c>
      <c r="AF200" s="1">
        <v>23.39</v>
      </c>
      <c r="AG200" s="1">
        <v>85.1</v>
      </c>
      <c r="AH200" s="1">
        <v>553.6</v>
      </c>
      <c r="AI200" s="1">
        <v>0.1137</v>
      </c>
      <c r="AJ200" s="1">
        <v>7.9740000000000005E-2</v>
      </c>
      <c r="AK200" s="1">
        <v>6.1199999999999997E-2</v>
      </c>
      <c r="AL200" s="1">
        <v>7.1599999999999997E-2</v>
      </c>
      <c r="AM200" s="1">
        <v>0.1978</v>
      </c>
      <c r="AN200" s="1">
        <v>6.9150000000000003E-2</v>
      </c>
    </row>
    <row r="201" spans="1:40" s="1" customFormat="1" ht="15" x14ac:dyDescent="0.25">
      <c r="A201" s="1">
        <v>892214</v>
      </c>
      <c r="B201" s="1" t="s">
        <v>37</v>
      </c>
      <c r="C201" s="1">
        <v>14.26</v>
      </c>
      <c r="D201" s="1">
        <v>18.170000000000002</v>
      </c>
      <c r="E201" s="2"/>
      <c r="F201" s="2"/>
      <c r="G201" s="2"/>
      <c r="H201" s="2"/>
      <c r="I201" s="2"/>
      <c r="J201" s="2"/>
      <c r="K201" s="2"/>
      <c r="L201" s="2"/>
      <c r="M201" s="1">
        <v>91.22</v>
      </c>
      <c r="N201" s="1">
        <v>633.1</v>
      </c>
      <c r="O201" s="1">
        <v>6.5759999999999999E-2</v>
      </c>
      <c r="P201" s="1">
        <v>5.2200000000000003E-2</v>
      </c>
      <c r="Q201" s="1">
        <v>2.4750000000000001E-2</v>
      </c>
      <c r="R201" s="1">
        <v>1.374E-2</v>
      </c>
      <c r="S201" s="1">
        <v>0.16350000000000001</v>
      </c>
      <c r="T201" s="1">
        <v>5.586E-2</v>
      </c>
      <c r="U201" s="1">
        <v>0.23</v>
      </c>
      <c r="V201" s="1">
        <v>0.66900000000000004</v>
      </c>
      <c r="W201" s="1">
        <v>1.661</v>
      </c>
      <c r="X201" s="1">
        <v>20.56</v>
      </c>
      <c r="Y201" s="1">
        <v>3.1689999999999999E-3</v>
      </c>
      <c r="Z201" s="1">
        <v>1.3769999999999999E-2</v>
      </c>
      <c r="AA201" s="1">
        <v>1.0789999999999999E-2</v>
      </c>
      <c r="AB201" s="1">
        <v>5.2430000000000003E-3</v>
      </c>
      <c r="AC201" s="1">
        <v>1.103E-2</v>
      </c>
      <c r="AD201" s="1">
        <v>1.957E-3</v>
      </c>
      <c r="AE201" s="1">
        <v>16.22</v>
      </c>
      <c r="AF201" s="1">
        <v>25.26</v>
      </c>
      <c r="AG201" s="1">
        <v>105.8</v>
      </c>
      <c r="AH201" s="1">
        <v>819.7</v>
      </c>
      <c r="AI201" s="1">
        <v>9.4450000000000006E-2</v>
      </c>
      <c r="AJ201" s="1">
        <v>0.2167</v>
      </c>
      <c r="AK201" s="1">
        <v>0.1565</v>
      </c>
      <c r="AL201" s="1">
        <v>7.5300000000000006E-2</v>
      </c>
      <c r="AM201" s="1">
        <v>0.2636</v>
      </c>
      <c r="AN201" s="1">
        <v>7.6759999999999995E-2</v>
      </c>
    </row>
    <row r="202" spans="1:40" s="1" customFormat="1" ht="15" x14ac:dyDescent="0.25">
      <c r="A202" s="1">
        <v>892399</v>
      </c>
      <c r="B202" s="1" t="s">
        <v>37</v>
      </c>
      <c r="C202" s="1">
        <v>10.51</v>
      </c>
      <c r="D202" s="1">
        <v>23.09</v>
      </c>
      <c r="E202" s="2"/>
      <c r="F202" s="2"/>
      <c r="G202" s="2"/>
      <c r="H202" s="2"/>
      <c r="I202" s="2"/>
      <c r="J202" s="2"/>
      <c r="K202" s="2"/>
      <c r="L202" s="2"/>
      <c r="M202" s="1">
        <v>66.849999999999994</v>
      </c>
      <c r="N202" s="1">
        <v>334.2</v>
      </c>
      <c r="O202" s="1">
        <v>0.10150000000000001</v>
      </c>
      <c r="P202" s="1">
        <v>6.7970000000000003E-2</v>
      </c>
      <c r="Q202" s="1">
        <v>2.495E-2</v>
      </c>
      <c r="R202" s="1">
        <v>1.8749999999999999E-2</v>
      </c>
      <c r="S202" s="1">
        <v>0.16950000000000001</v>
      </c>
      <c r="T202" s="1">
        <v>6.5559999999999993E-2</v>
      </c>
      <c r="U202" s="1">
        <v>0.2868</v>
      </c>
      <c r="V202" s="1">
        <v>1.143</v>
      </c>
      <c r="W202" s="1">
        <v>2.2890000000000001</v>
      </c>
      <c r="X202" s="1">
        <v>20.56</v>
      </c>
      <c r="Y202" s="1">
        <v>1.017E-2</v>
      </c>
      <c r="Z202" s="1">
        <v>1.443E-2</v>
      </c>
      <c r="AA202" s="1">
        <v>1.8610000000000002E-2</v>
      </c>
      <c r="AB202" s="1">
        <v>1.2500000000000001E-2</v>
      </c>
      <c r="AC202" s="1">
        <v>3.4639999999999997E-2</v>
      </c>
      <c r="AD202" s="1">
        <v>1.9710000000000001E-3</v>
      </c>
      <c r="AE202" s="1">
        <v>10.93</v>
      </c>
      <c r="AF202" s="1">
        <v>24.22</v>
      </c>
      <c r="AG202" s="1">
        <v>70.099999999999994</v>
      </c>
      <c r="AH202" s="1">
        <v>362.7</v>
      </c>
      <c r="AI202" s="1">
        <v>0.1143</v>
      </c>
      <c r="AJ202" s="1">
        <v>8.6139999999999994E-2</v>
      </c>
      <c r="AK202" s="1">
        <v>4.1579999999999999E-2</v>
      </c>
      <c r="AL202" s="1">
        <v>3.125E-2</v>
      </c>
      <c r="AM202" s="1">
        <v>0.22270000000000001</v>
      </c>
      <c r="AN202" s="1">
        <v>6.7769999999999997E-2</v>
      </c>
    </row>
    <row r="203" spans="1:40" s="1" customFormat="1" ht="15" x14ac:dyDescent="0.25">
      <c r="A203" s="1">
        <v>892438</v>
      </c>
      <c r="B203" s="1" t="s">
        <v>36</v>
      </c>
      <c r="C203" s="1">
        <v>19.53</v>
      </c>
      <c r="D203" s="1">
        <v>18.899999999999999</v>
      </c>
      <c r="E203" s="2"/>
      <c r="F203" s="2"/>
      <c r="G203" s="2"/>
      <c r="H203" s="2"/>
      <c r="I203" s="2"/>
      <c r="J203" s="2"/>
      <c r="K203" s="2"/>
      <c r="L203" s="2"/>
      <c r="M203" s="1">
        <v>129.5</v>
      </c>
      <c r="N203" s="1">
        <v>1217</v>
      </c>
      <c r="O203" s="1">
        <v>0.115</v>
      </c>
      <c r="P203" s="1">
        <v>0.16420000000000001</v>
      </c>
      <c r="Q203" s="1">
        <v>0.21970000000000001</v>
      </c>
      <c r="R203" s="1">
        <v>0.1062</v>
      </c>
      <c r="S203" s="1">
        <v>0.1792</v>
      </c>
      <c r="T203" s="1">
        <v>6.5519999999999995E-2</v>
      </c>
      <c r="U203" s="1">
        <v>1.111</v>
      </c>
      <c r="V203" s="1">
        <v>1.161</v>
      </c>
      <c r="W203" s="1">
        <v>7.2370000000000001</v>
      </c>
      <c r="X203" s="1">
        <v>133</v>
      </c>
      <c r="Y203" s="1">
        <v>6.0559999999999998E-3</v>
      </c>
      <c r="Z203" s="1">
        <v>3.2030000000000003E-2</v>
      </c>
      <c r="AA203" s="1">
        <v>5.638E-2</v>
      </c>
      <c r="AB203" s="1">
        <v>1.7330000000000002E-2</v>
      </c>
      <c r="AC203" s="1">
        <v>1.8839999999999999E-2</v>
      </c>
      <c r="AD203" s="1">
        <v>4.7869999999999996E-3</v>
      </c>
      <c r="AE203" s="1">
        <v>25.93</v>
      </c>
      <c r="AF203" s="1">
        <v>26.24</v>
      </c>
      <c r="AG203" s="1">
        <v>171.1</v>
      </c>
      <c r="AH203" s="1">
        <v>2053</v>
      </c>
      <c r="AI203" s="1">
        <v>0.14949999999999999</v>
      </c>
      <c r="AJ203" s="1">
        <v>0.41160000000000002</v>
      </c>
      <c r="AK203" s="1">
        <v>0.61209999999999998</v>
      </c>
      <c r="AL203" s="1">
        <v>0.19800000000000001</v>
      </c>
      <c r="AM203" s="1">
        <v>0.29680000000000001</v>
      </c>
      <c r="AN203" s="1">
        <v>9.9290000000000003E-2</v>
      </c>
    </row>
    <row r="204" spans="1:40" s="1" customFormat="1" ht="15" x14ac:dyDescent="0.25">
      <c r="A204" s="1">
        <v>892604</v>
      </c>
      <c r="B204" s="1" t="s">
        <v>37</v>
      </c>
      <c r="C204" s="1">
        <v>12.46</v>
      </c>
      <c r="D204" s="1">
        <v>19.89</v>
      </c>
      <c r="E204" s="2"/>
      <c r="F204" s="2"/>
      <c r="G204" s="2"/>
      <c r="H204" s="2"/>
      <c r="I204" s="2"/>
      <c r="J204" s="2"/>
      <c r="K204" s="2"/>
      <c r="L204" s="2"/>
      <c r="M204" s="1">
        <v>80.430000000000007</v>
      </c>
      <c r="N204" s="1">
        <v>471.3</v>
      </c>
      <c r="O204" s="1">
        <v>8.4510000000000002E-2</v>
      </c>
      <c r="P204" s="1">
        <v>0.1014</v>
      </c>
      <c r="Q204" s="1">
        <v>6.83E-2</v>
      </c>
      <c r="R204" s="1">
        <v>3.099E-2</v>
      </c>
      <c r="S204" s="1">
        <v>0.17810000000000001</v>
      </c>
      <c r="T204" s="1">
        <v>6.2489999999999997E-2</v>
      </c>
      <c r="U204" s="1">
        <v>0.36420000000000002</v>
      </c>
      <c r="V204" s="1">
        <v>1.04</v>
      </c>
      <c r="W204" s="1">
        <v>2.5790000000000002</v>
      </c>
      <c r="X204" s="1">
        <v>28.32</v>
      </c>
      <c r="Y204" s="1">
        <v>6.5300000000000002E-3</v>
      </c>
      <c r="Z204" s="1">
        <v>3.3689999999999998E-2</v>
      </c>
      <c r="AA204" s="1">
        <v>4.7120000000000002E-2</v>
      </c>
      <c r="AB204" s="1">
        <v>1.4030000000000001E-2</v>
      </c>
      <c r="AC204" s="1">
        <v>2.7400000000000001E-2</v>
      </c>
      <c r="AD204" s="1">
        <v>4.6509999999999998E-3</v>
      </c>
      <c r="AE204" s="1">
        <v>13.46</v>
      </c>
      <c r="AF204" s="1">
        <v>23.07</v>
      </c>
      <c r="AG204" s="1">
        <v>88.13</v>
      </c>
      <c r="AH204" s="1">
        <v>551.29999999999995</v>
      </c>
      <c r="AI204" s="1">
        <v>0.105</v>
      </c>
      <c r="AJ204" s="1">
        <v>0.21579999999999999</v>
      </c>
      <c r="AK204" s="1">
        <v>0.19040000000000001</v>
      </c>
      <c r="AL204" s="1">
        <v>7.6249999999999998E-2</v>
      </c>
      <c r="AM204" s="1">
        <v>0.26850000000000002</v>
      </c>
      <c r="AN204" s="1">
        <v>7.7640000000000001E-2</v>
      </c>
    </row>
    <row r="205" spans="1:40" s="1" customFormat="1" ht="15" x14ac:dyDescent="0.25">
      <c r="A205" s="1">
        <v>89263202</v>
      </c>
      <c r="B205" s="1" t="s">
        <v>36</v>
      </c>
      <c r="C205" s="1">
        <v>20.09</v>
      </c>
      <c r="D205" s="1">
        <v>23.86</v>
      </c>
      <c r="E205" s="2"/>
      <c r="F205" s="2"/>
      <c r="G205" s="2"/>
      <c r="H205" s="2"/>
      <c r="I205" s="2"/>
      <c r="J205" s="2"/>
      <c r="K205" s="2"/>
      <c r="L205" s="2"/>
      <c r="M205" s="1">
        <v>134.69999999999999</v>
      </c>
      <c r="N205" s="1">
        <v>1247</v>
      </c>
      <c r="O205" s="1">
        <v>0.108</v>
      </c>
      <c r="P205" s="1">
        <v>0.18379999999999999</v>
      </c>
      <c r="Q205" s="1">
        <v>0.2283</v>
      </c>
      <c r="R205" s="1">
        <v>0.128</v>
      </c>
      <c r="S205" s="1">
        <v>0.22489999999999999</v>
      </c>
      <c r="T205" s="1">
        <v>7.4690000000000006E-2</v>
      </c>
      <c r="U205" s="1">
        <v>1.0720000000000001</v>
      </c>
      <c r="V205" s="1">
        <v>1.7430000000000001</v>
      </c>
      <c r="W205" s="1">
        <v>7.8040000000000003</v>
      </c>
      <c r="X205" s="1">
        <v>130.80000000000001</v>
      </c>
      <c r="Y205" s="1">
        <v>7.9640000000000006E-3</v>
      </c>
      <c r="Z205" s="1">
        <v>4.7320000000000001E-2</v>
      </c>
      <c r="AA205" s="1">
        <v>7.6490000000000002E-2</v>
      </c>
      <c r="AB205" s="1">
        <v>1.9359999999999999E-2</v>
      </c>
      <c r="AC205" s="1">
        <v>2.7359999999999999E-2</v>
      </c>
      <c r="AD205" s="1">
        <v>5.9280000000000001E-3</v>
      </c>
      <c r="AE205" s="1">
        <v>23.68</v>
      </c>
      <c r="AF205" s="1">
        <v>29.43</v>
      </c>
      <c r="AG205" s="1">
        <v>158.80000000000001</v>
      </c>
      <c r="AH205" s="1">
        <v>1696</v>
      </c>
      <c r="AI205" s="1">
        <v>0.13469999999999999</v>
      </c>
      <c r="AJ205" s="1">
        <v>0.33910000000000001</v>
      </c>
      <c r="AK205" s="1">
        <v>0.49320000000000003</v>
      </c>
      <c r="AL205" s="1">
        <v>0.1923</v>
      </c>
      <c r="AM205" s="1">
        <v>0.32940000000000003</v>
      </c>
      <c r="AN205" s="1">
        <v>9.4689999999999996E-2</v>
      </c>
    </row>
    <row r="206" spans="1:40" s="1" customFormat="1" ht="15" x14ac:dyDescent="0.25">
      <c r="A206" s="1">
        <v>892657</v>
      </c>
      <c r="B206" s="1" t="s">
        <v>37</v>
      </c>
      <c r="C206" s="1">
        <v>10.49</v>
      </c>
      <c r="D206" s="1">
        <v>18.61</v>
      </c>
      <c r="E206" s="2"/>
      <c r="F206" s="2"/>
      <c r="G206" s="2"/>
      <c r="H206" s="2"/>
      <c r="I206" s="2"/>
      <c r="J206" s="2"/>
      <c r="K206" s="2"/>
      <c r="L206" s="2"/>
      <c r="M206" s="1">
        <v>66.86</v>
      </c>
      <c r="N206" s="1">
        <v>334.3</v>
      </c>
      <c r="O206" s="1">
        <v>0.10680000000000001</v>
      </c>
      <c r="P206" s="1">
        <v>6.6780000000000006E-2</v>
      </c>
      <c r="Q206" s="1">
        <v>2.2970000000000001E-2</v>
      </c>
      <c r="R206" s="1">
        <v>1.78E-2</v>
      </c>
      <c r="S206" s="1">
        <v>0.1482</v>
      </c>
      <c r="T206" s="1">
        <v>6.6000000000000003E-2</v>
      </c>
      <c r="U206" s="1">
        <v>0.14849999999999999</v>
      </c>
      <c r="V206" s="1">
        <v>1.5629999999999999</v>
      </c>
      <c r="W206" s="1">
        <v>1.0349999999999999</v>
      </c>
      <c r="X206" s="1">
        <v>10.08</v>
      </c>
      <c r="Y206" s="1">
        <v>8.8749999999999992E-3</v>
      </c>
      <c r="Z206" s="1">
        <v>9.3620000000000005E-3</v>
      </c>
      <c r="AA206" s="1">
        <v>1.8079999999999999E-2</v>
      </c>
      <c r="AB206" s="1">
        <v>9.1990000000000006E-3</v>
      </c>
      <c r="AC206" s="1">
        <v>1.7909999999999999E-2</v>
      </c>
      <c r="AD206" s="1">
        <v>3.3170000000000001E-3</v>
      </c>
      <c r="AE206" s="1">
        <v>11.06</v>
      </c>
      <c r="AF206" s="1">
        <v>24.54</v>
      </c>
      <c r="AG206" s="1">
        <v>70.760000000000005</v>
      </c>
      <c r="AH206" s="1">
        <v>375.4</v>
      </c>
      <c r="AI206" s="1">
        <v>0.14130000000000001</v>
      </c>
      <c r="AJ206" s="1">
        <v>0.10440000000000001</v>
      </c>
      <c r="AK206" s="1">
        <v>8.4229999999999999E-2</v>
      </c>
      <c r="AL206" s="1">
        <v>6.5280000000000005E-2</v>
      </c>
      <c r="AM206" s="1">
        <v>0.2213</v>
      </c>
      <c r="AN206" s="1">
        <v>7.8420000000000004E-2</v>
      </c>
    </row>
    <row r="207" spans="1:40" s="1" customFormat="1" ht="15" x14ac:dyDescent="0.25">
      <c r="A207" s="1">
        <v>89296</v>
      </c>
      <c r="B207" s="1" t="s">
        <v>37</v>
      </c>
      <c r="C207" s="1">
        <v>11.46</v>
      </c>
      <c r="D207" s="1">
        <v>18.16</v>
      </c>
      <c r="E207" s="2"/>
      <c r="F207" s="2"/>
      <c r="G207" s="2"/>
      <c r="H207" s="2"/>
      <c r="I207" s="2"/>
      <c r="J207" s="2"/>
      <c r="K207" s="2"/>
      <c r="L207" s="2"/>
      <c r="M207" s="1">
        <v>73.59</v>
      </c>
      <c r="N207" s="1">
        <v>403.1</v>
      </c>
      <c r="O207" s="1">
        <v>8.8529999999999998E-2</v>
      </c>
      <c r="P207" s="1">
        <v>7.6939999999999995E-2</v>
      </c>
      <c r="Q207" s="1">
        <v>3.3439999999999998E-2</v>
      </c>
      <c r="R207" s="1">
        <v>1.502E-2</v>
      </c>
      <c r="S207" s="1">
        <v>0.1411</v>
      </c>
      <c r="T207" s="1">
        <v>6.2429999999999999E-2</v>
      </c>
      <c r="U207" s="1">
        <v>0.32779999999999998</v>
      </c>
      <c r="V207" s="1">
        <v>1.0589999999999999</v>
      </c>
      <c r="W207" s="1">
        <v>2.4750000000000001</v>
      </c>
      <c r="X207" s="1">
        <v>22.93</v>
      </c>
      <c r="Y207" s="1">
        <v>6.6519999999999999E-3</v>
      </c>
      <c r="Z207" s="1">
        <v>2.6519999999999998E-2</v>
      </c>
      <c r="AA207" s="1">
        <v>2.2210000000000001E-2</v>
      </c>
      <c r="AB207" s="1">
        <v>7.8069999999999997E-3</v>
      </c>
      <c r="AC207" s="1">
        <v>1.8939999999999999E-2</v>
      </c>
      <c r="AD207" s="1">
        <v>3.411E-3</v>
      </c>
      <c r="AE207" s="1">
        <v>12.68</v>
      </c>
      <c r="AF207" s="1">
        <v>21.61</v>
      </c>
      <c r="AG207" s="1">
        <v>82.69</v>
      </c>
      <c r="AH207" s="1">
        <v>489.8</v>
      </c>
      <c r="AI207" s="1">
        <v>0.1144</v>
      </c>
      <c r="AJ207" s="1">
        <v>0.1789</v>
      </c>
      <c r="AK207" s="1">
        <v>0.1226</v>
      </c>
      <c r="AL207" s="1">
        <v>5.509E-2</v>
      </c>
      <c r="AM207" s="1">
        <v>0.2208</v>
      </c>
      <c r="AN207" s="1">
        <v>7.6380000000000003E-2</v>
      </c>
    </row>
    <row r="208" spans="1:40" s="1" customFormat="1" ht="15" x14ac:dyDescent="0.25">
      <c r="A208" s="1">
        <v>893061</v>
      </c>
      <c r="B208" s="1" t="s">
        <v>37</v>
      </c>
      <c r="C208" s="1">
        <v>11.6</v>
      </c>
      <c r="D208" s="1">
        <v>24.49</v>
      </c>
      <c r="E208" s="2"/>
      <c r="F208" s="2"/>
      <c r="G208" s="2"/>
      <c r="H208" s="2"/>
      <c r="I208" s="2"/>
      <c r="J208" s="2"/>
      <c r="K208" s="2"/>
      <c r="L208" s="2"/>
      <c r="M208" s="1">
        <v>74.23</v>
      </c>
      <c r="N208" s="1">
        <v>417.2</v>
      </c>
      <c r="O208" s="1">
        <v>7.4740000000000001E-2</v>
      </c>
      <c r="P208" s="1">
        <v>5.688E-2</v>
      </c>
      <c r="Q208" s="1">
        <v>1.9740000000000001E-2</v>
      </c>
      <c r="R208" s="1">
        <v>1.3129999999999999E-2</v>
      </c>
      <c r="S208" s="1">
        <v>0.19350000000000001</v>
      </c>
      <c r="T208" s="1">
        <v>5.8779999999999999E-2</v>
      </c>
      <c r="U208" s="1">
        <v>0.25119999999999998</v>
      </c>
      <c r="V208" s="1">
        <v>1.786</v>
      </c>
      <c r="W208" s="1">
        <v>1.9610000000000001</v>
      </c>
      <c r="X208" s="1">
        <v>18.21</v>
      </c>
      <c r="Y208" s="1">
        <v>6.1219999999999998E-3</v>
      </c>
      <c r="Z208" s="1">
        <v>2.3369999999999998E-2</v>
      </c>
      <c r="AA208" s="1">
        <v>1.5959999999999998E-2</v>
      </c>
      <c r="AB208" s="1">
        <v>6.9979999999999999E-3</v>
      </c>
      <c r="AC208" s="1">
        <v>3.1940000000000003E-2</v>
      </c>
      <c r="AD208" s="1">
        <v>2.2109999999999999E-3</v>
      </c>
      <c r="AE208" s="1">
        <v>12.44</v>
      </c>
      <c r="AF208" s="1">
        <v>31.62</v>
      </c>
      <c r="AG208" s="1">
        <v>81.39</v>
      </c>
      <c r="AH208" s="1">
        <v>476.5</v>
      </c>
      <c r="AI208" s="1">
        <v>9.5449999999999993E-2</v>
      </c>
      <c r="AJ208" s="1">
        <v>0.1361</v>
      </c>
      <c r="AK208" s="1">
        <v>7.2389999999999996E-2</v>
      </c>
      <c r="AL208" s="1">
        <v>4.8149999999999998E-2</v>
      </c>
      <c r="AM208" s="1">
        <v>0.32440000000000002</v>
      </c>
      <c r="AN208" s="1">
        <v>6.7449999999999996E-2</v>
      </c>
    </row>
    <row r="209" spans="1:40" s="1" customFormat="1" ht="15" x14ac:dyDescent="0.25">
      <c r="A209" s="1">
        <v>89344</v>
      </c>
      <c r="B209" s="1" t="s">
        <v>37</v>
      </c>
      <c r="C209" s="1">
        <v>13.2</v>
      </c>
      <c r="D209" s="1">
        <v>15.82</v>
      </c>
      <c r="E209" s="2"/>
      <c r="F209" s="2"/>
      <c r="G209" s="2"/>
      <c r="H209" s="2"/>
      <c r="I209" s="2"/>
      <c r="J209" s="2"/>
      <c r="K209" s="2"/>
      <c r="L209" s="2"/>
      <c r="M209" s="1">
        <v>84.07</v>
      </c>
      <c r="N209" s="1">
        <v>537.29999999999995</v>
      </c>
      <c r="O209" s="1">
        <v>8.5110000000000005E-2</v>
      </c>
      <c r="P209" s="1">
        <v>5.2510000000000001E-2</v>
      </c>
      <c r="Q209" s="1">
        <v>1.4610000000000001E-3</v>
      </c>
      <c r="R209" s="1">
        <v>3.261E-3</v>
      </c>
      <c r="S209" s="1">
        <v>0.16320000000000001</v>
      </c>
      <c r="T209" s="1">
        <v>5.8939999999999999E-2</v>
      </c>
      <c r="U209" s="1">
        <v>0.1903</v>
      </c>
      <c r="V209" s="1">
        <v>0.57350000000000001</v>
      </c>
      <c r="W209" s="1">
        <v>1.204</v>
      </c>
      <c r="X209" s="1">
        <v>15.5</v>
      </c>
      <c r="Y209" s="1">
        <v>3.6319999999999998E-3</v>
      </c>
      <c r="Z209" s="1">
        <v>7.8609999999999999E-3</v>
      </c>
      <c r="AA209" s="1">
        <v>1.1280000000000001E-3</v>
      </c>
      <c r="AB209" s="1">
        <v>2.3860000000000001E-3</v>
      </c>
      <c r="AC209" s="1">
        <v>1.3440000000000001E-2</v>
      </c>
      <c r="AD209" s="1">
        <v>2.5850000000000001E-3</v>
      </c>
      <c r="AE209" s="1">
        <v>14.41</v>
      </c>
      <c r="AF209" s="1">
        <v>20.45</v>
      </c>
      <c r="AG209" s="1">
        <v>92</v>
      </c>
      <c r="AH209" s="1">
        <v>636.9</v>
      </c>
      <c r="AI209" s="1">
        <v>0.1128</v>
      </c>
      <c r="AJ209" s="1">
        <v>0.1346</v>
      </c>
      <c r="AK209" s="1">
        <v>1.12E-2</v>
      </c>
      <c r="AL209" s="1">
        <v>2.5000000000000001E-2</v>
      </c>
      <c r="AM209" s="1">
        <v>0.2651</v>
      </c>
      <c r="AN209" s="1">
        <v>8.3849999999999994E-2</v>
      </c>
    </row>
    <row r="210" spans="1:40" s="1" customFormat="1" ht="15" x14ac:dyDescent="0.25">
      <c r="A210" s="1">
        <v>89346</v>
      </c>
      <c r="B210" s="1" t="s">
        <v>37</v>
      </c>
      <c r="C210" s="1">
        <v>9</v>
      </c>
      <c r="D210" s="1">
        <v>14.4</v>
      </c>
      <c r="E210" s="2"/>
      <c r="F210" s="2"/>
      <c r="G210" s="2"/>
      <c r="H210" s="2"/>
      <c r="I210" s="2"/>
      <c r="J210" s="2"/>
      <c r="K210" s="2"/>
      <c r="L210" s="2"/>
      <c r="M210" s="1">
        <v>56.36</v>
      </c>
      <c r="N210" s="1">
        <v>246.3</v>
      </c>
      <c r="O210" s="1">
        <v>7.0050000000000001E-2</v>
      </c>
      <c r="P210" s="1">
        <v>3.116E-2</v>
      </c>
      <c r="Q210" s="1">
        <v>3.6809999999999998E-3</v>
      </c>
      <c r="R210" s="1">
        <v>3.4719999999999998E-3</v>
      </c>
      <c r="S210" s="1">
        <v>0.17879999999999999</v>
      </c>
      <c r="T210" s="1">
        <v>6.8330000000000002E-2</v>
      </c>
      <c r="U210" s="1">
        <v>0.17460000000000001</v>
      </c>
      <c r="V210" s="1">
        <v>1.3049999999999999</v>
      </c>
      <c r="W210" s="1">
        <v>1.1439999999999999</v>
      </c>
      <c r="X210" s="1">
        <v>9.7889999999999997</v>
      </c>
      <c r="Y210" s="1">
        <v>7.3889999999999997E-3</v>
      </c>
      <c r="Z210" s="1">
        <v>4.8830000000000002E-3</v>
      </c>
      <c r="AA210" s="1">
        <v>3.6809999999999998E-3</v>
      </c>
      <c r="AB210" s="1">
        <v>3.4719999999999998E-3</v>
      </c>
      <c r="AC210" s="1">
        <v>2.7009999999999999E-2</v>
      </c>
      <c r="AD210" s="1">
        <v>2.153E-3</v>
      </c>
      <c r="AE210" s="1">
        <v>9.6989999999999998</v>
      </c>
      <c r="AF210" s="1">
        <v>20.07</v>
      </c>
      <c r="AG210" s="1">
        <v>60.9</v>
      </c>
      <c r="AH210" s="1">
        <v>285.5</v>
      </c>
      <c r="AI210" s="1">
        <v>9.8610000000000003E-2</v>
      </c>
      <c r="AJ210" s="1">
        <v>5.2319999999999998E-2</v>
      </c>
      <c r="AK210" s="1">
        <v>1.472E-2</v>
      </c>
      <c r="AL210" s="1">
        <v>1.389E-2</v>
      </c>
      <c r="AM210" s="1">
        <v>0.29909999999999998</v>
      </c>
      <c r="AN210" s="1">
        <v>7.8039999999999998E-2</v>
      </c>
    </row>
    <row r="211" spans="1:40" s="1" customFormat="1" ht="15" x14ac:dyDescent="0.25">
      <c r="A211" s="1">
        <v>893526</v>
      </c>
      <c r="B211" s="1" t="s">
        <v>37</v>
      </c>
      <c r="C211" s="1">
        <v>13.5</v>
      </c>
      <c r="D211" s="1">
        <v>12.71</v>
      </c>
      <c r="E211" s="2"/>
      <c r="F211" s="2"/>
      <c r="G211" s="2"/>
      <c r="H211" s="2"/>
      <c r="I211" s="2"/>
      <c r="J211" s="2"/>
      <c r="K211" s="2"/>
      <c r="L211" s="2"/>
      <c r="M211" s="1">
        <v>85.69</v>
      </c>
      <c r="N211" s="1">
        <v>566.20000000000005</v>
      </c>
      <c r="O211" s="1">
        <v>7.3760000000000006E-2</v>
      </c>
      <c r="P211" s="1">
        <v>3.6139999999999999E-2</v>
      </c>
      <c r="Q211" s="1">
        <v>2.758E-3</v>
      </c>
      <c r="R211" s="1">
        <v>4.4190000000000002E-3</v>
      </c>
      <c r="S211" s="1">
        <v>0.13650000000000001</v>
      </c>
      <c r="T211" s="1">
        <v>5.3350000000000002E-2</v>
      </c>
      <c r="U211" s="1">
        <v>0.22439999999999999</v>
      </c>
      <c r="V211" s="1">
        <v>0.68640000000000001</v>
      </c>
      <c r="W211" s="1">
        <v>1.5089999999999999</v>
      </c>
      <c r="X211" s="1">
        <v>20.39</v>
      </c>
      <c r="Y211" s="1">
        <v>3.3379999999999998E-3</v>
      </c>
      <c r="Z211" s="1">
        <v>3.7460000000000002E-3</v>
      </c>
      <c r="AA211" s="1">
        <v>2.0300000000000001E-3</v>
      </c>
      <c r="AB211" s="1">
        <v>3.2420000000000001E-3</v>
      </c>
      <c r="AC211" s="1">
        <v>1.4800000000000001E-2</v>
      </c>
      <c r="AD211" s="1">
        <v>1.5659999999999999E-3</v>
      </c>
      <c r="AE211" s="1">
        <v>14.97</v>
      </c>
      <c r="AF211" s="1">
        <v>16.940000000000001</v>
      </c>
      <c r="AG211" s="1">
        <v>95.48</v>
      </c>
      <c r="AH211" s="1">
        <v>698.7</v>
      </c>
      <c r="AI211" s="1">
        <v>9.0230000000000005E-2</v>
      </c>
      <c r="AJ211" s="1">
        <v>5.8360000000000002E-2</v>
      </c>
      <c r="AK211" s="1">
        <v>1.379E-2</v>
      </c>
      <c r="AL211" s="1">
        <v>2.2100000000000002E-2</v>
      </c>
      <c r="AM211" s="1">
        <v>0.22670000000000001</v>
      </c>
      <c r="AN211" s="1">
        <v>6.1920000000000003E-2</v>
      </c>
    </row>
    <row r="212" spans="1:40" s="1" customFormat="1" ht="15" x14ac:dyDescent="0.25">
      <c r="A212" s="1">
        <v>893548</v>
      </c>
      <c r="B212" s="1" t="s">
        <v>37</v>
      </c>
      <c r="C212" s="1">
        <v>13.05</v>
      </c>
      <c r="D212" s="1">
        <v>13.84</v>
      </c>
      <c r="E212" s="2"/>
      <c r="F212" s="2"/>
      <c r="G212" s="2"/>
      <c r="H212" s="2"/>
      <c r="I212" s="2"/>
      <c r="J212" s="2"/>
      <c r="K212" s="2"/>
      <c r="L212" s="2"/>
      <c r="M212" s="1">
        <v>82.71</v>
      </c>
      <c r="N212" s="1">
        <v>530.6</v>
      </c>
      <c r="O212" s="1">
        <v>8.3519999999999997E-2</v>
      </c>
      <c r="P212" s="1">
        <v>3.7350000000000001E-2</v>
      </c>
      <c r="Q212" s="1">
        <v>4.5589999999999997E-3</v>
      </c>
      <c r="R212" s="1">
        <v>8.829E-3</v>
      </c>
      <c r="S212" s="1">
        <v>0.14530000000000001</v>
      </c>
      <c r="T212" s="1">
        <v>5.518E-2</v>
      </c>
      <c r="U212" s="1">
        <v>0.39750000000000002</v>
      </c>
      <c r="V212" s="1">
        <v>0.82850000000000001</v>
      </c>
      <c r="W212" s="1">
        <v>2.5670000000000002</v>
      </c>
      <c r="X212" s="1">
        <v>33.01</v>
      </c>
      <c r="Y212" s="1">
        <v>4.1479999999999998E-3</v>
      </c>
      <c r="Z212" s="1">
        <v>4.7109999999999999E-3</v>
      </c>
      <c r="AA212" s="1">
        <v>2.8310000000000002E-3</v>
      </c>
      <c r="AB212" s="1">
        <v>4.8209999999999998E-3</v>
      </c>
      <c r="AC212" s="1">
        <v>1.422E-2</v>
      </c>
      <c r="AD212" s="1">
        <v>2.2729999999999998E-3</v>
      </c>
      <c r="AE212" s="1">
        <v>14.73</v>
      </c>
      <c r="AF212" s="1">
        <v>17.399999999999999</v>
      </c>
      <c r="AG212" s="1">
        <v>93.96</v>
      </c>
      <c r="AH212" s="1">
        <v>672.4</v>
      </c>
      <c r="AI212" s="1">
        <v>0.1016</v>
      </c>
      <c r="AJ212" s="1">
        <v>5.8470000000000001E-2</v>
      </c>
      <c r="AK212" s="1">
        <v>1.8239999999999999E-2</v>
      </c>
      <c r="AL212" s="1">
        <v>3.5319999999999997E-2</v>
      </c>
      <c r="AM212" s="1">
        <v>0.2107</v>
      </c>
      <c r="AN212" s="1">
        <v>6.5799999999999997E-2</v>
      </c>
    </row>
    <row r="213" spans="1:40" s="1" customFormat="1" ht="15" x14ac:dyDescent="0.25">
      <c r="A213" s="1">
        <v>893783</v>
      </c>
      <c r="B213" s="1" t="s">
        <v>37</v>
      </c>
      <c r="C213" s="1">
        <v>11.7</v>
      </c>
      <c r="D213" s="1">
        <v>19.11</v>
      </c>
      <c r="E213" s="2"/>
      <c r="F213" s="2"/>
      <c r="G213" s="2"/>
      <c r="H213" s="2"/>
      <c r="I213" s="2"/>
      <c r="J213" s="2"/>
      <c r="K213" s="2"/>
      <c r="L213" s="2"/>
      <c r="M213" s="1">
        <v>74.33</v>
      </c>
      <c r="N213" s="1">
        <v>418.7</v>
      </c>
      <c r="O213" s="1">
        <v>8.8139999999999996E-2</v>
      </c>
      <c r="P213" s="1">
        <v>5.253E-2</v>
      </c>
      <c r="Q213" s="1">
        <v>1.583E-2</v>
      </c>
      <c r="R213" s="1">
        <v>1.1480000000000001E-2</v>
      </c>
      <c r="S213" s="1">
        <v>0.19359999999999999</v>
      </c>
      <c r="T213" s="1">
        <v>6.1280000000000001E-2</v>
      </c>
      <c r="U213" s="1">
        <v>0.16009999999999999</v>
      </c>
      <c r="V213" s="1">
        <v>1.43</v>
      </c>
      <c r="W213" s="1">
        <v>1.109</v>
      </c>
      <c r="X213" s="1">
        <v>11.28</v>
      </c>
      <c r="Y213" s="1">
        <v>6.0639999999999999E-3</v>
      </c>
      <c r="Z213" s="1">
        <v>9.11E-3</v>
      </c>
      <c r="AA213" s="1">
        <v>1.042E-2</v>
      </c>
      <c r="AB213" s="1">
        <v>7.6379999999999998E-3</v>
      </c>
      <c r="AC213" s="1">
        <v>2.349E-2</v>
      </c>
      <c r="AD213" s="1">
        <v>1.6609999999999999E-3</v>
      </c>
      <c r="AE213" s="1">
        <v>12.61</v>
      </c>
      <c r="AF213" s="1">
        <v>26.55</v>
      </c>
      <c r="AG213" s="1">
        <v>80.92</v>
      </c>
      <c r="AH213" s="1">
        <v>483.1</v>
      </c>
      <c r="AI213" s="1">
        <v>0.12230000000000001</v>
      </c>
      <c r="AJ213" s="1">
        <v>0.1087</v>
      </c>
      <c r="AK213" s="1">
        <v>7.9149999999999998E-2</v>
      </c>
      <c r="AL213" s="1">
        <v>5.7410000000000003E-2</v>
      </c>
      <c r="AM213" s="1">
        <v>0.34870000000000001</v>
      </c>
      <c r="AN213" s="1">
        <v>6.9580000000000003E-2</v>
      </c>
    </row>
    <row r="214" spans="1:40" s="1" customFormat="1" ht="15" x14ac:dyDescent="0.25">
      <c r="A214" s="1">
        <v>89382601</v>
      </c>
      <c r="B214" s="1" t="s">
        <v>37</v>
      </c>
      <c r="C214" s="1">
        <v>14.61</v>
      </c>
      <c r="D214" s="1">
        <v>15.69</v>
      </c>
      <c r="E214" s="2"/>
      <c r="F214" s="2"/>
      <c r="G214" s="2"/>
      <c r="H214" s="2"/>
      <c r="I214" s="2"/>
      <c r="J214" s="2"/>
      <c r="K214" s="2"/>
      <c r="L214" s="2"/>
      <c r="M214" s="1">
        <v>92.68</v>
      </c>
      <c r="N214" s="1">
        <v>664.9</v>
      </c>
      <c r="O214" s="1">
        <v>7.6179999999999998E-2</v>
      </c>
      <c r="P214" s="1">
        <v>3.5150000000000001E-2</v>
      </c>
      <c r="Q214" s="1">
        <v>1.447E-2</v>
      </c>
      <c r="R214" s="1">
        <v>1.8769999999999998E-2</v>
      </c>
      <c r="S214" s="1">
        <v>0.16320000000000001</v>
      </c>
      <c r="T214" s="1">
        <v>5.2549999999999999E-2</v>
      </c>
      <c r="U214" s="1">
        <v>0.316</v>
      </c>
      <c r="V214" s="1">
        <v>0.91149999999999998</v>
      </c>
      <c r="W214" s="1">
        <v>1.954</v>
      </c>
      <c r="X214" s="1">
        <v>28.9</v>
      </c>
      <c r="Y214" s="1">
        <v>5.0309999999999999E-3</v>
      </c>
      <c r="Z214" s="1">
        <v>6.0210000000000003E-3</v>
      </c>
      <c r="AA214" s="1">
        <v>5.3249999999999999E-3</v>
      </c>
      <c r="AB214" s="1">
        <v>6.3239999999999998E-3</v>
      </c>
      <c r="AC214" s="1">
        <v>1.494E-2</v>
      </c>
      <c r="AD214" s="1">
        <v>8.9479999999999996E-4</v>
      </c>
      <c r="AE214" s="1">
        <v>16.46</v>
      </c>
      <c r="AF214" s="1">
        <v>21.75</v>
      </c>
      <c r="AG214" s="1">
        <v>103.7</v>
      </c>
      <c r="AH214" s="1">
        <v>840.8</v>
      </c>
      <c r="AI214" s="1">
        <v>0.1011</v>
      </c>
      <c r="AJ214" s="1">
        <v>7.0870000000000002E-2</v>
      </c>
      <c r="AK214" s="1">
        <v>4.7460000000000002E-2</v>
      </c>
      <c r="AL214" s="1">
        <v>5.8130000000000001E-2</v>
      </c>
      <c r="AM214" s="1">
        <v>0.253</v>
      </c>
      <c r="AN214" s="1">
        <v>5.6950000000000001E-2</v>
      </c>
    </row>
    <row r="215" spans="1:40" s="1" customFormat="1" ht="15" x14ac:dyDescent="0.25">
      <c r="A215" s="1">
        <v>89382602</v>
      </c>
      <c r="B215" s="1" t="s">
        <v>37</v>
      </c>
      <c r="C215" s="1">
        <v>12.76</v>
      </c>
      <c r="D215" s="1">
        <v>13.37</v>
      </c>
      <c r="E215" s="2"/>
      <c r="F215" s="2"/>
      <c r="G215" s="2"/>
      <c r="H215" s="2"/>
      <c r="I215" s="2"/>
      <c r="J215" s="2"/>
      <c r="K215" s="2"/>
      <c r="L215" s="2"/>
      <c r="M215" s="1">
        <v>82.29</v>
      </c>
      <c r="N215" s="1">
        <v>504.1</v>
      </c>
      <c r="O215" s="1">
        <v>8.7940000000000004E-2</v>
      </c>
      <c r="P215" s="1">
        <v>7.9479999999999995E-2</v>
      </c>
      <c r="Q215" s="1">
        <v>4.052E-2</v>
      </c>
      <c r="R215" s="1">
        <v>2.5479999999999999E-2</v>
      </c>
      <c r="S215" s="1">
        <v>0.16009999999999999</v>
      </c>
      <c r="T215" s="1">
        <v>6.1400000000000003E-2</v>
      </c>
      <c r="U215" s="1">
        <v>0.32650000000000001</v>
      </c>
      <c r="V215" s="1">
        <v>0.65939999999999999</v>
      </c>
      <c r="W215" s="1">
        <v>2.3460000000000001</v>
      </c>
      <c r="X215" s="1">
        <v>25.18</v>
      </c>
      <c r="Y215" s="1">
        <v>6.4939999999999998E-3</v>
      </c>
      <c r="Z215" s="1">
        <v>2.768E-2</v>
      </c>
      <c r="AA215" s="1">
        <v>3.1370000000000002E-2</v>
      </c>
      <c r="AB215" s="1">
        <v>1.069E-2</v>
      </c>
      <c r="AC215" s="1">
        <v>1.7309999999999999E-2</v>
      </c>
      <c r="AD215" s="1">
        <v>4.3920000000000001E-3</v>
      </c>
      <c r="AE215" s="1">
        <v>14.19</v>
      </c>
      <c r="AF215" s="1">
        <v>16.399999999999999</v>
      </c>
      <c r="AG215" s="1">
        <v>92.04</v>
      </c>
      <c r="AH215" s="1">
        <v>618.79999999999995</v>
      </c>
      <c r="AI215" s="1">
        <v>0.11940000000000001</v>
      </c>
      <c r="AJ215" s="1">
        <v>0.2208</v>
      </c>
      <c r="AK215" s="1">
        <v>0.1769</v>
      </c>
      <c r="AL215" s="1">
        <v>8.4110000000000004E-2</v>
      </c>
      <c r="AM215" s="1">
        <v>0.25640000000000002</v>
      </c>
      <c r="AN215" s="1">
        <v>8.2530000000000006E-2</v>
      </c>
    </row>
    <row r="216" spans="1:40" s="1" customFormat="1" ht="15" x14ac:dyDescent="0.25">
      <c r="A216" s="1">
        <v>893988</v>
      </c>
      <c r="B216" s="1" t="s">
        <v>37</v>
      </c>
      <c r="C216" s="1">
        <v>11.54</v>
      </c>
      <c r="D216" s="1">
        <v>10.72</v>
      </c>
      <c r="E216" s="2"/>
      <c r="F216" s="2"/>
      <c r="G216" s="2"/>
      <c r="H216" s="2"/>
      <c r="I216" s="2"/>
      <c r="J216" s="2"/>
      <c r="K216" s="2"/>
      <c r="L216" s="2"/>
      <c r="M216" s="1">
        <v>73.73</v>
      </c>
      <c r="N216" s="1">
        <v>409.1</v>
      </c>
      <c r="O216" s="1">
        <v>8.5970000000000005E-2</v>
      </c>
      <c r="P216" s="1">
        <v>5.969E-2</v>
      </c>
      <c r="Q216" s="1">
        <v>1.367E-2</v>
      </c>
      <c r="R216" s="1">
        <v>8.907E-3</v>
      </c>
      <c r="S216" s="1">
        <v>0.18329999999999999</v>
      </c>
      <c r="T216" s="1">
        <v>6.0999999999999999E-2</v>
      </c>
      <c r="U216" s="1">
        <v>0.13120000000000001</v>
      </c>
      <c r="V216" s="1">
        <v>0.36020000000000002</v>
      </c>
      <c r="W216" s="1">
        <v>1.107</v>
      </c>
      <c r="X216" s="1">
        <v>9.4380000000000006</v>
      </c>
      <c r="Y216" s="1">
        <v>4.1240000000000001E-3</v>
      </c>
      <c r="Z216" s="1">
        <v>1.34E-2</v>
      </c>
      <c r="AA216" s="1">
        <v>1.0030000000000001E-2</v>
      </c>
      <c r="AB216" s="1">
        <v>4.6670000000000001E-3</v>
      </c>
      <c r="AC216" s="1">
        <v>2.0320000000000001E-2</v>
      </c>
      <c r="AD216" s="1">
        <v>1.952E-3</v>
      </c>
      <c r="AE216" s="1">
        <v>12.34</v>
      </c>
      <c r="AF216" s="1">
        <v>12.87</v>
      </c>
      <c r="AG216" s="1">
        <v>81.23</v>
      </c>
      <c r="AH216" s="1">
        <v>467.8</v>
      </c>
      <c r="AI216" s="1">
        <v>0.10920000000000001</v>
      </c>
      <c r="AJ216" s="1">
        <v>0.16259999999999999</v>
      </c>
      <c r="AK216" s="1">
        <v>8.3239999999999995E-2</v>
      </c>
      <c r="AL216" s="1">
        <v>4.7149999999999997E-2</v>
      </c>
      <c r="AM216" s="1">
        <v>0.33900000000000002</v>
      </c>
      <c r="AN216" s="1">
        <v>7.4340000000000003E-2</v>
      </c>
    </row>
    <row r="217" spans="1:40" s="1" customFormat="1" ht="15" x14ac:dyDescent="0.25">
      <c r="A217" s="1">
        <v>894047</v>
      </c>
      <c r="B217" s="1" t="s">
        <v>37</v>
      </c>
      <c r="C217" s="1">
        <v>8.5969999999999995</v>
      </c>
      <c r="D217" s="1">
        <v>18.600000000000001</v>
      </c>
      <c r="E217" s="2"/>
      <c r="F217" s="2"/>
      <c r="G217" s="2"/>
      <c r="H217" s="2"/>
      <c r="I217" s="2"/>
      <c r="J217" s="2"/>
      <c r="K217" s="2"/>
      <c r="L217" s="2"/>
      <c r="M217" s="1">
        <v>54.09</v>
      </c>
      <c r="N217" s="1">
        <v>221.2</v>
      </c>
      <c r="O217" s="1">
        <v>0.1074</v>
      </c>
      <c r="P217" s="1">
        <v>5.8470000000000001E-2</v>
      </c>
      <c r="Q217" s="1">
        <v>0</v>
      </c>
      <c r="R217" s="1">
        <v>0</v>
      </c>
      <c r="S217" s="1">
        <v>0.21629999999999999</v>
      </c>
      <c r="T217" s="1">
        <v>7.3590000000000003E-2</v>
      </c>
      <c r="U217" s="1">
        <v>0.33679999999999999</v>
      </c>
      <c r="V217" s="1">
        <v>2.7770000000000001</v>
      </c>
      <c r="W217" s="1">
        <v>2.222</v>
      </c>
      <c r="X217" s="1">
        <v>17.809999999999999</v>
      </c>
      <c r="Y217" s="1">
        <v>2.0750000000000001E-2</v>
      </c>
      <c r="Z217" s="1">
        <v>1.4030000000000001E-2</v>
      </c>
      <c r="AA217" s="1">
        <v>0</v>
      </c>
      <c r="AB217" s="1">
        <v>0</v>
      </c>
      <c r="AC217" s="1">
        <v>6.1460000000000001E-2</v>
      </c>
      <c r="AD217" s="1">
        <v>6.8199999999999997E-3</v>
      </c>
      <c r="AE217" s="1">
        <v>8.952</v>
      </c>
      <c r="AF217" s="1">
        <v>22.44</v>
      </c>
      <c r="AG217" s="1">
        <v>56.65</v>
      </c>
      <c r="AH217" s="1">
        <v>240.1</v>
      </c>
      <c r="AI217" s="1">
        <v>0.13469999999999999</v>
      </c>
      <c r="AJ217" s="1">
        <v>7.7670000000000003E-2</v>
      </c>
      <c r="AK217" s="1">
        <v>0</v>
      </c>
      <c r="AL217" s="1">
        <v>0</v>
      </c>
      <c r="AM217" s="1">
        <v>0.31419999999999998</v>
      </c>
      <c r="AN217" s="1">
        <v>8.1159999999999996E-2</v>
      </c>
    </row>
    <row r="218" spans="1:40" s="1" customFormat="1" ht="15" x14ac:dyDescent="0.25">
      <c r="A218" s="1">
        <v>894089</v>
      </c>
      <c r="B218" s="1" t="s">
        <v>37</v>
      </c>
      <c r="C218" s="1">
        <v>12.49</v>
      </c>
      <c r="D218" s="1">
        <v>16.850000000000001</v>
      </c>
      <c r="E218" s="2"/>
      <c r="F218" s="2"/>
      <c r="G218" s="2"/>
      <c r="H218" s="2"/>
      <c r="I218" s="2"/>
      <c r="J218" s="2"/>
      <c r="K218" s="2"/>
      <c r="L218" s="2"/>
      <c r="M218" s="1">
        <v>79.19</v>
      </c>
      <c r="N218" s="1">
        <v>481.6</v>
      </c>
      <c r="O218" s="1">
        <v>8.5110000000000005E-2</v>
      </c>
      <c r="P218" s="1">
        <v>3.8339999999999999E-2</v>
      </c>
      <c r="Q218" s="1">
        <v>4.4730000000000004E-3</v>
      </c>
      <c r="R218" s="1">
        <v>6.4229999999999999E-3</v>
      </c>
      <c r="S218" s="1">
        <v>0.1215</v>
      </c>
      <c r="T218" s="1">
        <v>5.6730000000000003E-2</v>
      </c>
      <c r="U218" s="1">
        <v>0.1716</v>
      </c>
      <c r="V218" s="1">
        <v>0.71509999999999996</v>
      </c>
      <c r="W218" s="1">
        <v>1.0469999999999999</v>
      </c>
      <c r="X218" s="1">
        <v>12.69</v>
      </c>
      <c r="Y218" s="1">
        <v>4.9280000000000001E-3</v>
      </c>
      <c r="Z218" s="1">
        <v>3.0119999999999999E-3</v>
      </c>
      <c r="AA218" s="1">
        <v>2.6199999999999999E-3</v>
      </c>
      <c r="AB218" s="1">
        <v>3.3899999999999998E-3</v>
      </c>
      <c r="AC218" s="1">
        <v>1.393E-2</v>
      </c>
      <c r="AD218" s="1">
        <v>1.3439999999999999E-3</v>
      </c>
      <c r="AE218" s="1">
        <v>13.34</v>
      </c>
      <c r="AF218" s="1">
        <v>19.71</v>
      </c>
      <c r="AG218" s="1">
        <v>84.48</v>
      </c>
      <c r="AH218" s="1">
        <v>544.20000000000005</v>
      </c>
      <c r="AI218" s="1">
        <v>0.1104</v>
      </c>
      <c r="AJ218" s="1">
        <v>4.9529999999999998E-2</v>
      </c>
      <c r="AK218" s="1">
        <v>1.9380000000000001E-2</v>
      </c>
      <c r="AL218" s="1">
        <v>2.784E-2</v>
      </c>
      <c r="AM218" s="1">
        <v>0.19170000000000001</v>
      </c>
      <c r="AN218" s="1">
        <v>6.1740000000000003E-2</v>
      </c>
    </row>
    <row r="219" spans="1:40" s="1" customFormat="1" ht="15" x14ac:dyDescent="0.25">
      <c r="A219" s="1">
        <v>894090</v>
      </c>
      <c r="B219" s="1" t="s">
        <v>37</v>
      </c>
      <c r="C219" s="1">
        <v>12.18</v>
      </c>
      <c r="D219" s="1">
        <v>14.08</v>
      </c>
      <c r="E219" s="2"/>
      <c r="F219" s="2"/>
      <c r="G219" s="2"/>
      <c r="H219" s="2"/>
      <c r="I219" s="2"/>
      <c r="J219" s="2"/>
      <c r="K219" s="2"/>
      <c r="L219" s="2"/>
      <c r="M219" s="1">
        <v>77.25</v>
      </c>
      <c r="N219" s="1">
        <v>461.4</v>
      </c>
      <c r="O219" s="1">
        <v>7.7340000000000006E-2</v>
      </c>
      <c r="P219" s="1">
        <v>3.2120000000000003E-2</v>
      </c>
      <c r="Q219" s="1">
        <v>1.123E-2</v>
      </c>
      <c r="R219" s="1">
        <v>5.0509999999999999E-3</v>
      </c>
      <c r="S219" s="1">
        <v>0.1673</v>
      </c>
      <c r="T219" s="1">
        <v>5.6489999999999999E-2</v>
      </c>
      <c r="U219" s="1">
        <v>0.21129999999999999</v>
      </c>
      <c r="V219" s="1">
        <v>0.59960000000000002</v>
      </c>
      <c r="W219" s="1">
        <v>1.4379999999999999</v>
      </c>
      <c r="X219" s="1">
        <v>15.82</v>
      </c>
      <c r="Y219" s="1">
        <v>5.3429999999999997E-3</v>
      </c>
      <c r="Z219" s="1">
        <v>5.7670000000000004E-3</v>
      </c>
      <c r="AA219" s="1">
        <v>1.123E-2</v>
      </c>
      <c r="AB219" s="1">
        <v>5.0509999999999999E-3</v>
      </c>
      <c r="AC219" s="1">
        <v>1.9769999999999999E-2</v>
      </c>
      <c r="AD219" s="1">
        <v>9.502E-4</v>
      </c>
      <c r="AE219" s="1">
        <v>12.85</v>
      </c>
      <c r="AF219" s="1">
        <v>16.47</v>
      </c>
      <c r="AG219" s="1">
        <v>81.599999999999994</v>
      </c>
      <c r="AH219" s="1">
        <v>513.1</v>
      </c>
      <c r="AI219" s="1">
        <v>0.10009999999999999</v>
      </c>
      <c r="AJ219" s="1">
        <v>5.3319999999999999E-2</v>
      </c>
      <c r="AK219" s="1">
        <v>4.1160000000000002E-2</v>
      </c>
      <c r="AL219" s="1">
        <v>1.8519999999999998E-2</v>
      </c>
      <c r="AM219" s="1">
        <v>0.2293</v>
      </c>
      <c r="AN219" s="1">
        <v>6.037E-2</v>
      </c>
    </row>
    <row r="220" spans="1:40" s="1" customFormat="1" ht="15" x14ac:dyDescent="0.25">
      <c r="A220" s="1">
        <v>894326</v>
      </c>
      <c r="B220" s="1" t="s">
        <v>36</v>
      </c>
      <c r="C220" s="1">
        <v>18.22</v>
      </c>
      <c r="D220" s="1">
        <v>18.87</v>
      </c>
      <c r="E220" s="2"/>
      <c r="F220" s="2"/>
      <c r="G220" s="2"/>
      <c r="H220" s="2"/>
      <c r="I220" s="2"/>
      <c r="J220" s="2"/>
      <c r="K220" s="2"/>
      <c r="L220" s="2"/>
      <c r="M220" s="1">
        <v>118.7</v>
      </c>
      <c r="N220" s="1">
        <v>1027</v>
      </c>
      <c r="O220" s="1">
        <v>9.7460000000000005E-2</v>
      </c>
      <c r="P220" s="1">
        <v>0.11169999999999999</v>
      </c>
      <c r="Q220" s="1">
        <v>0.113</v>
      </c>
      <c r="R220" s="1">
        <v>7.9500000000000001E-2</v>
      </c>
      <c r="S220" s="1">
        <v>0.1807</v>
      </c>
      <c r="T220" s="1">
        <v>5.6640000000000003E-2</v>
      </c>
      <c r="U220" s="1">
        <v>0.40410000000000001</v>
      </c>
      <c r="V220" s="1">
        <v>0.55030000000000001</v>
      </c>
      <c r="W220" s="1">
        <v>2.5470000000000002</v>
      </c>
      <c r="X220" s="1">
        <v>48.9</v>
      </c>
      <c r="Y220" s="1">
        <v>4.8209999999999998E-3</v>
      </c>
      <c r="Z220" s="1">
        <v>1.6590000000000001E-2</v>
      </c>
      <c r="AA220" s="1">
        <v>2.4080000000000001E-2</v>
      </c>
      <c r="AB220" s="1">
        <v>1.1429999999999999E-2</v>
      </c>
      <c r="AC220" s="1">
        <v>1.2749999999999999E-2</v>
      </c>
      <c r="AD220" s="1">
        <v>2.4510000000000001E-3</v>
      </c>
      <c r="AE220" s="1">
        <v>21.84</v>
      </c>
      <c r="AF220" s="1">
        <v>25</v>
      </c>
      <c r="AG220" s="1">
        <v>140.9</v>
      </c>
      <c r="AH220" s="1">
        <v>1485</v>
      </c>
      <c r="AI220" s="1">
        <v>0.1434</v>
      </c>
      <c r="AJ220" s="1">
        <v>0.27629999999999999</v>
      </c>
      <c r="AK220" s="1">
        <v>0.38529999999999998</v>
      </c>
      <c r="AL220" s="1">
        <v>0.17760000000000001</v>
      </c>
      <c r="AM220" s="1">
        <v>0.28120000000000001</v>
      </c>
      <c r="AN220" s="1">
        <v>8.1979999999999997E-2</v>
      </c>
    </row>
    <row r="221" spans="1:40" s="1" customFormat="1" ht="15" x14ac:dyDescent="0.25">
      <c r="A221" s="1">
        <v>894329</v>
      </c>
      <c r="B221" s="1" t="s">
        <v>37</v>
      </c>
      <c r="C221" s="1">
        <v>9.0419999999999998</v>
      </c>
      <c r="D221" s="1">
        <v>18.899999999999999</v>
      </c>
      <c r="E221" s="2"/>
      <c r="F221" s="2"/>
      <c r="G221" s="2"/>
      <c r="H221" s="2"/>
      <c r="I221" s="2"/>
      <c r="J221" s="2"/>
      <c r="K221" s="2"/>
      <c r="L221" s="2"/>
      <c r="M221" s="1">
        <v>60.07</v>
      </c>
      <c r="N221" s="1">
        <v>244.5</v>
      </c>
      <c r="O221" s="1">
        <v>9.9680000000000005E-2</v>
      </c>
      <c r="P221" s="1">
        <v>0.19719999999999999</v>
      </c>
      <c r="Q221" s="1">
        <v>0.19750000000000001</v>
      </c>
      <c r="R221" s="1">
        <v>4.9079999999999999E-2</v>
      </c>
      <c r="S221" s="1">
        <v>0.23300000000000001</v>
      </c>
      <c r="T221" s="1">
        <v>8.7429999999999994E-2</v>
      </c>
      <c r="U221" s="1">
        <v>0.46529999999999999</v>
      </c>
      <c r="V221" s="1">
        <v>1.911</v>
      </c>
      <c r="W221" s="1">
        <v>3.7690000000000001</v>
      </c>
      <c r="X221" s="1">
        <v>24.2</v>
      </c>
      <c r="Y221" s="1">
        <v>9.8449999999999996E-3</v>
      </c>
      <c r="Z221" s="1">
        <v>6.59E-2</v>
      </c>
      <c r="AA221" s="1">
        <v>0.1027</v>
      </c>
      <c r="AB221" s="1">
        <v>2.5270000000000001E-2</v>
      </c>
      <c r="AC221" s="1">
        <v>3.4909999999999997E-2</v>
      </c>
      <c r="AD221" s="1">
        <v>7.8770000000000003E-3</v>
      </c>
      <c r="AE221" s="1">
        <v>10.06</v>
      </c>
      <c r="AF221" s="1">
        <v>23.4</v>
      </c>
      <c r="AG221" s="1">
        <v>68.62</v>
      </c>
      <c r="AH221" s="1">
        <v>297.10000000000002</v>
      </c>
      <c r="AI221" s="1">
        <v>0.1221</v>
      </c>
      <c r="AJ221" s="1">
        <v>0.37480000000000002</v>
      </c>
      <c r="AK221" s="1">
        <v>0.46089999999999998</v>
      </c>
      <c r="AL221" s="1">
        <v>0.1145</v>
      </c>
      <c r="AM221" s="1">
        <v>0.3135</v>
      </c>
      <c r="AN221" s="1">
        <v>0.1055</v>
      </c>
    </row>
    <row r="222" spans="1:40" s="1" customFormat="1" ht="15" x14ac:dyDescent="0.25">
      <c r="A222" s="1">
        <v>894335</v>
      </c>
      <c r="B222" s="1" t="s">
        <v>37</v>
      </c>
      <c r="C222" s="1">
        <v>12.43</v>
      </c>
      <c r="D222" s="1">
        <v>17</v>
      </c>
      <c r="E222" s="2"/>
      <c r="F222" s="2"/>
      <c r="G222" s="2"/>
      <c r="H222" s="2"/>
      <c r="I222" s="2"/>
      <c r="J222" s="2"/>
      <c r="K222" s="2"/>
      <c r="L222" s="2"/>
      <c r="M222" s="1">
        <v>78.599999999999994</v>
      </c>
      <c r="N222" s="1">
        <v>477.3</v>
      </c>
      <c r="O222" s="1">
        <v>7.5569999999999998E-2</v>
      </c>
      <c r="P222" s="1">
        <v>3.4540000000000001E-2</v>
      </c>
      <c r="Q222" s="1">
        <v>1.342E-2</v>
      </c>
      <c r="R222" s="1">
        <v>1.6990000000000002E-2</v>
      </c>
      <c r="S222" s="1">
        <v>0.1472</v>
      </c>
      <c r="T222" s="1">
        <v>5.561E-2</v>
      </c>
      <c r="U222" s="1">
        <v>0.37780000000000002</v>
      </c>
      <c r="V222" s="1">
        <v>2.2000000000000002</v>
      </c>
      <c r="W222" s="1">
        <v>2.4870000000000001</v>
      </c>
      <c r="X222" s="1">
        <v>31.16</v>
      </c>
      <c r="Y222" s="1">
        <v>7.3569999999999998E-3</v>
      </c>
      <c r="Z222" s="1">
        <v>1.0789999999999999E-2</v>
      </c>
      <c r="AA222" s="1">
        <v>9.9590000000000008E-3</v>
      </c>
      <c r="AB222" s="1">
        <v>1.12E-2</v>
      </c>
      <c r="AC222" s="1">
        <v>3.4329999999999999E-2</v>
      </c>
      <c r="AD222" s="1">
        <v>2.9610000000000001E-3</v>
      </c>
      <c r="AE222" s="1">
        <v>12.9</v>
      </c>
      <c r="AF222" s="1">
        <v>20.21</v>
      </c>
      <c r="AG222" s="1">
        <v>81.760000000000005</v>
      </c>
      <c r="AH222" s="1">
        <v>515.9</v>
      </c>
      <c r="AI222" s="1">
        <v>8.4089999999999998E-2</v>
      </c>
      <c r="AJ222" s="1">
        <v>4.7120000000000002E-2</v>
      </c>
      <c r="AK222" s="1">
        <v>2.2370000000000001E-2</v>
      </c>
      <c r="AL222" s="1">
        <v>2.8320000000000001E-2</v>
      </c>
      <c r="AM222" s="1">
        <v>0.19009999999999999</v>
      </c>
      <c r="AN222" s="1">
        <v>5.9319999999999998E-2</v>
      </c>
    </row>
    <row r="223" spans="1:40" s="1" customFormat="1" ht="15" x14ac:dyDescent="0.25">
      <c r="A223" s="1">
        <v>894604</v>
      </c>
      <c r="B223" s="1" t="s">
        <v>37</v>
      </c>
      <c r="C223" s="1">
        <v>10.25</v>
      </c>
      <c r="D223" s="1">
        <v>16.18</v>
      </c>
      <c r="E223" s="2"/>
      <c r="F223" s="2"/>
      <c r="G223" s="2"/>
      <c r="H223" s="2"/>
      <c r="I223" s="2"/>
      <c r="J223" s="2"/>
      <c r="K223" s="2"/>
      <c r="L223" s="2"/>
      <c r="M223" s="1">
        <v>66.52</v>
      </c>
      <c r="N223" s="1">
        <v>324.2</v>
      </c>
      <c r="O223" s="1">
        <v>0.1061</v>
      </c>
      <c r="P223" s="1">
        <v>0.1111</v>
      </c>
      <c r="Q223" s="1">
        <v>6.726E-2</v>
      </c>
      <c r="R223" s="1">
        <v>3.9649999999999998E-2</v>
      </c>
      <c r="S223" s="1">
        <v>0.17430000000000001</v>
      </c>
      <c r="T223" s="1">
        <v>7.2789999999999994E-2</v>
      </c>
      <c r="U223" s="1">
        <v>0.36770000000000003</v>
      </c>
      <c r="V223" s="1">
        <v>1.4710000000000001</v>
      </c>
      <c r="W223" s="1">
        <v>1.597</v>
      </c>
      <c r="X223" s="1">
        <v>22.68</v>
      </c>
      <c r="Y223" s="1">
        <v>1.0489999999999999E-2</v>
      </c>
      <c r="Z223" s="1">
        <v>4.265E-2</v>
      </c>
      <c r="AA223" s="1">
        <v>4.0039999999999999E-2</v>
      </c>
      <c r="AB223" s="1">
        <v>1.5440000000000001E-2</v>
      </c>
      <c r="AC223" s="1">
        <v>2.7189999999999999E-2</v>
      </c>
      <c r="AD223" s="1">
        <v>7.5960000000000003E-3</v>
      </c>
      <c r="AE223" s="1">
        <v>11.28</v>
      </c>
      <c r="AF223" s="1">
        <v>20.61</v>
      </c>
      <c r="AG223" s="1">
        <v>71.53</v>
      </c>
      <c r="AH223" s="1">
        <v>390.4</v>
      </c>
      <c r="AI223" s="1">
        <v>0.14019999999999999</v>
      </c>
      <c r="AJ223" s="1">
        <v>0.23599999999999999</v>
      </c>
      <c r="AK223" s="1">
        <v>0.1898</v>
      </c>
      <c r="AL223" s="1">
        <v>9.7439999999999999E-2</v>
      </c>
      <c r="AM223" s="1">
        <v>0.26079999999999998</v>
      </c>
      <c r="AN223" s="1">
        <v>9.7019999999999995E-2</v>
      </c>
    </row>
    <row r="224" spans="1:40" s="1" customFormat="1" ht="15" x14ac:dyDescent="0.25">
      <c r="A224" s="1">
        <v>894618</v>
      </c>
      <c r="B224" s="1" t="s">
        <v>36</v>
      </c>
      <c r="C224" s="1">
        <v>20.16</v>
      </c>
      <c r="D224" s="1">
        <v>19.66</v>
      </c>
      <c r="E224" s="2"/>
      <c r="F224" s="2"/>
      <c r="G224" s="2"/>
      <c r="H224" s="2"/>
      <c r="I224" s="2"/>
      <c r="J224" s="2"/>
      <c r="K224" s="2"/>
      <c r="L224" s="2"/>
      <c r="M224" s="1">
        <v>131.1</v>
      </c>
      <c r="N224" s="1">
        <v>1274</v>
      </c>
      <c r="O224" s="1">
        <v>8.0199999999999994E-2</v>
      </c>
      <c r="P224" s="1">
        <v>8.5639999999999994E-2</v>
      </c>
      <c r="Q224" s="1">
        <v>0.11550000000000001</v>
      </c>
      <c r="R224" s="1">
        <v>7.7259999999999995E-2</v>
      </c>
      <c r="S224" s="1">
        <v>0.1928</v>
      </c>
      <c r="T224" s="1">
        <v>5.0959999999999998E-2</v>
      </c>
      <c r="U224" s="1">
        <v>0.59250000000000003</v>
      </c>
      <c r="V224" s="1">
        <v>0.68630000000000002</v>
      </c>
      <c r="W224" s="1">
        <v>3.8679999999999999</v>
      </c>
      <c r="X224" s="1">
        <v>74.849999999999994</v>
      </c>
      <c r="Y224" s="1">
        <v>4.5360000000000001E-3</v>
      </c>
      <c r="Z224" s="1">
        <v>1.376E-2</v>
      </c>
      <c r="AA224" s="1">
        <v>2.6450000000000001E-2</v>
      </c>
      <c r="AB224" s="1">
        <v>1.247E-2</v>
      </c>
      <c r="AC224" s="1">
        <v>2.1930000000000002E-2</v>
      </c>
      <c r="AD224" s="1">
        <v>1.5889999999999999E-3</v>
      </c>
      <c r="AE224" s="1">
        <v>23.06</v>
      </c>
      <c r="AF224" s="1">
        <v>23.03</v>
      </c>
      <c r="AG224" s="1">
        <v>150.19999999999999</v>
      </c>
      <c r="AH224" s="1">
        <v>1657</v>
      </c>
      <c r="AI224" s="1">
        <v>0.10539999999999999</v>
      </c>
      <c r="AJ224" s="1">
        <v>0.1537</v>
      </c>
      <c r="AK224" s="1">
        <v>0.2606</v>
      </c>
      <c r="AL224" s="1">
        <v>0.14249999999999999</v>
      </c>
      <c r="AM224" s="1">
        <v>0.30549999999999999</v>
      </c>
      <c r="AN224" s="1">
        <v>5.9330000000000001E-2</v>
      </c>
    </row>
    <row r="225" spans="1:40" s="1" customFormat="1" ht="15" x14ac:dyDescent="0.25">
      <c r="A225" s="1">
        <v>894855</v>
      </c>
      <c r="B225" s="1" t="s">
        <v>37</v>
      </c>
      <c r="C225" s="1">
        <v>12.86</v>
      </c>
      <c r="D225" s="1">
        <v>13.32</v>
      </c>
      <c r="E225" s="2"/>
      <c r="F225" s="2"/>
      <c r="G225" s="2"/>
      <c r="H225" s="2"/>
      <c r="I225" s="2"/>
      <c r="J225" s="2"/>
      <c r="K225" s="2"/>
      <c r="L225" s="2"/>
      <c r="M225" s="1">
        <v>82.82</v>
      </c>
      <c r="N225" s="1">
        <v>504.8</v>
      </c>
      <c r="O225" s="1">
        <v>0.1134</v>
      </c>
      <c r="P225" s="1">
        <v>8.8340000000000002E-2</v>
      </c>
      <c r="Q225" s="1">
        <v>3.7999999999999999E-2</v>
      </c>
      <c r="R225" s="1">
        <v>3.4000000000000002E-2</v>
      </c>
      <c r="S225" s="1">
        <v>0.15429999999999999</v>
      </c>
      <c r="T225" s="1">
        <v>6.4759999999999998E-2</v>
      </c>
      <c r="U225" s="1">
        <v>0.22120000000000001</v>
      </c>
      <c r="V225" s="1">
        <v>1.042</v>
      </c>
      <c r="W225" s="1">
        <v>1.6140000000000001</v>
      </c>
      <c r="X225" s="1">
        <v>16.57</v>
      </c>
      <c r="Y225" s="1">
        <v>5.9100000000000003E-3</v>
      </c>
      <c r="Z225" s="1">
        <v>2.0160000000000001E-2</v>
      </c>
      <c r="AA225" s="1">
        <v>1.9019999999999999E-2</v>
      </c>
      <c r="AB225" s="1">
        <v>1.0109999999999999E-2</v>
      </c>
      <c r="AC225" s="1">
        <v>1.2019999999999999E-2</v>
      </c>
      <c r="AD225" s="1">
        <v>3.107E-3</v>
      </c>
      <c r="AE225" s="1">
        <v>14.04</v>
      </c>
      <c r="AF225" s="1">
        <v>21.08</v>
      </c>
      <c r="AG225" s="1">
        <v>92.8</v>
      </c>
      <c r="AH225" s="1">
        <v>599.5</v>
      </c>
      <c r="AI225" s="1">
        <v>0.1547</v>
      </c>
      <c r="AJ225" s="1">
        <v>0.22309999999999999</v>
      </c>
      <c r="AK225" s="1">
        <v>0.17910000000000001</v>
      </c>
      <c r="AL225" s="1">
        <v>0.11550000000000001</v>
      </c>
      <c r="AM225" s="1">
        <v>0.2382</v>
      </c>
      <c r="AN225" s="1">
        <v>8.5529999999999995E-2</v>
      </c>
    </row>
    <row r="226" spans="1:40" s="1" customFormat="1" ht="15" x14ac:dyDescent="0.25">
      <c r="A226" s="1">
        <v>895100</v>
      </c>
      <c r="B226" s="1" t="s">
        <v>36</v>
      </c>
      <c r="C226" s="1">
        <v>20.34</v>
      </c>
      <c r="D226" s="1">
        <v>21.51</v>
      </c>
      <c r="E226" s="2"/>
      <c r="F226" s="2"/>
      <c r="G226" s="2"/>
      <c r="H226" s="2"/>
      <c r="I226" s="2"/>
      <c r="J226" s="2"/>
      <c r="K226" s="2"/>
      <c r="L226" s="2"/>
      <c r="M226" s="1">
        <v>135.9</v>
      </c>
      <c r="N226" s="1">
        <v>1264</v>
      </c>
      <c r="O226" s="1">
        <v>0.11700000000000001</v>
      </c>
      <c r="P226" s="1">
        <v>0.1875</v>
      </c>
      <c r="Q226" s="1">
        <v>0.25650000000000001</v>
      </c>
      <c r="R226" s="1">
        <v>0.15040000000000001</v>
      </c>
      <c r="S226" s="1">
        <v>0.25690000000000002</v>
      </c>
      <c r="T226" s="1">
        <v>6.6699999999999995E-2</v>
      </c>
      <c r="U226" s="1">
        <v>0.57020000000000004</v>
      </c>
      <c r="V226" s="1">
        <v>1.0229999999999999</v>
      </c>
      <c r="W226" s="1">
        <v>4.0119999999999996</v>
      </c>
      <c r="X226" s="1">
        <v>69.06</v>
      </c>
      <c r="Y226" s="1">
        <v>5.4850000000000003E-3</v>
      </c>
      <c r="Z226" s="1">
        <v>2.4309999999999998E-2</v>
      </c>
      <c r="AA226" s="1">
        <v>3.1899999999999998E-2</v>
      </c>
      <c r="AB226" s="1">
        <v>1.3690000000000001E-2</v>
      </c>
      <c r="AC226" s="1">
        <v>2.768E-2</v>
      </c>
      <c r="AD226" s="1">
        <v>3.3449999999999999E-3</v>
      </c>
      <c r="AE226" s="1">
        <v>25.3</v>
      </c>
      <c r="AF226" s="1">
        <v>31.86</v>
      </c>
      <c r="AG226" s="1">
        <v>171.1</v>
      </c>
      <c r="AH226" s="1">
        <v>1938</v>
      </c>
      <c r="AI226" s="1">
        <v>0.15920000000000001</v>
      </c>
      <c r="AJ226" s="1">
        <v>0.44919999999999999</v>
      </c>
      <c r="AK226" s="1">
        <v>0.53439999999999999</v>
      </c>
      <c r="AL226" s="1">
        <v>0.26850000000000002</v>
      </c>
      <c r="AM226" s="1">
        <v>0.55579999999999996</v>
      </c>
      <c r="AN226" s="1">
        <v>0.1024</v>
      </c>
    </row>
    <row r="227" spans="1:40" s="1" customFormat="1" ht="15" x14ac:dyDescent="0.25">
      <c r="A227" s="1">
        <v>89511501</v>
      </c>
      <c r="B227" s="1" t="s">
        <v>37</v>
      </c>
      <c r="C227" s="1">
        <v>12.2</v>
      </c>
      <c r="D227" s="1">
        <v>15.21</v>
      </c>
      <c r="E227" s="2"/>
      <c r="F227" s="2"/>
      <c r="G227" s="2"/>
      <c r="H227" s="2"/>
      <c r="I227" s="2"/>
      <c r="J227" s="2"/>
      <c r="K227" s="2"/>
      <c r="L227" s="2"/>
      <c r="M227" s="1">
        <v>78.010000000000005</v>
      </c>
      <c r="N227" s="1">
        <v>457.9</v>
      </c>
      <c r="O227" s="1">
        <v>8.6730000000000002E-2</v>
      </c>
      <c r="P227" s="1">
        <v>6.5449999999999994E-2</v>
      </c>
      <c r="Q227" s="1">
        <v>1.9939999999999999E-2</v>
      </c>
      <c r="R227" s="1">
        <v>1.6920000000000001E-2</v>
      </c>
      <c r="S227" s="1">
        <v>0.1638</v>
      </c>
      <c r="T227" s="1">
        <v>6.1289999999999997E-2</v>
      </c>
      <c r="U227" s="1">
        <v>0.25750000000000001</v>
      </c>
      <c r="V227" s="1">
        <v>0.80730000000000002</v>
      </c>
      <c r="W227" s="1">
        <v>1.9590000000000001</v>
      </c>
      <c r="X227" s="1">
        <v>19.010000000000002</v>
      </c>
      <c r="Y227" s="1">
        <v>5.4029999999999998E-3</v>
      </c>
      <c r="Z227" s="1">
        <v>1.418E-2</v>
      </c>
      <c r="AA227" s="1">
        <v>1.051E-2</v>
      </c>
      <c r="AB227" s="1">
        <v>5.1419999999999999E-3</v>
      </c>
      <c r="AC227" s="1">
        <v>1.333E-2</v>
      </c>
      <c r="AD227" s="1">
        <v>2.065E-3</v>
      </c>
      <c r="AE227" s="1">
        <v>13.75</v>
      </c>
      <c r="AF227" s="1">
        <v>21.38</v>
      </c>
      <c r="AG227" s="1">
        <v>91.11</v>
      </c>
      <c r="AH227" s="1">
        <v>583.1</v>
      </c>
      <c r="AI227" s="1">
        <v>0.12559999999999999</v>
      </c>
      <c r="AJ227" s="1">
        <v>0.1928</v>
      </c>
      <c r="AK227" s="1">
        <v>0.1167</v>
      </c>
      <c r="AL227" s="1">
        <v>5.5559999999999998E-2</v>
      </c>
      <c r="AM227" s="1">
        <v>0.2661</v>
      </c>
      <c r="AN227" s="1">
        <v>7.961E-2</v>
      </c>
    </row>
    <row r="228" spans="1:40" s="1" customFormat="1" ht="15" x14ac:dyDescent="0.25">
      <c r="A228" s="1">
        <v>89511502</v>
      </c>
      <c r="B228" s="1" t="s">
        <v>37</v>
      </c>
      <c r="C228" s="1">
        <v>12.67</v>
      </c>
      <c r="D228" s="1">
        <v>17.3</v>
      </c>
      <c r="E228" s="2"/>
      <c r="F228" s="2"/>
      <c r="G228" s="2"/>
      <c r="H228" s="2"/>
      <c r="I228" s="2"/>
      <c r="J228" s="2"/>
      <c r="K228" s="2"/>
      <c r="L228" s="2"/>
      <c r="M228" s="1">
        <v>81.25</v>
      </c>
      <c r="N228" s="1">
        <v>489.9</v>
      </c>
      <c r="O228" s="1">
        <v>0.1028</v>
      </c>
      <c r="P228" s="1">
        <v>7.664E-2</v>
      </c>
      <c r="Q228" s="1">
        <v>3.193E-2</v>
      </c>
      <c r="R228" s="1">
        <v>2.1069999999999998E-2</v>
      </c>
      <c r="S228" s="1">
        <v>0.17069999999999999</v>
      </c>
      <c r="T228" s="1">
        <v>5.9839999999999997E-2</v>
      </c>
      <c r="U228" s="1">
        <v>0.21</v>
      </c>
      <c r="V228" s="1">
        <v>0.95050000000000001</v>
      </c>
      <c r="W228" s="1">
        <v>1.5660000000000001</v>
      </c>
      <c r="X228" s="1">
        <v>17.61</v>
      </c>
      <c r="Y228" s="1">
        <v>6.8089999999999999E-3</v>
      </c>
      <c r="Z228" s="1">
        <v>9.5139999999999999E-3</v>
      </c>
      <c r="AA228" s="1">
        <v>1.329E-2</v>
      </c>
      <c r="AB228" s="1">
        <v>6.4739999999999997E-3</v>
      </c>
      <c r="AC228" s="1">
        <v>2.0570000000000001E-2</v>
      </c>
      <c r="AD228" s="1">
        <v>1.784E-3</v>
      </c>
      <c r="AE228" s="1">
        <v>13.71</v>
      </c>
      <c r="AF228" s="1">
        <v>21.1</v>
      </c>
      <c r="AG228" s="1">
        <v>88.7</v>
      </c>
      <c r="AH228" s="1">
        <v>574.4</v>
      </c>
      <c r="AI228" s="1">
        <v>0.1384</v>
      </c>
      <c r="AJ228" s="1">
        <v>0.1212</v>
      </c>
      <c r="AK228" s="1">
        <v>0.10199999999999999</v>
      </c>
      <c r="AL228" s="1">
        <v>5.602E-2</v>
      </c>
      <c r="AM228" s="1">
        <v>0.26879999999999998</v>
      </c>
      <c r="AN228" s="1">
        <v>6.8879999999999997E-2</v>
      </c>
    </row>
    <row r="229" spans="1:40" s="1" customFormat="1" ht="15" x14ac:dyDescent="0.25">
      <c r="A229" s="1">
        <v>89524</v>
      </c>
      <c r="B229" s="1" t="s">
        <v>37</v>
      </c>
      <c r="C229" s="1">
        <v>14.11</v>
      </c>
      <c r="D229" s="1">
        <v>12.88</v>
      </c>
      <c r="E229" s="2"/>
      <c r="F229" s="2"/>
      <c r="G229" s="2"/>
      <c r="H229" s="2"/>
      <c r="I229" s="2"/>
      <c r="J229" s="2"/>
      <c r="K229" s="2"/>
      <c r="L229" s="2"/>
      <c r="M229" s="1">
        <v>90.03</v>
      </c>
      <c r="N229" s="1">
        <v>616.5</v>
      </c>
      <c r="O229" s="1">
        <v>9.3090000000000006E-2</v>
      </c>
      <c r="P229" s="1">
        <v>5.3060000000000003E-2</v>
      </c>
      <c r="Q229" s="1">
        <v>1.7649999999999999E-2</v>
      </c>
      <c r="R229" s="1">
        <v>2.733E-2</v>
      </c>
      <c r="S229" s="1">
        <v>0.13730000000000001</v>
      </c>
      <c r="T229" s="1">
        <v>5.7000000000000002E-2</v>
      </c>
      <c r="U229" s="1">
        <v>0.2571</v>
      </c>
      <c r="V229" s="1">
        <v>1.081</v>
      </c>
      <c r="W229" s="1">
        <v>1.5580000000000001</v>
      </c>
      <c r="X229" s="1">
        <v>23.92</v>
      </c>
      <c r="Y229" s="1">
        <v>6.692E-3</v>
      </c>
      <c r="Z229" s="1">
        <v>1.132E-2</v>
      </c>
      <c r="AA229" s="1">
        <v>5.7169999999999999E-3</v>
      </c>
      <c r="AB229" s="1">
        <v>6.6270000000000001E-3</v>
      </c>
      <c r="AC229" s="1">
        <v>1.4160000000000001E-2</v>
      </c>
      <c r="AD229" s="1">
        <v>2.4759999999999999E-3</v>
      </c>
      <c r="AE229" s="1">
        <v>15.53</v>
      </c>
      <c r="AF229" s="1">
        <v>18</v>
      </c>
      <c r="AG229" s="1">
        <v>98.4</v>
      </c>
      <c r="AH229" s="1">
        <v>749.9</v>
      </c>
      <c r="AI229" s="1">
        <v>0.12809999999999999</v>
      </c>
      <c r="AJ229" s="1">
        <v>0.1109</v>
      </c>
      <c r="AK229" s="1">
        <v>5.3069999999999999E-2</v>
      </c>
      <c r="AL229" s="1">
        <v>5.8900000000000001E-2</v>
      </c>
      <c r="AM229" s="1">
        <v>0.21</v>
      </c>
      <c r="AN229" s="1">
        <v>7.0830000000000004E-2</v>
      </c>
    </row>
    <row r="230" spans="1:40" s="1" customFormat="1" ht="15" x14ac:dyDescent="0.25">
      <c r="A230" s="1">
        <v>895299</v>
      </c>
      <c r="B230" s="1" t="s">
        <v>37</v>
      </c>
      <c r="C230" s="1">
        <v>12.03</v>
      </c>
      <c r="D230" s="1">
        <v>17.93</v>
      </c>
      <c r="E230" s="2"/>
      <c r="F230" s="2"/>
      <c r="G230" s="2"/>
      <c r="H230" s="2"/>
      <c r="I230" s="2"/>
      <c r="J230" s="2"/>
      <c r="K230" s="2"/>
      <c r="L230" s="2"/>
      <c r="M230" s="1">
        <v>76.09</v>
      </c>
      <c r="N230" s="1">
        <v>446</v>
      </c>
      <c r="O230" s="1">
        <v>7.6829999999999996E-2</v>
      </c>
      <c r="P230" s="1">
        <v>3.8920000000000003E-2</v>
      </c>
      <c r="Q230" s="1">
        <v>1.5460000000000001E-3</v>
      </c>
      <c r="R230" s="1">
        <v>5.5919999999999997E-3</v>
      </c>
      <c r="S230" s="1">
        <v>0.13819999999999999</v>
      </c>
      <c r="T230" s="1">
        <v>6.0699999999999997E-2</v>
      </c>
      <c r="U230" s="1">
        <v>0.23350000000000001</v>
      </c>
      <c r="V230" s="1">
        <v>0.90969999999999995</v>
      </c>
      <c r="W230" s="1">
        <v>1.466</v>
      </c>
      <c r="X230" s="1">
        <v>16.97</v>
      </c>
      <c r="Y230" s="1">
        <v>4.7289999999999997E-3</v>
      </c>
      <c r="Z230" s="1">
        <v>6.8869999999999999E-3</v>
      </c>
      <c r="AA230" s="1">
        <v>1.1839999999999999E-3</v>
      </c>
      <c r="AB230" s="1">
        <v>3.9509999999999997E-3</v>
      </c>
      <c r="AC230" s="1">
        <v>1.4659999999999999E-2</v>
      </c>
      <c r="AD230" s="1">
        <v>1.755E-3</v>
      </c>
      <c r="AE230" s="1">
        <v>13.07</v>
      </c>
      <c r="AF230" s="1">
        <v>22.25</v>
      </c>
      <c r="AG230" s="1">
        <v>82.74</v>
      </c>
      <c r="AH230" s="1">
        <v>523.4</v>
      </c>
      <c r="AI230" s="1">
        <v>0.1013</v>
      </c>
      <c r="AJ230" s="1">
        <v>7.3899999999999993E-2</v>
      </c>
      <c r="AK230" s="1">
        <v>7.7320000000000002E-3</v>
      </c>
      <c r="AL230" s="1">
        <v>2.7959999999999999E-2</v>
      </c>
      <c r="AM230" s="1">
        <v>0.21709999999999999</v>
      </c>
      <c r="AN230" s="1">
        <v>7.0370000000000002E-2</v>
      </c>
    </row>
    <row r="231" spans="1:40" s="1" customFormat="1" ht="15" x14ac:dyDescent="0.25">
      <c r="A231" s="1">
        <v>8953902</v>
      </c>
      <c r="B231" s="1" t="s">
        <v>36</v>
      </c>
      <c r="C231" s="1">
        <v>16.27</v>
      </c>
      <c r="D231" s="1">
        <v>20.71</v>
      </c>
      <c r="E231" s="2"/>
      <c r="F231" s="2"/>
      <c r="G231" s="2"/>
      <c r="H231" s="2"/>
      <c r="I231" s="2"/>
      <c r="J231" s="2"/>
      <c r="K231" s="2"/>
      <c r="L231" s="2"/>
      <c r="M231" s="1">
        <v>106.9</v>
      </c>
      <c r="N231" s="1">
        <v>813.7</v>
      </c>
      <c r="O231" s="1">
        <v>0.1169</v>
      </c>
      <c r="P231" s="1">
        <v>0.13189999999999999</v>
      </c>
      <c r="Q231" s="1">
        <v>0.14779999999999999</v>
      </c>
      <c r="R231" s="1">
        <v>8.4879999999999997E-2</v>
      </c>
      <c r="S231" s="1">
        <v>0.1948</v>
      </c>
      <c r="T231" s="1">
        <v>6.2770000000000006E-2</v>
      </c>
      <c r="U231" s="1">
        <v>0.4375</v>
      </c>
      <c r="V231" s="1">
        <v>1.232</v>
      </c>
      <c r="W231" s="1">
        <v>3.27</v>
      </c>
      <c r="X231" s="1">
        <v>44.41</v>
      </c>
      <c r="Y231" s="1">
        <v>6.6969999999999998E-3</v>
      </c>
      <c r="Z231" s="1">
        <v>2.0830000000000001E-2</v>
      </c>
      <c r="AA231" s="1">
        <v>3.2480000000000002E-2</v>
      </c>
      <c r="AB231" s="1">
        <v>1.392E-2</v>
      </c>
      <c r="AC231" s="1">
        <v>1.536E-2</v>
      </c>
      <c r="AD231" s="1">
        <v>2.7889999999999998E-3</v>
      </c>
      <c r="AE231" s="1">
        <v>19.28</v>
      </c>
      <c r="AF231" s="1">
        <v>30.38</v>
      </c>
      <c r="AG231" s="1">
        <v>129.80000000000001</v>
      </c>
      <c r="AH231" s="1">
        <v>1121</v>
      </c>
      <c r="AI231" s="1">
        <v>0.159</v>
      </c>
      <c r="AJ231" s="1">
        <v>0.29470000000000002</v>
      </c>
      <c r="AK231" s="1">
        <v>0.35970000000000002</v>
      </c>
      <c r="AL231" s="1">
        <v>0.1583</v>
      </c>
      <c r="AM231" s="1">
        <v>0.31030000000000002</v>
      </c>
      <c r="AN231" s="1">
        <v>8.2000000000000003E-2</v>
      </c>
    </row>
    <row r="232" spans="1:40" s="1" customFormat="1" ht="15" x14ac:dyDescent="0.25">
      <c r="A232" s="1">
        <v>895633</v>
      </c>
      <c r="B232" s="1" t="s">
        <v>36</v>
      </c>
      <c r="C232" s="1">
        <v>16.260000000000002</v>
      </c>
      <c r="D232" s="1">
        <v>21.88</v>
      </c>
      <c r="E232" s="2"/>
      <c r="F232" s="2"/>
      <c r="G232" s="2"/>
      <c r="H232" s="2"/>
      <c r="I232" s="2"/>
      <c r="J232" s="2"/>
      <c r="K232" s="2"/>
      <c r="L232" s="2"/>
      <c r="M232" s="1">
        <v>107.5</v>
      </c>
      <c r="N232" s="1">
        <v>826.8</v>
      </c>
      <c r="O232" s="1">
        <v>0.11650000000000001</v>
      </c>
      <c r="P232" s="1">
        <v>0.1283</v>
      </c>
      <c r="Q232" s="1">
        <v>0.1799</v>
      </c>
      <c r="R232" s="1">
        <v>7.9810000000000006E-2</v>
      </c>
      <c r="S232" s="1">
        <v>0.18690000000000001</v>
      </c>
      <c r="T232" s="1">
        <v>6.5320000000000003E-2</v>
      </c>
      <c r="U232" s="1">
        <v>0.5706</v>
      </c>
      <c r="V232" s="1">
        <v>1.4570000000000001</v>
      </c>
      <c r="W232" s="1">
        <v>2.9609999999999999</v>
      </c>
      <c r="X232" s="1">
        <v>57.72</v>
      </c>
      <c r="Y232" s="1">
        <v>1.056E-2</v>
      </c>
      <c r="Z232" s="1">
        <v>3.7560000000000003E-2</v>
      </c>
      <c r="AA232" s="1">
        <v>5.8389999999999997E-2</v>
      </c>
      <c r="AB232" s="1">
        <v>1.1860000000000001E-2</v>
      </c>
      <c r="AC232" s="1">
        <v>4.0219999999999999E-2</v>
      </c>
      <c r="AD232" s="1">
        <v>6.1869999999999998E-3</v>
      </c>
      <c r="AE232" s="1">
        <v>17.73</v>
      </c>
      <c r="AF232" s="1">
        <v>25.21</v>
      </c>
      <c r="AG232" s="1">
        <v>113.7</v>
      </c>
      <c r="AH232" s="1">
        <v>975.2</v>
      </c>
      <c r="AI232" s="1">
        <v>0.1426</v>
      </c>
      <c r="AJ232" s="1">
        <v>0.21160000000000001</v>
      </c>
      <c r="AK232" s="1">
        <v>0.33439999999999998</v>
      </c>
      <c r="AL232" s="1">
        <v>0.1047</v>
      </c>
      <c r="AM232" s="1">
        <v>0.27360000000000001</v>
      </c>
      <c r="AN232" s="1">
        <v>7.9530000000000003E-2</v>
      </c>
    </row>
    <row r="233" spans="1:40" s="1" customFormat="1" ht="15" x14ac:dyDescent="0.25">
      <c r="A233" s="1">
        <v>896839</v>
      </c>
      <c r="B233" s="1" t="s">
        <v>36</v>
      </c>
      <c r="C233" s="1">
        <v>16.03</v>
      </c>
      <c r="D233" s="1">
        <v>15.51</v>
      </c>
      <c r="E233" s="2"/>
      <c r="F233" s="2"/>
      <c r="G233" s="2"/>
      <c r="H233" s="2"/>
      <c r="I233" s="2"/>
      <c r="J233" s="2"/>
      <c r="K233" s="2"/>
      <c r="L233" s="2"/>
      <c r="M233" s="1">
        <v>105.8</v>
      </c>
      <c r="N233" s="1">
        <v>793.2</v>
      </c>
      <c r="O233" s="1">
        <v>9.4909999999999994E-2</v>
      </c>
      <c r="P233" s="1">
        <v>0.1371</v>
      </c>
      <c r="Q233" s="1">
        <v>0.12039999999999999</v>
      </c>
      <c r="R233" s="1">
        <v>7.041E-2</v>
      </c>
      <c r="S233" s="1">
        <v>0.1782</v>
      </c>
      <c r="T233" s="1">
        <v>5.9760000000000001E-2</v>
      </c>
      <c r="U233" s="1">
        <v>0.33710000000000001</v>
      </c>
      <c r="V233" s="1">
        <v>0.74760000000000004</v>
      </c>
      <c r="W233" s="1">
        <v>2.629</v>
      </c>
      <c r="X233" s="1">
        <v>33.270000000000003</v>
      </c>
      <c r="Y233" s="1">
        <v>5.8389999999999996E-3</v>
      </c>
      <c r="Z233" s="1">
        <v>3.245E-2</v>
      </c>
      <c r="AA233" s="1">
        <v>3.7150000000000002E-2</v>
      </c>
      <c r="AB233" s="1">
        <v>1.4590000000000001E-2</v>
      </c>
      <c r="AC233" s="1">
        <v>1.4670000000000001E-2</v>
      </c>
      <c r="AD233" s="1">
        <v>3.1210000000000001E-3</v>
      </c>
      <c r="AE233" s="1">
        <v>18.760000000000002</v>
      </c>
      <c r="AF233" s="1">
        <v>21.98</v>
      </c>
      <c r="AG233" s="1">
        <v>124.3</v>
      </c>
      <c r="AH233" s="1">
        <v>1070</v>
      </c>
      <c r="AI233" s="1">
        <v>0.14349999999999999</v>
      </c>
      <c r="AJ233" s="1">
        <v>0.44779999999999998</v>
      </c>
      <c r="AK233" s="1">
        <v>0.49559999999999998</v>
      </c>
      <c r="AL233" s="1">
        <v>0.1981</v>
      </c>
      <c r="AM233" s="1">
        <v>0.3019</v>
      </c>
      <c r="AN233" s="1">
        <v>9.1240000000000002E-2</v>
      </c>
    </row>
    <row r="234" spans="1:40" s="1" customFormat="1" ht="15" x14ac:dyDescent="0.25">
      <c r="A234" s="1">
        <v>896864</v>
      </c>
      <c r="B234" s="1" t="s">
        <v>37</v>
      </c>
      <c r="C234" s="1">
        <v>12.98</v>
      </c>
      <c r="D234" s="1">
        <v>19.350000000000001</v>
      </c>
      <c r="E234" s="2"/>
      <c r="F234" s="2"/>
      <c r="G234" s="2"/>
      <c r="H234" s="2"/>
      <c r="I234" s="2"/>
      <c r="J234" s="2"/>
      <c r="K234" s="2"/>
      <c r="L234" s="2"/>
      <c r="M234" s="1">
        <v>84.52</v>
      </c>
      <c r="N234" s="1">
        <v>514</v>
      </c>
      <c r="O234" s="1">
        <v>9.579E-2</v>
      </c>
      <c r="P234" s="1">
        <v>0.1125</v>
      </c>
      <c r="Q234" s="1">
        <v>7.1069999999999994E-2</v>
      </c>
      <c r="R234" s="1">
        <v>2.9499999999999998E-2</v>
      </c>
      <c r="S234" s="1">
        <v>0.17610000000000001</v>
      </c>
      <c r="T234" s="1">
        <v>6.54E-2</v>
      </c>
      <c r="U234" s="1">
        <v>0.26840000000000003</v>
      </c>
      <c r="V234" s="1">
        <v>0.56640000000000001</v>
      </c>
      <c r="W234" s="1">
        <v>2.4649999999999999</v>
      </c>
      <c r="X234" s="1">
        <v>20.65</v>
      </c>
      <c r="Y234" s="1">
        <v>5.7270000000000003E-3</v>
      </c>
      <c r="Z234" s="1">
        <v>3.2550000000000003E-2</v>
      </c>
      <c r="AA234" s="1">
        <v>4.3929999999999997E-2</v>
      </c>
      <c r="AB234" s="1">
        <v>9.8110000000000003E-3</v>
      </c>
      <c r="AC234" s="1">
        <v>2.751E-2</v>
      </c>
      <c r="AD234" s="1">
        <v>4.5719999999999997E-3</v>
      </c>
      <c r="AE234" s="1">
        <v>14.42</v>
      </c>
      <c r="AF234" s="1">
        <v>21.95</v>
      </c>
      <c r="AG234" s="1">
        <v>99.21</v>
      </c>
      <c r="AH234" s="1">
        <v>634.29999999999995</v>
      </c>
      <c r="AI234" s="1">
        <v>0.1288</v>
      </c>
      <c r="AJ234" s="1">
        <v>0.32529999999999998</v>
      </c>
      <c r="AK234" s="1">
        <v>0.34389999999999998</v>
      </c>
      <c r="AL234" s="1">
        <v>9.8580000000000001E-2</v>
      </c>
      <c r="AM234" s="1">
        <v>0.35959999999999998</v>
      </c>
      <c r="AN234" s="1">
        <v>9.1660000000000005E-2</v>
      </c>
    </row>
    <row r="235" spans="1:40" s="1" customFormat="1" ht="15" x14ac:dyDescent="0.25">
      <c r="A235" s="1">
        <v>897132</v>
      </c>
      <c r="B235" s="1" t="s">
        <v>37</v>
      </c>
      <c r="C235" s="1">
        <v>11.22</v>
      </c>
      <c r="D235" s="1">
        <v>19.86</v>
      </c>
      <c r="E235" s="2"/>
      <c r="F235" s="2"/>
      <c r="G235" s="2"/>
      <c r="H235" s="2"/>
      <c r="I235" s="2"/>
      <c r="J235" s="2"/>
      <c r="K235" s="2"/>
      <c r="L235" s="2"/>
      <c r="M235" s="1">
        <v>71.94</v>
      </c>
      <c r="N235" s="1">
        <v>387.3</v>
      </c>
      <c r="O235" s="1">
        <v>0.10539999999999999</v>
      </c>
      <c r="P235" s="1">
        <v>6.7790000000000003E-2</v>
      </c>
      <c r="Q235" s="1">
        <v>5.006E-3</v>
      </c>
      <c r="R235" s="1">
        <v>7.5830000000000003E-3</v>
      </c>
      <c r="S235" s="1">
        <v>0.19400000000000001</v>
      </c>
      <c r="T235" s="1">
        <v>6.028E-2</v>
      </c>
      <c r="U235" s="1">
        <v>0.29759999999999998</v>
      </c>
      <c r="V235" s="1">
        <v>1.966</v>
      </c>
      <c r="W235" s="1">
        <v>1.9590000000000001</v>
      </c>
      <c r="X235" s="1">
        <v>19.62</v>
      </c>
      <c r="Y235" s="1">
        <v>1.289E-2</v>
      </c>
      <c r="Z235" s="1">
        <v>1.1039999999999999E-2</v>
      </c>
      <c r="AA235" s="1">
        <v>3.297E-3</v>
      </c>
      <c r="AB235" s="1">
        <v>4.9670000000000001E-3</v>
      </c>
      <c r="AC235" s="1">
        <v>4.2430000000000002E-2</v>
      </c>
      <c r="AD235" s="1">
        <v>1.9629999999999999E-3</v>
      </c>
      <c r="AE235" s="1">
        <v>11.98</v>
      </c>
      <c r="AF235" s="1">
        <v>25.78</v>
      </c>
      <c r="AG235" s="1">
        <v>76.91</v>
      </c>
      <c r="AH235" s="1">
        <v>436.1</v>
      </c>
      <c r="AI235" s="1">
        <v>0.1424</v>
      </c>
      <c r="AJ235" s="1">
        <v>9.6689999999999998E-2</v>
      </c>
      <c r="AK235" s="1">
        <v>1.3350000000000001E-2</v>
      </c>
      <c r="AL235" s="1">
        <v>2.0219999999999998E-2</v>
      </c>
      <c r="AM235" s="1">
        <v>0.32919999999999999</v>
      </c>
      <c r="AN235" s="1">
        <v>6.522E-2</v>
      </c>
    </row>
    <row r="236" spans="1:40" s="1" customFormat="1" ht="15" x14ac:dyDescent="0.25">
      <c r="A236" s="1">
        <v>897137</v>
      </c>
      <c r="B236" s="1" t="s">
        <v>37</v>
      </c>
      <c r="C236" s="1">
        <v>11.25</v>
      </c>
      <c r="D236" s="1">
        <v>14.78</v>
      </c>
      <c r="E236" s="2"/>
      <c r="F236" s="2"/>
      <c r="G236" s="2"/>
      <c r="H236" s="2"/>
      <c r="I236" s="2"/>
      <c r="J236" s="2"/>
      <c r="K236" s="2"/>
      <c r="L236" s="2"/>
      <c r="M236" s="1">
        <v>71.38</v>
      </c>
      <c r="N236" s="1">
        <v>390</v>
      </c>
      <c r="O236" s="1">
        <v>8.3059999999999995E-2</v>
      </c>
      <c r="P236" s="1">
        <v>4.4580000000000002E-2</v>
      </c>
      <c r="Q236" s="1">
        <v>9.7369999999999998E-4</v>
      </c>
      <c r="R236" s="1">
        <v>2.941E-3</v>
      </c>
      <c r="S236" s="1">
        <v>0.17730000000000001</v>
      </c>
      <c r="T236" s="1">
        <v>6.0810000000000003E-2</v>
      </c>
      <c r="U236" s="1">
        <v>0.21440000000000001</v>
      </c>
      <c r="V236" s="1">
        <v>0.99609999999999999</v>
      </c>
      <c r="W236" s="1">
        <v>1.5289999999999999</v>
      </c>
      <c r="X236" s="1">
        <v>15.07</v>
      </c>
      <c r="Y236" s="1">
        <v>5.6169999999999996E-3</v>
      </c>
      <c r="Z236" s="1">
        <v>7.1240000000000001E-3</v>
      </c>
      <c r="AA236" s="1">
        <v>9.7369999999999998E-4</v>
      </c>
      <c r="AB236" s="1">
        <v>2.941E-3</v>
      </c>
      <c r="AC236" s="1">
        <v>1.7000000000000001E-2</v>
      </c>
      <c r="AD236" s="1">
        <v>2.0300000000000001E-3</v>
      </c>
      <c r="AE236" s="1">
        <v>12.76</v>
      </c>
      <c r="AF236" s="1">
        <v>22.06</v>
      </c>
      <c r="AG236" s="1">
        <v>82.08</v>
      </c>
      <c r="AH236" s="1">
        <v>492.7</v>
      </c>
      <c r="AI236" s="1">
        <v>0.1166</v>
      </c>
      <c r="AJ236" s="1">
        <v>9.7939999999999999E-2</v>
      </c>
      <c r="AK236" s="1">
        <v>5.5180000000000003E-3</v>
      </c>
      <c r="AL236" s="1">
        <v>1.6670000000000001E-2</v>
      </c>
      <c r="AM236" s="1">
        <v>0.28149999999999997</v>
      </c>
      <c r="AN236" s="1">
        <v>7.4179999999999996E-2</v>
      </c>
    </row>
    <row r="237" spans="1:40" s="1" customFormat="1" ht="15" x14ac:dyDescent="0.25">
      <c r="A237" s="1">
        <v>897374</v>
      </c>
      <c r="B237" s="1" t="s">
        <v>37</v>
      </c>
      <c r="C237" s="1">
        <v>12.3</v>
      </c>
      <c r="D237" s="1">
        <v>19.02</v>
      </c>
      <c r="E237" s="2"/>
      <c r="F237" s="2"/>
      <c r="G237" s="2"/>
      <c r="H237" s="2"/>
      <c r="I237" s="2"/>
      <c r="J237" s="2"/>
      <c r="K237" s="2"/>
      <c r="L237" s="2"/>
      <c r="M237" s="1">
        <v>77.88</v>
      </c>
      <c r="N237" s="1">
        <v>464.4</v>
      </c>
      <c r="O237" s="1">
        <v>8.3129999999999996E-2</v>
      </c>
      <c r="P237" s="1">
        <v>4.2020000000000002E-2</v>
      </c>
      <c r="Q237" s="1">
        <v>7.7559999999999999E-3</v>
      </c>
      <c r="R237" s="1">
        <v>8.5349999999999992E-3</v>
      </c>
      <c r="S237" s="1">
        <v>0.15390000000000001</v>
      </c>
      <c r="T237" s="1">
        <v>5.9450000000000003E-2</v>
      </c>
      <c r="U237" s="1">
        <v>0.184</v>
      </c>
      <c r="V237" s="1">
        <v>1.532</v>
      </c>
      <c r="W237" s="1">
        <v>1.1990000000000001</v>
      </c>
      <c r="X237" s="1">
        <v>13.24</v>
      </c>
      <c r="Y237" s="1">
        <v>7.8810000000000009E-3</v>
      </c>
      <c r="Z237" s="1">
        <v>8.4320000000000003E-3</v>
      </c>
      <c r="AA237" s="1">
        <v>7.0039999999999998E-3</v>
      </c>
      <c r="AB237" s="1">
        <v>6.522E-3</v>
      </c>
      <c r="AC237" s="1">
        <v>1.9390000000000001E-2</v>
      </c>
      <c r="AD237" s="1">
        <v>2.222E-3</v>
      </c>
      <c r="AE237" s="1">
        <v>13.35</v>
      </c>
      <c r="AF237" s="1">
        <v>28.46</v>
      </c>
      <c r="AG237" s="1">
        <v>84.53</v>
      </c>
      <c r="AH237" s="1">
        <v>544.29999999999995</v>
      </c>
      <c r="AI237" s="1">
        <v>0.1222</v>
      </c>
      <c r="AJ237" s="1">
        <v>9.0520000000000003E-2</v>
      </c>
      <c r="AK237" s="1">
        <v>3.619E-2</v>
      </c>
      <c r="AL237" s="1">
        <v>3.9829999999999997E-2</v>
      </c>
      <c r="AM237" s="1">
        <v>0.25540000000000002</v>
      </c>
      <c r="AN237" s="1">
        <v>7.2069999999999995E-2</v>
      </c>
    </row>
    <row r="238" spans="1:40" s="1" customFormat="1" ht="15" x14ac:dyDescent="0.25">
      <c r="A238" s="1">
        <v>89742801</v>
      </c>
      <c r="B238" s="1" t="s">
        <v>36</v>
      </c>
      <c r="C238" s="1">
        <v>17.059999999999999</v>
      </c>
      <c r="D238" s="1">
        <v>21</v>
      </c>
      <c r="E238" s="2"/>
      <c r="F238" s="2"/>
      <c r="G238" s="2"/>
      <c r="H238" s="2"/>
      <c r="I238" s="2"/>
      <c r="J238" s="2"/>
      <c r="K238" s="2"/>
      <c r="L238" s="2"/>
      <c r="M238" s="1">
        <v>111.8</v>
      </c>
      <c r="N238" s="1">
        <v>918.6</v>
      </c>
      <c r="O238" s="1">
        <v>0.1119</v>
      </c>
      <c r="P238" s="1">
        <v>0.1056</v>
      </c>
      <c r="Q238" s="1">
        <v>0.15079999999999999</v>
      </c>
      <c r="R238" s="1">
        <v>9.9339999999999998E-2</v>
      </c>
      <c r="S238" s="1">
        <v>0.17269999999999999</v>
      </c>
      <c r="T238" s="1">
        <v>6.071E-2</v>
      </c>
      <c r="U238" s="1">
        <v>0.81610000000000005</v>
      </c>
      <c r="V238" s="1">
        <v>2.129</v>
      </c>
      <c r="W238" s="1">
        <v>6.0759999999999996</v>
      </c>
      <c r="X238" s="1">
        <v>87.17</v>
      </c>
      <c r="Y238" s="1">
        <v>6.4549999999999998E-3</v>
      </c>
      <c r="Z238" s="1">
        <v>1.797E-2</v>
      </c>
      <c r="AA238" s="1">
        <v>4.5019999999999998E-2</v>
      </c>
      <c r="AB238" s="1">
        <v>1.7440000000000001E-2</v>
      </c>
      <c r="AC238" s="1">
        <v>1.8290000000000001E-2</v>
      </c>
      <c r="AD238" s="1">
        <v>3.7330000000000002E-3</v>
      </c>
      <c r="AE238" s="1">
        <v>20.99</v>
      </c>
      <c r="AF238" s="1">
        <v>33.15</v>
      </c>
      <c r="AG238" s="1">
        <v>143.19999999999999</v>
      </c>
      <c r="AH238" s="1">
        <v>1362</v>
      </c>
      <c r="AI238" s="1">
        <v>0.1449</v>
      </c>
      <c r="AJ238" s="1">
        <v>0.20530000000000001</v>
      </c>
      <c r="AK238" s="1">
        <v>0.39200000000000002</v>
      </c>
      <c r="AL238" s="1">
        <v>0.1827</v>
      </c>
      <c r="AM238" s="1">
        <v>0.26229999999999998</v>
      </c>
      <c r="AN238" s="1">
        <v>7.5990000000000002E-2</v>
      </c>
    </row>
    <row r="239" spans="1:40" s="1" customFormat="1" ht="15" x14ac:dyDescent="0.25">
      <c r="A239" s="1">
        <v>897604</v>
      </c>
      <c r="B239" s="1" t="s">
        <v>37</v>
      </c>
      <c r="C239" s="1">
        <v>12.99</v>
      </c>
      <c r="D239" s="1">
        <v>14.23</v>
      </c>
      <c r="E239" s="2"/>
      <c r="F239" s="2"/>
      <c r="G239" s="2"/>
      <c r="H239" s="2"/>
      <c r="I239" s="2"/>
      <c r="J239" s="2"/>
      <c r="K239" s="2"/>
      <c r="L239" s="2"/>
      <c r="M239" s="1">
        <v>84.08</v>
      </c>
      <c r="N239" s="1">
        <v>514.29999999999995</v>
      </c>
      <c r="O239" s="1">
        <v>9.4619999999999996E-2</v>
      </c>
      <c r="P239" s="1">
        <v>9.9650000000000002E-2</v>
      </c>
      <c r="Q239" s="1">
        <v>3.7379999999999997E-2</v>
      </c>
      <c r="R239" s="1">
        <v>2.0979999999999999E-2</v>
      </c>
      <c r="S239" s="1">
        <v>0.16520000000000001</v>
      </c>
      <c r="T239" s="1">
        <v>7.238E-2</v>
      </c>
      <c r="U239" s="1">
        <v>0.18140000000000001</v>
      </c>
      <c r="V239" s="1">
        <v>0.64119999999999999</v>
      </c>
      <c r="W239" s="1">
        <v>0.92190000000000005</v>
      </c>
      <c r="X239" s="1">
        <v>14.41</v>
      </c>
      <c r="Y239" s="1">
        <v>5.2310000000000004E-3</v>
      </c>
      <c r="Z239" s="1">
        <v>2.3050000000000001E-2</v>
      </c>
      <c r="AA239" s="1">
        <v>3.1130000000000001E-2</v>
      </c>
      <c r="AB239" s="1">
        <v>7.3150000000000003E-3</v>
      </c>
      <c r="AC239" s="1">
        <v>1.6389999999999998E-2</v>
      </c>
      <c r="AD239" s="1">
        <v>5.7010000000000003E-3</v>
      </c>
      <c r="AE239" s="1">
        <v>13.72</v>
      </c>
      <c r="AF239" s="1">
        <v>16.91</v>
      </c>
      <c r="AG239" s="1">
        <v>87.38</v>
      </c>
      <c r="AH239" s="1">
        <v>576</v>
      </c>
      <c r="AI239" s="1">
        <v>0.1142</v>
      </c>
      <c r="AJ239" s="1">
        <v>0.19750000000000001</v>
      </c>
      <c r="AK239" s="1">
        <v>0.14499999999999999</v>
      </c>
      <c r="AL239" s="1">
        <v>5.8500000000000003E-2</v>
      </c>
      <c r="AM239" s="1">
        <v>0.2432</v>
      </c>
      <c r="AN239" s="1">
        <v>0.1009</v>
      </c>
    </row>
    <row r="240" spans="1:40" s="1" customFormat="1" ht="15" x14ac:dyDescent="0.25">
      <c r="A240" s="1">
        <v>897630</v>
      </c>
      <c r="B240" s="1" t="s">
        <v>36</v>
      </c>
      <c r="C240" s="1">
        <v>18.77</v>
      </c>
      <c r="D240" s="1">
        <v>21.43</v>
      </c>
      <c r="E240" s="2"/>
      <c r="F240" s="2"/>
      <c r="G240" s="2"/>
      <c r="H240" s="2"/>
      <c r="I240" s="2"/>
      <c r="J240" s="2"/>
      <c r="K240" s="2"/>
      <c r="L240" s="2"/>
      <c r="M240" s="1">
        <v>122.9</v>
      </c>
      <c r="N240" s="1">
        <v>1092</v>
      </c>
      <c r="O240" s="1">
        <v>9.1160000000000005E-2</v>
      </c>
      <c r="P240" s="1">
        <v>0.14019999999999999</v>
      </c>
      <c r="Q240" s="1">
        <v>0.106</v>
      </c>
      <c r="R240" s="1">
        <v>6.0900000000000003E-2</v>
      </c>
      <c r="S240" s="1">
        <v>0.1953</v>
      </c>
      <c r="T240" s="1">
        <v>6.0830000000000002E-2</v>
      </c>
      <c r="U240" s="1">
        <v>0.64219999999999999</v>
      </c>
      <c r="V240" s="1">
        <v>1.53</v>
      </c>
      <c r="W240" s="1">
        <v>4.3689999999999998</v>
      </c>
      <c r="X240" s="1">
        <v>88.25</v>
      </c>
      <c r="Y240" s="1">
        <v>7.548E-3</v>
      </c>
      <c r="Z240" s="1">
        <v>3.8969999999999998E-2</v>
      </c>
      <c r="AA240" s="1">
        <v>3.9140000000000001E-2</v>
      </c>
      <c r="AB240" s="1">
        <v>1.8159999999999999E-2</v>
      </c>
      <c r="AC240" s="1">
        <v>2.1680000000000001E-2</v>
      </c>
      <c r="AD240" s="1">
        <v>4.4450000000000002E-3</v>
      </c>
      <c r="AE240" s="1">
        <v>24.54</v>
      </c>
      <c r="AF240" s="1">
        <v>34.369999999999997</v>
      </c>
      <c r="AG240" s="1">
        <v>161.1</v>
      </c>
      <c r="AH240" s="1">
        <v>1873</v>
      </c>
      <c r="AI240" s="1">
        <v>0.14979999999999999</v>
      </c>
      <c r="AJ240" s="1">
        <v>0.48270000000000002</v>
      </c>
      <c r="AK240" s="1">
        <v>0.46339999999999998</v>
      </c>
      <c r="AL240" s="1">
        <v>0.20480000000000001</v>
      </c>
      <c r="AM240" s="1">
        <v>0.3679</v>
      </c>
      <c r="AN240" s="1">
        <v>9.8699999999999996E-2</v>
      </c>
    </row>
    <row r="241" spans="1:40" s="1" customFormat="1" ht="15" x14ac:dyDescent="0.25">
      <c r="A241" s="1">
        <v>897880</v>
      </c>
      <c r="B241" s="1" t="s">
        <v>37</v>
      </c>
      <c r="C241" s="1">
        <v>10.050000000000001</v>
      </c>
      <c r="D241" s="1">
        <v>17.53</v>
      </c>
      <c r="E241" s="2"/>
      <c r="F241" s="2"/>
      <c r="G241" s="2"/>
      <c r="H241" s="2"/>
      <c r="I241" s="2"/>
      <c r="J241" s="2"/>
      <c r="K241" s="2"/>
      <c r="L241" s="2"/>
      <c r="M241" s="1">
        <v>64.41</v>
      </c>
      <c r="N241" s="1">
        <v>310.8</v>
      </c>
      <c r="O241" s="1">
        <v>0.1007</v>
      </c>
      <c r="P241" s="1">
        <v>7.3260000000000006E-2</v>
      </c>
      <c r="Q241" s="1">
        <v>2.511E-2</v>
      </c>
      <c r="R241" s="1">
        <v>1.7749999999999998E-2</v>
      </c>
      <c r="S241" s="1">
        <v>0.189</v>
      </c>
      <c r="T241" s="1">
        <v>6.3310000000000005E-2</v>
      </c>
      <c r="U241" s="1">
        <v>0.26190000000000002</v>
      </c>
      <c r="V241" s="1">
        <v>2.0150000000000001</v>
      </c>
      <c r="W241" s="1">
        <v>1.778</v>
      </c>
      <c r="X241" s="1">
        <v>16.850000000000001</v>
      </c>
      <c r="Y241" s="1">
        <v>7.803E-3</v>
      </c>
      <c r="Z241" s="1">
        <v>1.4489999999999999E-2</v>
      </c>
      <c r="AA241" s="1">
        <v>1.6899999999999998E-2</v>
      </c>
      <c r="AB241" s="1">
        <v>8.0429999999999998E-3</v>
      </c>
      <c r="AC241" s="1">
        <v>2.1000000000000001E-2</v>
      </c>
      <c r="AD241" s="1">
        <v>2.7780000000000001E-3</v>
      </c>
      <c r="AE241" s="1">
        <v>11.16</v>
      </c>
      <c r="AF241" s="1">
        <v>26.84</v>
      </c>
      <c r="AG241" s="1">
        <v>71.98</v>
      </c>
      <c r="AH241" s="1">
        <v>384</v>
      </c>
      <c r="AI241" s="1">
        <v>0.14019999999999999</v>
      </c>
      <c r="AJ241" s="1">
        <v>0.14019999999999999</v>
      </c>
      <c r="AK241" s="1">
        <v>0.1055</v>
      </c>
      <c r="AL241" s="1">
        <v>6.4990000000000006E-2</v>
      </c>
      <c r="AM241" s="1">
        <v>0.28939999999999999</v>
      </c>
      <c r="AN241" s="1">
        <v>7.664E-2</v>
      </c>
    </row>
    <row r="242" spans="1:40" s="1" customFormat="1" ht="15" x14ac:dyDescent="0.25">
      <c r="A242" s="1">
        <v>89812</v>
      </c>
      <c r="B242" s="1" t="s">
        <v>36</v>
      </c>
      <c r="C242" s="1">
        <v>23.51</v>
      </c>
      <c r="D242" s="1">
        <v>24.27</v>
      </c>
      <c r="E242" s="2"/>
      <c r="F242" s="2"/>
      <c r="G242" s="2"/>
      <c r="H242" s="2"/>
      <c r="I242" s="2"/>
      <c r="J242" s="2"/>
      <c r="K242" s="2"/>
      <c r="L242" s="2"/>
      <c r="M242" s="1">
        <v>155.1</v>
      </c>
      <c r="N242" s="1">
        <v>1747</v>
      </c>
      <c r="O242" s="1">
        <v>0.1069</v>
      </c>
      <c r="P242" s="1">
        <v>0.1283</v>
      </c>
      <c r="Q242" s="1">
        <v>0.23080000000000001</v>
      </c>
      <c r="R242" s="1">
        <v>0.14099999999999999</v>
      </c>
      <c r="S242" s="1">
        <v>0.1797</v>
      </c>
      <c r="T242" s="1">
        <v>5.5059999999999998E-2</v>
      </c>
      <c r="U242" s="1">
        <v>1.0089999999999999</v>
      </c>
      <c r="V242" s="1">
        <v>0.92449999999999999</v>
      </c>
      <c r="W242" s="1">
        <v>6.4619999999999997</v>
      </c>
      <c r="X242" s="1">
        <v>164.1</v>
      </c>
      <c r="Y242" s="1">
        <v>6.2919999999999998E-3</v>
      </c>
      <c r="Z242" s="1">
        <v>1.9709999999999998E-2</v>
      </c>
      <c r="AA242" s="1">
        <v>3.5819999999999998E-2</v>
      </c>
      <c r="AB242" s="1">
        <v>1.3010000000000001E-2</v>
      </c>
      <c r="AC242" s="1">
        <v>1.4789999999999999E-2</v>
      </c>
      <c r="AD242" s="1">
        <v>3.1180000000000001E-3</v>
      </c>
      <c r="AE242" s="1">
        <v>30.67</v>
      </c>
      <c r="AF242" s="1">
        <v>30.73</v>
      </c>
      <c r="AG242" s="1">
        <v>202.4</v>
      </c>
      <c r="AH242" s="1">
        <v>2906</v>
      </c>
      <c r="AI242" s="1">
        <v>0.1515</v>
      </c>
      <c r="AJ242" s="1">
        <v>0.26779999999999998</v>
      </c>
      <c r="AK242" s="1">
        <v>0.4819</v>
      </c>
      <c r="AL242" s="1">
        <v>0.2089</v>
      </c>
      <c r="AM242" s="1">
        <v>0.25929999999999997</v>
      </c>
      <c r="AN242" s="1">
        <v>7.7380000000000004E-2</v>
      </c>
    </row>
    <row r="243" spans="1:40" s="1" customFormat="1" ht="15" x14ac:dyDescent="0.25">
      <c r="A243" s="1">
        <v>89813</v>
      </c>
      <c r="B243" s="1" t="s">
        <v>37</v>
      </c>
      <c r="C243" s="1">
        <v>14.42</v>
      </c>
      <c r="D243" s="1">
        <v>16.54</v>
      </c>
      <c r="E243" s="2"/>
      <c r="F243" s="2"/>
      <c r="G243" s="2"/>
      <c r="H243" s="2"/>
      <c r="I243" s="2"/>
      <c r="J243" s="2"/>
      <c r="K243" s="2"/>
      <c r="L243" s="2"/>
      <c r="M243" s="1">
        <v>94.15</v>
      </c>
      <c r="N243" s="1">
        <v>641.20000000000005</v>
      </c>
      <c r="O243" s="1">
        <v>9.7509999999999999E-2</v>
      </c>
      <c r="P243" s="1">
        <v>0.1139</v>
      </c>
      <c r="Q243" s="1">
        <v>8.0070000000000002E-2</v>
      </c>
      <c r="R243" s="1">
        <v>4.2229999999999997E-2</v>
      </c>
      <c r="S243" s="1">
        <v>0.19120000000000001</v>
      </c>
      <c r="T243" s="1">
        <v>6.4119999999999996E-2</v>
      </c>
      <c r="U243" s="1">
        <v>0.34910000000000002</v>
      </c>
      <c r="V243" s="1">
        <v>0.77059999999999995</v>
      </c>
      <c r="W243" s="1">
        <v>2.677</v>
      </c>
      <c r="X243" s="1">
        <v>32.14</v>
      </c>
      <c r="Y243" s="1">
        <v>4.5770000000000003E-3</v>
      </c>
      <c r="Z243" s="1">
        <v>3.0530000000000002E-2</v>
      </c>
      <c r="AA243" s="1">
        <v>3.8399999999999997E-2</v>
      </c>
      <c r="AB243" s="1">
        <v>1.243E-2</v>
      </c>
      <c r="AC243" s="1">
        <v>1.873E-2</v>
      </c>
      <c r="AD243" s="1">
        <v>3.3730000000000001E-3</v>
      </c>
      <c r="AE243" s="1">
        <v>16.670000000000002</v>
      </c>
      <c r="AF243" s="1">
        <v>21.51</v>
      </c>
      <c r="AG243" s="1">
        <v>111.4</v>
      </c>
      <c r="AH243" s="1">
        <v>862.1</v>
      </c>
      <c r="AI243" s="1">
        <v>0.12939999999999999</v>
      </c>
      <c r="AJ243" s="1">
        <v>0.33710000000000001</v>
      </c>
      <c r="AK243" s="1">
        <v>0.3755</v>
      </c>
      <c r="AL243" s="1">
        <v>0.1414</v>
      </c>
      <c r="AM243" s="1">
        <v>0.30530000000000002</v>
      </c>
      <c r="AN243" s="1">
        <v>8.7639999999999996E-2</v>
      </c>
    </row>
    <row r="244" spans="1:40" s="1" customFormat="1" ht="15" x14ac:dyDescent="0.25">
      <c r="A244" s="1">
        <v>898143</v>
      </c>
      <c r="B244" s="1" t="s">
        <v>37</v>
      </c>
      <c r="C244" s="1">
        <v>9.6059999999999999</v>
      </c>
      <c r="D244" s="1">
        <v>16.84</v>
      </c>
      <c r="E244" s="2"/>
      <c r="F244" s="2"/>
      <c r="G244" s="2"/>
      <c r="H244" s="2"/>
      <c r="I244" s="2"/>
      <c r="J244" s="2"/>
      <c r="K244" s="2"/>
      <c r="L244" s="2"/>
      <c r="M244" s="1">
        <v>61.64</v>
      </c>
      <c r="N244" s="1">
        <v>280.5</v>
      </c>
      <c r="O244" s="1">
        <v>8.4809999999999997E-2</v>
      </c>
      <c r="P244" s="1">
        <v>9.2280000000000001E-2</v>
      </c>
      <c r="Q244" s="1">
        <v>8.4220000000000003E-2</v>
      </c>
      <c r="R244" s="1">
        <v>2.2919999999999999E-2</v>
      </c>
      <c r="S244" s="1">
        <v>0.2036</v>
      </c>
      <c r="T244" s="1">
        <v>7.1249999999999994E-2</v>
      </c>
      <c r="U244" s="1">
        <v>0.18440000000000001</v>
      </c>
      <c r="V244" s="1">
        <v>0.94289999999999996</v>
      </c>
      <c r="W244" s="1">
        <v>1.429</v>
      </c>
      <c r="X244" s="1">
        <v>12.07</v>
      </c>
      <c r="Y244" s="1">
        <v>5.9540000000000001E-3</v>
      </c>
      <c r="Z244" s="1">
        <v>3.4709999999999998E-2</v>
      </c>
      <c r="AA244" s="1">
        <v>5.0279999999999998E-2</v>
      </c>
      <c r="AB244" s="1">
        <v>8.5100000000000002E-3</v>
      </c>
      <c r="AC244" s="1">
        <v>1.7500000000000002E-2</v>
      </c>
      <c r="AD244" s="1">
        <v>4.0309999999999999E-3</v>
      </c>
      <c r="AE244" s="1">
        <v>10.75</v>
      </c>
      <c r="AF244" s="1">
        <v>23.07</v>
      </c>
      <c r="AG244" s="1">
        <v>71.25</v>
      </c>
      <c r="AH244" s="1">
        <v>353.6</v>
      </c>
      <c r="AI244" s="1">
        <v>0.12330000000000001</v>
      </c>
      <c r="AJ244" s="1">
        <v>0.34160000000000001</v>
      </c>
      <c r="AK244" s="1">
        <v>0.43409999999999999</v>
      </c>
      <c r="AL244" s="1">
        <v>8.1199999999999994E-2</v>
      </c>
      <c r="AM244" s="1">
        <v>0.29820000000000002</v>
      </c>
      <c r="AN244" s="1">
        <v>9.8250000000000004E-2</v>
      </c>
    </row>
    <row r="245" spans="1:40" s="1" customFormat="1" ht="15" x14ac:dyDescent="0.25">
      <c r="A245" s="1">
        <v>89827</v>
      </c>
      <c r="B245" s="1" t="s">
        <v>37</v>
      </c>
      <c r="C245" s="1">
        <v>11.06</v>
      </c>
      <c r="D245" s="1">
        <v>14.96</v>
      </c>
      <c r="E245" s="2"/>
      <c r="F245" s="2"/>
      <c r="G245" s="2"/>
      <c r="H245" s="2"/>
      <c r="I245" s="2"/>
      <c r="J245" s="2"/>
      <c r="K245" s="2"/>
      <c r="L245" s="2"/>
      <c r="M245" s="1">
        <v>71.489999999999995</v>
      </c>
      <c r="N245" s="1">
        <v>373.9</v>
      </c>
      <c r="O245" s="1">
        <v>0.1033</v>
      </c>
      <c r="P245" s="1">
        <v>9.0969999999999995E-2</v>
      </c>
      <c r="Q245" s="1">
        <v>5.3969999999999997E-2</v>
      </c>
      <c r="R245" s="1">
        <v>3.3410000000000002E-2</v>
      </c>
      <c r="S245" s="1">
        <v>0.17760000000000001</v>
      </c>
      <c r="T245" s="1">
        <v>6.9070000000000006E-2</v>
      </c>
      <c r="U245" s="1">
        <v>0.16009999999999999</v>
      </c>
      <c r="V245" s="1">
        <v>0.82250000000000001</v>
      </c>
      <c r="W245" s="1">
        <v>1.355</v>
      </c>
      <c r="X245" s="1">
        <v>10.8</v>
      </c>
      <c r="Y245" s="1">
        <v>7.4159999999999998E-3</v>
      </c>
      <c r="Z245" s="1">
        <v>1.8769999999999998E-2</v>
      </c>
      <c r="AA245" s="1">
        <v>2.758E-2</v>
      </c>
      <c r="AB245" s="1">
        <v>1.01E-2</v>
      </c>
      <c r="AC245" s="1">
        <v>2.3480000000000001E-2</v>
      </c>
      <c r="AD245" s="1">
        <v>2.9169999999999999E-3</v>
      </c>
      <c r="AE245" s="1">
        <v>11.92</v>
      </c>
      <c r="AF245" s="1">
        <v>19.899999999999999</v>
      </c>
      <c r="AG245" s="1">
        <v>79.760000000000005</v>
      </c>
      <c r="AH245" s="1">
        <v>440</v>
      </c>
      <c r="AI245" s="1">
        <v>0.14180000000000001</v>
      </c>
      <c r="AJ245" s="1">
        <v>0.221</v>
      </c>
      <c r="AK245" s="1">
        <v>0.22989999999999999</v>
      </c>
      <c r="AL245" s="1">
        <v>0.1075</v>
      </c>
      <c r="AM245" s="1">
        <v>0.3301</v>
      </c>
      <c r="AN245" s="1">
        <v>9.0800000000000006E-2</v>
      </c>
    </row>
    <row r="246" spans="1:40" s="1" customFormat="1" ht="15" x14ac:dyDescent="0.25">
      <c r="A246" s="1">
        <v>898431</v>
      </c>
      <c r="B246" s="1" t="s">
        <v>36</v>
      </c>
      <c r="C246" s="1">
        <v>19.68</v>
      </c>
      <c r="D246" s="1">
        <v>21.68</v>
      </c>
      <c r="E246" s="2"/>
      <c r="F246" s="2"/>
      <c r="G246" s="2"/>
      <c r="H246" s="2"/>
      <c r="I246" s="2"/>
      <c r="J246" s="2"/>
      <c r="K246" s="2"/>
      <c r="L246" s="2"/>
      <c r="M246" s="1">
        <v>129.9</v>
      </c>
      <c r="N246" s="1">
        <v>1194</v>
      </c>
      <c r="O246" s="1">
        <v>9.7970000000000002E-2</v>
      </c>
      <c r="P246" s="1">
        <v>0.13389999999999999</v>
      </c>
      <c r="Q246" s="1">
        <v>0.18629999999999999</v>
      </c>
      <c r="R246" s="1">
        <v>0.1103</v>
      </c>
      <c r="S246" s="1">
        <v>0.2082</v>
      </c>
      <c r="T246" s="1">
        <v>5.7149999999999999E-2</v>
      </c>
      <c r="U246" s="1">
        <v>0.62260000000000004</v>
      </c>
      <c r="V246" s="1">
        <v>2.2839999999999998</v>
      </c>
      <c r="W246" s="1">
        <v>5.173</v>
      </c>
      <c r="X246" s="1">
        <v>67.66</v>
      </c>
      <c r="Y246" s="1">
        <v>4.7559999999999998E-3</v>
      </c>
      <c r="Z246" s="1">
        <v>3.3680000000000002E-2</v>
      </c>
      <c r="AA246" s="1">
        <v>4.3450000000000003E-2</v>
      </c>
      <c r="AB246" s="1">
        <v>1.806E-2</v>
      </c>
      <c r="AC246" s="1">
        <v>3.7560000000000003E-2</v>
      </c>
      <c r="AD246" s="1">
        <v>3.2880000000000001E-3</v>
      </c>
      <c r="AE246" s="1">
        <v>22.75</v>
      </c>
      <c r="AF246" s="1">
        <v>34.659999999999997</v>
      </c>
      <c r="AG246" s="1">
        <v>157.6</v>
      </c>
      <c r="AH246" s="1">
        <v>1540</v>
      </c>
      <c r="AI246" s="1">
        <v>0.12180000000000001</v>
      </c>
      <c r="AJ246" s="1">
        <v>0.3458</v>
      </c>
      <c r="AK246" s="1">
        <v>0.47339999999999999</v>
      </c>
      <c r="AL246" s="1">
        <v>0.22550000000000001</v>
      </c>
      <c r="AM246" s="1">
        <v>0.40450000000000003</v>
      </c>
      <c r="AN246" s="1">
        <v>7.918E-2</v>
      </c>
    </row>
    <row r="247" spans="1:40" s="1" customFormat="1" ht="15" x14ac:dyDescent="0.25">
      <c r="A247" s="1">
        <v>89864002</v>
      </c>
      <c r="B247" s="1" t="s">
        <v>37</v>
      </c>
      <c r="C247" s="1">
        <v>11.71</v>
      </c>
      <c r="D247" s="1">
        <v>15.45</v>
      </c>
      <c r="E247" s="2"/>
      <c r="F247" s="2"/>
      <c r="G247" s="2"/>
      <c r="H247" s="2"/>
      <c r="I247" s="2"/>
      <c r="J247" s="2"/>
      <c r="K247" s="2"/>
      <c r="L247" s="2"/>
      <c r="M247" s="1">
        <v>75.03</v>
      </c>
      <c r="N247" s="1">
        <v>420.3</v>
      </c>
      <c r="O247" s="1">
        <v>0.115</v>
      </c>
      <c r="P247" s="1">
        <v>7.281E-2</v>
      </c>
      <c r="Q247" s="1">
        <v>4.0059999999999998E-2</v>
      </c>
      <c r="R247" s="1">
        <v>3.2500000000000001E-2</v>
      </c>
      <c r="S247" s="1">
        <v>0.2009</v>
      </c>
      <c r="T247" s="1">
        <v>6.5060000000000007E-2</v>
      </c>
      <c r="U247" s="1">
        <v>0.34460000000000002</v>
      </c>
      <c r="V247" s="1">
        <v>0.73950000000000005</v>
      </c>
      <c r="W247" s="1">
        <v>2.355</v>
      </c>
      <c r="X247" s="1">
        <v>24.53</v>
      </c>
      <c r="Y247" s="1">
        <v>9.5359999999999993E-3</v>
      </c>
      <c r="Z247" s="1">
        <v>1.0970000000000001E-2</v>
      </c>
      <c r="AA247" s="1">
        <v>1.651E-2</v>
      </c>
      <c r="AB247" s="1">
        <v>1.1209999999999999E-2</v>
      </c>
      <c r="AC247" s="1">
        <v>1.9529999999999999E-2</v>
      </c>
      <c r="AD247" s="1">
        <v>3.0999999999999999E-3</v>
      </c>
      <c r="AE247" s="1">
        <v>13.06</v>
      </c>
      <c r="AF247" s="1">
        <v>18.16</v>
      </c>
      <c r="AG247" s="1">
        <v>84.16</v>
      </c>
      <c r="AH247" s="1">
        <v>516.4</v>
      </c>
      <c r="AI247" s="1">
        <v>0.14599999999999999</v>
      </c>
      <c r="AJ247" s="1">
        <v>0.1115</v>
      </c>
      <c r="AK247" s="1">
        <v>0.1087</v>
      </c>
      <c r="AL247" s="1">
        <v>7.8640000000000002E-2</v>
      </c>
      <c r="AM247" s="1">
        <v>0.27650000000000002</v>
      </c>
      <c r="AN247" s="1">
        <v>7.8060000000000004E-2</v>
      </c>
    </row>
    <row r="248" spans="1:40" s="1" customFormat="1" ht="15" x14ac:dyDescent="0.25">
      <c r="A248" s="1">
        <v>898677</v>
      </c>
      <c r="B248" s="1" t="s">
        <v>37</v>
      </c>
      <c r="C248" s="1">
        <v>10.26</v>
      </c>
      <c r="D248" s="1">
        <v>14.71</v>
      </c>
      <c r="E248" s="2"/>
      <c r="F248" s="2"/>
      <c r="G248" s="2"/>
      <c r="H248" s="2"/>
      <c r="I248" s="2"/>
      <c r="J248" s="2"/>
      <c r="K248" s="2"/>
      <c r="L248" s="2"/>
      <c r="M248" s="1">
        <v>66.2</v>
      </c>
      <c r="N248" s="1">
        <v>321.60000000000002</v>
      </c>
      <c r="O248" s="1">
        <v>9.8820000000000005E-2</v>
      </c>
      <c r="P248" s="1">
        <v>9.1590000000000005E-2</v>
      </c>
      <c r="Q248" s="1">
        <v>3.5810000000000002E-2</v>
      </c>
      <c r="R248" s="1">
        <v>2.0369999999999999E-2</v>
      </c>
      <c r="S248" s="1">
        <v>0.1633</v>
      </c>
      <c r="T248" s="1">
        <v>7.0050000000000001E-2</v>
      </c>
      <c r="U248" s="1">
        <v>0.33800000000000002</v>
      </c>
      <c r="V248" s="1">
        <v>2.5089999999999999</v>
      </c>
      <c r="W248" s="1">
        <v>2.3940000000000001</v>
      </c>
      <c r="X248" s="1">
        <v>19.329999999999998</v>
      </c>
      <c r="Y248" s="1">
        <v>1.736E-2</v>
      </c>
      <c r="Z248" s="1">
        <v>4.6710000000000002E-2</v>
      </c>
      <c r="AA248" s="1">
        <v>2.6110000000000001E-2</v>
      </c>
      <c r="AB248" s="1">
        <v>1.2959999999999999E-2</v>
      </c>
      <c r="AC248" s="1">
        <v>3.6749999999999998E-2</v>
      </c>
      <c r="AD248" s="1">
        <v>6.7580000000000001E-3</v>
      </c>
      <c r="AE248" s="1">
        <v>10.88</v>
      </c>
      <c r="AF248" s="1">
        <v>19.48</v>
      </c>
      <c r="AG248" s="1">
        <v>70.89</v>
      </c>
      <c r="AH248" s="1">
        <v>357.1</v>
      </c>
      <c r="AI248" s="1">
        <v>0.13600000000000001</v>
      </c>
      <c r="AJ248" s="1">
        <v>0.1636</v>
      </c>
      <c r="AK248" s="1">
        <v>7.1620000000000003E-2</v>
      </c>
      <c r="AL248" s="1">
        <v>4.0739999999999998E-2</v>
      </c>
      <c r="AM248" s="1">
        <v>0.24340000000000001</v>
      </c>
      <c r="AN248" s="1">
        <v>8.4879999999999997E-2</v>
      </c>
    </row>
    <row r="249" spans="1:40" s="1" customFormat="1" ht="15" x14ac:dyDescent="0.25">
      <c r="A249" s="1">
        <v>898678</v>
      </c>
      <c r="B249" s="1" t="s">
        <v>37</v>
      </c>
      <c r="C249" s="1">
        <v>12.06</v>
      </c>
      <c r="D249" s="1">
        <v>18.899999999999999</v>
      </c>
      <c r="E249" s="2"/>
      <c r="F249" s="2"/>
      <c r="G249" s="2"/>
      <c r="H249" s="2"/>
      <c r="I249" s="2"/>
      <c r="J249" s="2"/>
      <c r="K249" s="2"/>
      <c r="L249" s="2"/>
      <c r="M249" s="1">
        <v>76.66</v>
      </c>
      <c r="N249" s="1">
        <v>445.3</v>
      </c>
      <c r="O249" s="1">
        <v>8.3860000000000004E-2</v>
      </c>
      <c r="P249" s="1">
        <v>5.7939999999999998E-2</v>
      </c>
      <c r="Q249" s="1">
        <v>7.5100000000000002E-3</v>
      </c>
      <c r="R249" s="1">
        <v>8.4880000000000008E-3</v>
      </c>
      <c r="S249" s="1">
        <v>0.1555</v>
      </c>
      <c r="T249" s="1">
        <v>6.0479999999999999E-2</v>
      </c>
      <c r="U249" s="1">
        <v>0.24299999999999999</v>
      </c>
      <c r="V249" s="1">
        <v>1.1519999999999999</v>
      </c>
      <c r="W249" s="1">
        <v>1.5589999999999999</v>
      </c>
      <c r="X249" s="1">
        <v>18.02</v>
      </c>
      <c r="Y249" s="1">
        <v>7.1799999999999998E-3</v>
      </c>
      <c r="Z249" s="1">
        <v>1.0959999999999999E-2</v>
      </c>
      <c r="AA249" s="1">
        <v>5.8320000000000004E-3</v>
      </c>
      <c r="AB249" s="1">
        <v>5.4949999999999999E-3</v>
      </c>
      <c r="AC249" s="1">
        <v>1.9820000000000001E-2</v>
      </c>
      <c r="AD249" s="1">
        <v>2.7539999999999999E-3</v>
      </c>
      <c r="AE249" s="1">
        <v>13.64</v>
      </c>
      <c r="AF249" s="1">
        <v>27.06</v>
      </c>
      <c r="AG249" s="1">
        <v>86.54</v>
      </c>
      <c r="AH249" s="1">
        <v>562.6</v>
      </c>
      <c r="AI249" s="1">
        <v>0.12889999999999999</v>
      </c>
      <c r="AJ249" s="1">
        <v>0.13519999999999999</v>
      </c>
      <c r="AK249" s="1">
        <v>4.5060000000000003E-2</v>
      </c>
      <c r="AL249" s="1">
        <v>5.0930000000000003E-2</v>
      </c>
      <c r="AM249" s="1">
        <v>0.28799999999999998</v>
      </c>
      <c r="AN249" s="1">
        <v>8.0829999999999999E-2</v>
      </c>
    </row>
    <row r="250" spans="1:40" s="1" customFormat="1" ht="15" x14ac:dyDescent="0.25">
      <c r="A250" s="1">
        <v>89869</v>
      </c>
      <c r="B250" s="1" t="s">
        <v>37</v>
      </c>
      <c r="C250" s="1">
        <v>14.76</v>
      </c>
      <c r="D250" s="1">
        <v>14.74</v>
      </c>
      <c r="E250" s="2"/>
      <c r="F250" s="2"/>
      <c r="G250" s="2"/>
      <c r="H250" s="2"/>
      <c r="I250" s="2"/>
      <c r="J250" s="2"/>
      <c r="K250" s="2"/>
      <c r="L250" s="2"/>
      <c r="M250" s="1">
        <v>94.87</v>
      </c>
      <c r="N250" s="1">
        <v>668.7</v>
      </c>
      <c r="O250" s="1">
        <v>8.8749999999999996E-2</v>
      </c>
      <c r="P250" s="1">
        <v>7.7799999999999994E-2</v>
      </c>
      <c r="Q250" s="1">
        <v>4.6080000000000003E-2</v>
      </c>
      <c r="R250" s="1">
        <v>3.5279999999999999E-2</v>
      </c>
      <c r="S250" s="1">
        <v>0.15210000000000001</v>
      </c>
      <c r="T250" s="1">
        <v>5.9119999999999999E-2</v>
      </c>
      <c r="U250" s="1">
        <v>0.34279999999999999</v>
      </c>
      <c r="V250" s="1">
        <v>0.39810000000000001</v>
      </c>
      <c r="W250" s="1">
        <v>2.5369999999999999</v>
      </c>
      <c r="X250" s="1">
        <v>29.06</v>
      </c>
      <c r="Y250" s="1">
        <v>4.7320000000000001E-3</v>
      </c>
      <c r="Z250" s="1">
        <v>1.506E-2</v>
      </c>
      <c r="AA250" s="1">
        <v>1.8550000000000001E-2</v>
      </c>
      <c r="AB250" s="1">
        <v>1.0670000000000001E-2</v>
      </c>
      <c r="AC250" s="1">
        <v>2.163E-2</v>
      </c>
      <c r="AD250" s="1">
        <v>2.7829999999999999E-3</v>
      </c>
      <c r="AE250" s="1">
        <v>17.27</v>
      </c>
      <c r="AF250" s="1">
        <v>17.93</v>
      </c>
      <c r="AG250" s="1">
        <v>114.2</v>
      </c>
      <c r="AH250" s="1">
        <v>880.8</v>
      </c>
      <c r="AI250" s="1">
        <v>0.122</v>
      </c>
      <c r="AJ250" s="1">
        <v>0.2009</v>
      </c>
      <c r="AK250" s="1">
        <v>0.21510000000000001</v>
      </c>
      <c r="AL250" s="1">
        <v>0.12509999999999999</v>
      </c>
      <c r="AM250" s="1">
        <v>0.31090000000000001</v>
      </c>
      <c r="AN250" s="1">
        <v>8.1869999999999998E-2</v>
      </c>
    </row>
    <row r="251" spans="1:40" s="1" customFormat="1" ht="15" x14ac:dyDescent="0.25">
      <c r="A251" s="1">
        <v>898690</v>
      </c>
      <c r="B251" s="1" t="s">
        <v>37</v>
      </c>
      <c r="C251" s="1">
        <v>11.47</v>
      </c>
      <c r="D251" s="1">
        <v>16.03</v>
      </c>
      <c r="E251" s="2"/>
      <c r="F251" s="2"/>
      <c r="G251" s="2"/>
      <c r="H251" s="2"/>
      <c r="I251" s="2"/>
      <c r="J251" s="2"/>
      <c r="K251" s="2"/>
      <c r="L251" s="2"/>
      <c r="M251" s="1">
        <v>73.02</v>
      </c>
      <c r="N251" s="1">
        <v>402.7</v>
      </c>
      <c r="O251" s="1">
        <v>9.0759999999999993E-2</v>
      </c>
      <c r="P251" s="1">
        <v>5.8860000000000003E-2</v>
      </c>
      <c r="Q251" s="1">
        <v>2.5870000000000001E-2</v>
      </c>
      <c r="R251" s="1">
        <v>2.3220000000000001E-2</v>
      </c>
      <c r="S251" s="1">
        <v>0.16339999999999999</v>
      </c>
      <c r="T251" s="1">
        <v>6.3719999999999999E-2</v>
      </c>
      <c r="U251" s="1">
        <v>0.17069999999999999</v>
      </c>
      <c r="V251" s="1">
        <v>0.76149999999999995</v>
      </c>
      <c r="W251" s="1">
        <v>1.0900000000000001</v>
      </c>
      <c r="X251" s="1">
        <v>12.25</v>
      </c>
      <c r="Y251" s="1">
        <v>9.1909999999999995E-3</v>
      </c>
      <c r="Z251" s="1">
        <v>8.548E-3</v>
      </c>
      <c r="AA251" s="1">
        <v>9.4000000000000004E-3</v>
      </c>
      <c r="AB251" s="1">
        <v>6.3150000000000003E-3</v>
      </c>
      <c r="AC251" s="1">
        <v>1.755E-2</v>
      </c>
      <c r="AD251" s="1">
        <v>3.009E-3</v>
      </c>
      <c r="AE251" s="1">
        <v>12.51</v>
      </c>
      <c r="AF251" s="1">
        <v>20.79</v>
      </c>
      <c r="AG251" s="1">
        <v>79.67</v>
      </c>
      <c r="AH251" s="1">
        <v>475.8</v>
      </c>
      <c r="AI251" s="1">
        <v>0.15310000000000001</v>
      </c>
      <c r="AJ251" s="1">
        <v>0.112</v>
      </c>
      <c r="AK251" s="1">
        <v>9.8229999999999998E-2</v>
      </c>
      <c r="AL251" s="1">
        <v>6.5479999999999997E-2</v>
      </c>
      <c r="AM251" s="1">
        <v>0.28510000000000002</v>
      </c>
      <c r="AN251" s="1">
        <v>8.763E-2</v>
      </c>
    </row>
    <row r="252" spans="1:40" s="1" customFormat="1" ht="15" x14ac:dyDescent="0.25">
      <c r="A252" s="1">
        <v>899147</v>
      </c>
      <c r="B252" s="1" t="s">
        <v>37</v>
      </c>
      <c r="C252" s="1">
        <v>11.95</v>
      </c>
      <c r="D252" s="1">
        <v>14.96</v>
      </c>
      <c r="E252" s="2"/>
      <c r="F252" s="2"/>
      <c r="G252" s="2"/>
      <c r="H252" s="2"/>
      <c r="I252" s="2"/>
      <c r="J252" s="2"/>
      <c r="K252" s="2"/>
      <c r="L252" s="2"/>
      <c r="M252" s="1">
        <v>77.23</v>
      </c>
      <c r="N252" s="1">
        <v>426.7</v>
      </c>
      <c r="O252" s="1">
        <v>0.1158</v>
      </c>
      <c r="P252" s="1">
        <v>0.1206</v>
      </c>
      <c r="Q252" s="1">
        <v>1.171E-2</v>
      </c>
      <c r="R252" s="1">
        <v>1.787E-2</v>
      </c>
      <c r="S252" s="1">
        <v>0.24590000000000001</v>
      </c>
      <c r="T252" s="1">
        <v>6.5809999999999994E-2</v>
      </c>
      <c r="U252" s="1">
        <v>0.36099999999999999</v>
      </c>
      <c r="V252" s="1">
        <v>1.05</v>
      </c>
      <c r="W252" s="1">
        <v>2.4550000000000001</v>
      </c>
      <c r="X252" s="1">
        <v>26.65</v>
      </c>
      <c r="Y252" s="1">
        <v>5.7999999999999996E-3</v>
      </c>
      <c r="Z252" s="1">
        <v>2.4170000000000001E-2</v>
      </c>
      <c r="AA252" s="1">
        <v>7.816E-3</v>
      </c>
      <c r="AB252" s="1">
        <v>1.052E-2</v>
      </c>
      <c r="AC252" s="1">
        <v>2.734E-2</v>
      </c>
      <c r="AD252" s="1">
        <v>3.114E-3</v>
      </c>
      <c r="AE252" s="1">
        <v>12.81</v>
      </c>
      <c r="AF252" s="1">
        <v>17.72</v>
      </c>
      <c r="AG252" s="1">
        <v>83.09</v>
      </c>
      <c r="AH252" s="1">
        <v>496.2</v>
      </c>
      <c r="AI252" s="1">
        <v>0.1293</v>
      </c>
      <c r="AJ252" s="1">
        <v>0.1885</v>
      </c>
      <c r="AK252" s="1">
        <v>3.1220000000000001E-2</v>
      </c>
      <c r="AL252" s="1">
        <v>4.7660000000000001E-2</v>
      </c>
      <c r="AM252" s="1">
        <v>0.31240000000000001</v>
      </c>
      <c r="AN252" s="1">
        <v>7.5899999999999995E-2</v>
      </c>
    </row>
    <row r="253" spans="1:40" s="1" customFormat="1" ht="15" x14ac:dyDescent="0.25">
      <c r="A253" s="1">
        <v>899187</v>
      </c>
      <c r="B253" s="1" t="s">
        <v>37</v>
      </c>
      <c r="C253" s="1">
        <v>11.66</v>
      </c>
      <c r="D253" s="1">
        <v>17.07</v>
      </c>
      <c r="E253" s="2"/>
      <c r="F253" s="2"/>
      <c r="G253" s="2"/>
      <c r="H253" s="2"/>
      <c r="I253" s="2"/>
      <c r="J253" s="2"/>
      <c r="K253" s="2"/>
      <c r="L253" s="2"/>
      <c r="M253" s="1">
        <v>73.7</v>
      </c>
      <c r="N253" s="1">
        <v>421</v>
      </c>
      <c r="O253" s="1">
        <v>7.5609999999999997E-2</v>
      </c>
      <c r="P253" s="1">
        <v>3.6299999999999999E-2</v>
      </c>
      <c r="Q253" s="1">
        <v>8.3059999999999991E-3</v>
      </c>
      <c r="R253" s="1">
        <v>1.162E-2</v>
      </c>
      <c r="S253" s="1">
        <v>0.1671</v>
      </c>
      <c r="T253" s="1">
        <v>5.731E-2</v>
      </c>
      <c r="U253" s="1">
        <v>0.35339999999999999</v>
      </c>
      <c r="V253" s="1">
        <v>0.6724</v>
      </c>
      <c r="W253" s="1">
        <v>2.2250000000000001</v>
      </c>
      <c r="X253" s="1">
        <v>26.03</v>
      </c>
      <c r="Y253" s="1">
        <v>6.5830000000000003E-3</v>
      </c>
      <c r="Z253" s="1">
        <v>6.9909999999999998E-3</v>
      </c>
      <c r="AA253" s="1">
        <v>5.9490000000000003E-3</v>
      </c>
      <c r="AB253" s="1">
        <v>6.2960000000000004E-3</v>
      </c>
      <c r="AC253" s="1">
        <v>2.2159999999999999E-2</v>
      </c>
      <c r="AD253" s="1">
        <v>2.6679999999999998E-3</v>
      </c>
      <c r="AE253" s="1">
        <v>13.28</v>
      </c>
      <c r="AF253" s="1">
        <v>19.739999999999998</v>
      </c>
      <c r="AG253" s="1">
        <v>83.61</v>
      </c>
      <c r="AH253" s="1">
        <v>542.5</v>
      </c>
      <c r="AI253" s="1">
        <v>9.9580000000000002E-2</v>
      </c>
      <c r="AJ253" s="1">
        <v>6.4759999999999998E-2</v>
      </c>
      <c r="AK253" s="1">
        <v>3.0460000000000001E-2</v>
      </c>
      <c r="AL253" s="1">
        <v>4.2619999999999998E-2</v>
      </c>
      <c r="AM253" s="1">
        <v>0.27310000000000001</v>
      </c>
      <c r="AN253" s="1">
        <v>6.8250000000000005E-2</v>
      </c>
    </row>
    <row r="254" spans="1:40" s="1" customFormat="1" ht="15" x14ac:dyDescent="0.25">
      <c r="A254" s="1">
        <v>899667</v>
      </c>
      <c r="B254" s="1" t="s">
        <v>36</v>
      </c>
      <c r="C254" s="1">
        <v>15.75</v>
      </c>
      <c r="D254" s="1">
        <v>19.22</v>
      </c>
      <c r="E254" s="2"/>
      <c r="F254" s="2"/>
      <c r="G254" s="2"/>
      <c r="H254" s="2"/>
      <c r="I254" s="2"/>
      <c r="J254" s="2"/>
      <c r="K254" s="2"/>
      <c r="L254" s="2"/>
      <c r="M254" s="1">
        <v>107.1</v>
      </c>
      <c r="N254" s="1">
        <v>758.6</v>
      </c>
      <c r="O254" s="1">
        <v>0.12429999999999999</v>
      </c>
      <c r="P254" s="1">
        <v>0.2364</v>
      </c>
      <c r="Q254" s="1">
        <v>0.29139999999999999</v>
      </c>
      <c r="R254" s="1">
        <v>0.1242</v>
      </c>
      <c r="S254" s="1">
        <v>0.23749999999999999</v>
      </c>
      <c r="T254" s="1">
        <v>7.603E-2</v>
      </c>
      <c r="U254" s="1">
        <v>0.52039999999999997</v>
      </c>
      <c r="V254" s="1">
        <v>1.3240000000000001</v>
      </c>
      <c r="W254" s="1">
        <v>3.4769999999999999</v>
      </c>
      <c r="X254" s="1">
        <v>51.22</v>
      </c>
      <c r="Y254" s="1">
        <v>9.3290000000000005E-3</v>
      </c>
      <c r="Z254" s="1">
        <v>6.5589999999999996E-2</v>
      </c>
      <c r="AA254" s="1">
        <v>9.9529999999999993E-2</v>
      </c>
      <c r="AB254" s="1">
        <v>2.283E-2</v>
      </c>
      <c r="AC254" s="1">
        <v>5.543E-2</v>
      </c>
      <c r="AD254" s="1">
        <v>7.3299999999999997E-3</v>
      </c>
      <c r="AE254" s="1">
        <v>17.36</v>
      </c>
      <c r="AF254" s="1">
        <v>24.17</v>
      </c>
      <c r="AG254" s="1">
        <v>119.4</v>
      </c>
      <c r="AH254" s="1">
        <v>915.3</v>
      </c>
      <c r="AI254" s="1">
        <v>0.155</v>
      </c>
      <c r="AJ254" s="1">
        <v>0.50460000000000005</v>
      </c>
      <c r="AK254" s="1">
        <v>0.68720000000000003</v>
      </c>
      <c r="AL254" s="1">
        <v>0.2135</v>
      </c>
      <c r="AM254" s="1">
        <v>0.42449999999999999</v>
      </c>
      <c r="AN254" s="1">
        <v>0.105</v>
      </c>
    </row>
    <row r="255" spans="1:40" s="1" customFormat="1" ht="15" x14ac:dyDescent="0.25">
      <c r="A255" s="1">
        <v>899987</v>
      </c>
      <c r="B255" s="1" t="s">
        <v>36</v>
      </c>
      <c r="C255" s="1">
        <v>25.73</v>
      </c>
      <c r="D255" s="1">
        <v>17.46</v>
      </c>
      <c r="E255" s="2"/>
      <c r="F255" s="2"/>
      <c r="G255" s="2"/>
      <c r="H255" s="2"/>
      <c r="I255" s="2"/>
      <c r="J255" s="2"/>
      <c r="K255" s="2"/>
      <c r="L255" s="2"/>
      <c r="M255" s="1">
        <v>174.2</v>
      </c>
      <c r="N255" s="1">
        <v>2010</v>
      </c>
      <c r="O255" s="1">
        <v>0.1149</v>
      </c>
      <c r="P255" s="1">
        <v>0.23630000000000001</v>
      </c>
      <c r="Q255" s="1">
        <v>0.33679999999999999</v>
      </c>
      <c r="R255" s="1">
        <v>0.1913</v>
      </c>
      <c r="S255" s="1">
        <v>0.1956</v>
      </c>
      <c r="T255" s="1">
        <v>6.1210000000000001E-2</v>
      </c>
      <c r="U255" s="1">
        <v>0.99480000000000002</v>
      </c>
      <c r="V255" s="1">
        <v>0.85089999999999999</v>
      </c>
      <c r="W255" s="1">
        <v>7.2220000000000004</v>
      </c>
      <c r="X255" s="1">
        <v>153.1</v>
      </c>
      <c r="Y255" s="1">
        <v>6.3689999999999997E-3</v>
      </c>
      <c r="Z255" s="1">
        <v>4.2430000000000002E-2</v>
      </c>
      <c r="AA255" s="1">
        <v>4.2659999999999997E-2</v>
      </c>
      <c r="AB255" s="1">
        <v>1.508E-2</v>
      </c>
      <c r="AC255" s="1">
        <v>2.3349999999999999E-2</v>
      </c>
      <c r="AD255" s="1">
        <v>3.385E-3</v>
      </c>
      <c r="AE255" s="1">
        <v>33.130000000000003</v>
      </c>
      <c r="AF255" s="1">
        <v>23.58</v>
      </c>
      <c r="AG255" s="1">
        <v>229.3</v>
      </c>
      <c r="AH255" s="1">
        <v>3234</v>
      </c>
      <c r="AI255" s="1">
        <v>0.153</v>
      </c>
      <c r="AJ255" s="1">
        <v>0.59370000000000001</v>
      </c>
      <c r="AK255" s="1">
        <v>0.64510000000000001</v>
      </c>
      <c r="AL255" s="1">
        <v>0.27560000000000001</v>
      </c>
      <c r="AM255" s="1">
        <v>0.36899999999999999</v>
      </c>
      <c r="AN255" s="1">
        <v>8.8150000000000006E-2</v>
      </c>
    </row>
    <row r="256" spans="1:40" s="1" customFormat="1" ht="15" x14ac:dyDescent="0.25">
      <c r="A256" s="1">
        <v>9010018</v>
      </c>
      <c r="B256" s="1" t="s">
        <v>36</v>
      </c>
      <c r="C256" s="1">
        <v>15.08</v>
      </c>
      <c r="D256" s="1">
        <v>25.74</v>
      </c>
      <c r="E256" s="2"/>
      <c r="F256" s="2"/>
      <c r="G256" s="2"/>
      <c r="H256" s="2"/>
      <c r="I256" s="2"/>
      <c r="J256" s="2"/>
      <c r="K256" s="2"/>
      <c r="L256" s="2"/>
      <c r="M256" s="1">
        <v>98</v>
      </c>
      <c r="N256" s="1">
        <v>716.6</v>
      </c>
      <c r="O256" s="1">
        <v>0.1024</v>
      </c>
      <c r="P256" s="1">
        <v>9.7689999999999999E-2</v>
      </c>
      <c r="Q256" s="1">
        <v>0.1235</v>
      </c>
      <c r="R256" s="1">
        <v>6.5530000000000005E-2</v>
      </c>
      <c r="S256" s="1">
        <v>0.16470000000000001</v>
      </c>
      <c r="T256" s="1">
        <v>6.4640000000000003E-2</v>
      </c>
      <c r="U256" s="1">
        <v>0.65339999999999998</v>
      </c>
      <c r="V256" s="1">
        <v>1.506</v>
      </c>
      <c r="W256" s="1">
        <v>4.1740000000000004</v>
      </c>
      <c r="X256" s="1">
        <v>63.37</v>
      </c>
      <c r="Y256" s="1">
        <v>1.052E-2</v>
      </c>
      <c r="Z256" s="1">
        <v>2.4309999999999998E-2</v>
      </c>
      <c r="AA256" s="1">
        <v>4.9119999999999997E-2</v>
      </c>
      <c r="AB256" s="1">
        <v>1.746E-2</v>
      </c>
      <c r="AC256" s="1">
        <v>2.12E-2</v>
      </c>
      <c r="AD256" s="1">
        <v>4.8669999999999998E-3</v>
      </c>
      <c r="AE256" s="1">
        <v>18.510000000000002</v>
      </c>
      <c r="AF256" s="1">
        <v>33.22</v>
      </c>
      <c r="AG256" s="1">
        <v>121.2</v>
      </c>
      <c r="AH256" s="1">
        <v>1050</v>
      </c>
      <c r="AI256" s="1">
        <v>0.16600000000000001</v>
      </c>
      <c r="AJ256" s="1">
        <v>0.2356</v>
      </c>
      <c r="AK256" s="1">
        <v>0.40289999999999998</v>
      </c>
      <c r="AL256" s="1">
        <v>0.15260000000000001</v>
      </c>
      <c r="AM256" s="1">
        <v>0.26540000000000002</v>
      </c>
      <c r="AN256" s="1">
        <v>9.4380000000000006E-2</v>
      </c>
    </row>
    <row r="257" spans="1:40" s="1" customFormat="1" ht="15" x14ac:dyDescent="0.25">
      <c r="A257" s="1">
        <v>901011</v>
      </c>
      <c r="B257" s="1" t="s">
        <v>37</v>
      </c>
      <c r="C257" s="1">
        <v>11.14</v>
      </c>
      <c r="D257" s="1">
        <v>14.07</v>
      </c>
      <c r="E257" s="2"/>
      <c r="F257" s="2"/>
      <c r="G257" s="2"/>
      <c r="H257" s="2"/>
      <c r="I257" s="2"/>
      <c r="J257" s="2"/>
      <c r="K257" s="2"/>
      <c r="L257" s="2"/>
      <c r="M257" s="1">
        <v>71.239999999999995</v>
      </c>
      <c r="N257" s="1">
        <v>384.6</v>
      </c>
      <c r="O257" s="1">
        <v>7.2739999999999999E-2</v>
      </c>
      <c r="P257" s="1">
        <v>6.0639999999999999E-2</v>
      </c>
      <c r="Q257" s="1">
        <v>4.505E-2</v>
      </c>
      <c r="R257" s="1">
        <v>1.4710000000000001E-2</v>
      </c>
      <c r="S257" s="1">
        <v>0.16900000000000001</v>
      </c>
      <c r="T257" s="1">
        <v>6.0830000000000002E-2</v>
      </c>
      <c r="U257" s="1">
        <v>0.42220000000000002</v>
      </c>
      <c r="V257" s="1">
        <v>0.80920000000000003</v>
      </c>
      <c r="W257" s="1">
        <v>3.33</v>
      </c>
      <c r="X257" s="1">
        <v>28.84</v>
      </c>
      <c r="Y257" s="1">
        <v>5.5409999999999999E-3</v>
      </c>
      <c r="Z257" s="1">
        <v>3.3869999999999997E-2</v>
      </c>
      <c r="AA257" s="1">
        <v>4.505E-2</v>
      </c>
      <c r="AB257" s="1">
        <v>1.4710000000000001E-2</v>
      </c>
      <c r="AC257" s="1">
        <v>3.1019999999999999E-2</v>
      </c>
      <c r="AD257" s="1">
        <v>4.8310000000000002E-3</v>
      </c>
      <c r="AE257" s="1">
        <v>12.12</v>
      </c>
      <c r="AF257" s="1">
        <v>15.82</v>
      </c>
      <c r="AG257" s="1">
        <v>79.62</v>
      </c>
      <c r="AH257" s="1">
        <v>453.5</v>
      </c>
      <c r="AI257" s="1">
        <v>8.8639999999999997E-2</v>
      </c>
      <c r="AJ257" s="1">
        <v>0.12559999999999999</v>
      </c>
      <c r="AK257" s="1">
        <v>0.1201</v>
      </c>
      <c r="AL257" s="1">
        <v>3.9219999999999998E-2</v>
      </c>
      <c r="AM257" s="1">
        <v>0.2576</v>
      </c>
      <c r="AN257" s="1">
        <v>7.0180000000000006E-2</v>
      </c>
    </row>
    <row r="258" spans="1:40" s="1" customFormat="1" ht="15" x14ac:dyDescent="0.25">
      <c r="A258" s="1">
        <v>9010258</v>
      </c>
      <c r="B258" s="1" t="s">
        <v>37</v>
      </c>
      <c r="C258" s="1">
        <v>12.56</v>
      </c>
      <c r="D258" s="1">
        <v>19.07</v>
      </c>
      <c r="E258" s="2"/>
      <c r="F258" s="2"/>
      <c r="G258" s="2"/>
      <c r="H258" s="2"/>
      <c r="I258" s="2"/>
      <c r="J258" s="2"/>
      <c r="K258" s="2"/>
      <c r="L258" s="2"/>
      <c r="M258" s="1">
        <v>81.92</v>
      </c>
      <c r="N258" s="1">
        <v>485.8</v>
      </c>
      <c r="O258" s="1">
        <v>8.7599999999999997E-2</v>
      </c>
      <c r="P258" s="1">
        <v>0.1038</v>
      </c>
      <c r="Q258" s="1">
        <v>0.10299999999999999</v>
      </c>
      <c r="R258" s="1">
        <v>4.3909999999999998E-2</v>
      </c>
      <c r="S258" s="1">
        <v>0.15329999999999999</v>
      </c>
      <c r="T258" s="1">
        <v>6.1839999999999999E-2</v>
      </c>
      <c r="U258" s="1">
        <v>0.36020000000000002</v>
      </c>
      <c r="V258" s="1">
        <v>1.478</v>
      </c>
      <c r="W258" s="1">
        <v>3.2120000000000002</v>
      </c>
      <c r="X258" s="1">
        <v>27.49</v>
      </c>
      <c r="Y258" s="1">
        <v>9.8530000000000006E-3</v>
      </c>
      <c r="Z258" s="1">
        <v>4.2349999999999999E-2</v>
      </c>
      <c r="AA258" s="1">
        <v>6.2710000000000002E-2</v>
      </c>
      <c r="AB258" s="1">
        <v>1.966E-2</v>
      </c>
      <c r="AC258" s="1">
        <v>2.639E-2</v>
      </c>
      <c r="AD258" s="1">
        <v>4.2050000000000004E-3</v>
      </c>
      <c r="AE258" s="1">
        <v>13.37</v>
      </c>
      <c r="AF258" s="1">
        <v>22.43</v>
      </c>
      <c r="AG258" s="1">
        <v>89.02</v>
      </c>
      <c r="AH258" s="1">
        <v>547.4</v>
      </c>
      <c r="AI258" s="1">
        <v>0.1096</v>
      </c>
      <c r="AJ258" s="1">
        <v>0.20019999999999999</v>
      </c>
      <c r="AK258" s="1">
        <v>0.23880000000000001</v>
      </c>
      <c r="AL258" s="1">
        <v>9.2649999999999996E-2</v>
      </c>
      <c r="AM258" s="1">
        <v>0.21210000000000001</v>
      </c>
      <c r="AN258" s="1">
        <v>7.1879999999999999E-2</v>
      </c>
    </row>
    <row r="259" spans="1:40" s="1" customFormat="1" ht="15" x14ac:dyDescent="0.25">
      <c r="A259" s="1">
        <v>9010259</v>
      </c>
      <c r="B259" s="1" t="s">
        <v>37</v>
      </c>
      <c r="C259" s="1">
        <v>13.05</v>
      </c>
      <c r="D259" s="1">
        <v>18.59</v>
      </c>
      <c r="E259" s="2"/>
      <c r="F259" s="2"/>
      <c r="G259" s="2"/>
      <c r="H259" s="2"/>
      <c r="I259" s="2"/>
      <c r="J259" s="2"/>
      <c r="K259" s="2"/>
      <c r="L259" s="2"/>
      <c r="M259" s="1">
        <v>85.09</v>
      </c>
      <c r="N259" s="1">
        <v>512</v>
      </c>
      <c r="O259" s="1">
        <v>0.1082</v>
      </c>
      <c r="P259" s="1">
        <v>0.13039999999999999</v>
      </c>
      <c r="Q259" s="1">
        <v>9.6030000000000004E-2</v>
      </c>
      <c r="R259" s="1">
        <v>5.6030000000000003E-2</v>
      </c>
      <c r="S259" s="1">
        <v>0.20349999999999999</v>
      </c>
      <c r="T259" s="1">
        <v>6.5009999999999998E-2</v>
      </c>
      <c r="U259" s="1">
        <v>0.31059999999999999</v>
      </c>
      <c r="V259" s="1">
        <v>1.51</v>
      </c>
      <c r="W259" s="1">
        <v>2.59</v>
      </c>
      <c r="X259" s="1">
        <v>21.57</v>
      </c>
      <c r="Y259" s="1">
        <v>7.8069999999999997E-3</v>
      </c>
      <c r="Z259" s="1">
        <v>3.9320000000000001E-2</v>
      </c>
      <c r="AA259" s="1">
        <v>5.1119999999999999E-2</v>
      </c>
      <c r="AB259" s="1">
        <v>1.8759999999999999E-2</v>
      </c>
      <c r="AC259" s="1">
        <v>2.86E-2</v>
      </c>
      <c r="AD259" s="1">
        <v>5.7149999999999996E-3</v>
      </c>
      <c r="AE259" s="1">
        <v>14.19</v>
      </c>
      <c r="AF259" s="1">
        <v>24.85</v>
      </c>
      <c r="AG259" s="1">
        <v>94.22</v>
      </c>
      <c r="AH259" s="1">
        <v>591.20000000000005</v>
      </c>
      <c r="AI259" s="1">
        <v>0.1343</v>
      </c>
      <c r="AJ259" s="1">
        <v>0.26579999999999998</v>
      </c>
      <c r="AK259" s="1">
        <v>0.25729999999999997</v>
      </c>
      <c r="AL259" s="1">
        <v>0.1258</v>
      </c>
      <c r="AM259" s="1">
        <v>0.31130000000000002</v>
      </c>
      <c r="AN259" s="1">
        <v>8.3169999999999994E-2</v>
      </c>
    </row>
    <row r="260" spans="1:40" s="1" customFormat="1" ht="15" x14ac:dyDescent="0.25">
      <c r="A260" s="1">
        <v>901028</v>
      </c>
      <c r="B260" s="1" t="s">
        <v>37</v>
      </c>
      <c r="C260" s="1">
        <v>13.87</v>
      </c>
      <c r="D260" s="1">
        <v>16.21</v>
      </c>
      <c r="E260" s="2"/>
      <c r="F260" s="2"/>
      <c r="G260" s="2"/>
      <c r="H260" s="2"/>
      <c r="I260" s="2"/>
      <c r="J260" s="2"/>
      <c r="K260" s="2"/>
      <c r="L260" s="2"/>
      <c r="M260" s="1">
        <v>88.52</v>
      </c>
      <c r="N260" s="1">
        <v>593.70000000000005</v>
      </c>
      <c r="O260" s="1">
        <v>8.7429999999999994E-2</v>
      </c>
      <c r="P260" s="1">
        <v>5.4919999999999997E-2</v>
      </c>
      <c r="Q260" s="1">
        <v>1.502E-2</v>
      </c>
      <c r="R260" s="1">
        <v>2.0879999999999999E-2</v>
      </c>
      <c r="S260" s="1">
        <v>0.1424</v>
      </c>
      <c r="T260" s="1">
        <v>5.883E-2</v>
      </c>
      <c r="U260" s="1">
        <v>0.25430000000000003</v>
      </c>
      <c r="V260" s="1">
        <v>1.363</v>
      </c>
      <c r="W260" s="1">
        <v>1.7370000000000001</v>
      </c>
      <c r="X260" s="1">
        <v>20.74</v>
      </c>
      <c r="Y260" s="1">
        <v>5.6379999999999998E-3</v>
      </c>
      <c r="Z260" s="1">
        <v>7.9389999999999999E-3</v>
      </c>
      <c r="AA260" s="1">
        <v>5.254E-3</v>
      </c>
      <c r="AB260" s="1">
        <v>6.0419999999999996E-3</v>
      </c>
      <c r="AC260" s="1">
        <v>1.5440000000000001E-2</v>
      </c>
      <c r="AD260" s="1">
        <v>2.0869999999999999E-3</v>
      </c>
      <c r="AE260" s="1">
        <v>15.11</v>
      </c>
      <c r="AF260" s="1">
        <v>25.58</v>
      </c>
      <c r="AG260" s="1">
        <v>96.74</v>
      </c>
      <c r="AH260" s="1">
        <v>694.4</v>
      </c>
      <c r="AI260" s="1">
        <v>0.1153</v>
      </c>
      <c r="AJ260" s="1">
        <v>0.1008</v>
      </c>
      <c r="AK260" s="1">
        <v>5.2850000000000001E-2</v>
      </c>
      <c r="AL260" s="1">
        <v>5.5559999999999998E-2</v>
      </c>
      <c r="AM260" s="1">
        <v>0.23619999999999999</v>
      </c>
      <c r="AN260" s="1">
        <v>7.1129999999999999E-2</v>
      </c>
    </row>
    <row r="261" spans="1:40" s="1" customFormat="1" ht="15" x14ac:dyDescent="0.25">
      <c r="A261" s="1">
        <v>9010333</v>
      </c>
      <c r="B261" s="1" t="s">
        <v>37</v>
      </c>
      <c r="C261" s="1">
        <v>8.8780000000000001</v>
      </c>
      <c r="D261" s="1">
        <v>15.49</v>
      </c>
      <c r="E261" s="2"/>
      <c r="F261" s="2"/>
      <c r="G261" s="2"/>
      <c r="H261" s="2"/>
      <c r="I261" s="2"/>
      <c r="J261" s="2"/>
      <c r="K261" s="2"/>
      <c r="L261" s="2"/>
      <c r="M261" s="1">
        <v>56.74</v>
      </c>
      <c r="N261" s="1">
        <v>241</v>
      </c>
      <c r="O261" s="1">
        <v>8.2930000000000004E-2</v>
      </c>
      <c r="P261" s="1">
        <v>7.6980000000000007E-2</v>
      </c>
      <c r="Q261" s="1">
        <v>4.7210000000000002E-2</v>
      </c>
      <c r="R261" s="1">
        <v>2.3810000000000001E-2</v>
      </c>
      <c r="S261" s="1">
        <v>0.193</v>
      </c>
      <c r="T261" s="1">
        <v>6.6210000000000005E-2</v>
      </c>
      <c r="U261" s="1">
        <v>0.53810000000000002</v>
      </c>
      <c r="V261" s="1">
        <v>1.2</v>
      </c>
      <c r="W261" s="1">
        <v>4.2770000000000001</v>
      </c>
      <c r="X261" s="1">
        <v>30.18</v>
      </c>
      <c r="Y261" s="1">
        <v>1.093E-2</v>
      </c>
      <c r="Z261" s="1">
        <v>2.8989999999999998E-2</v>
      </c>
      <c r="AA261" s="1">
        <v>3.2140000000000002E-2</v>
      </c>
      <c r="AB261" s="1">
        <v>1.506E-2</v>
      </c>
      <c r="AC261" s="1">
        <v>2.8369999999999999E-2</v>
      </c>
      <c r="AD261" s="1">
        <v>4.1739999999999998E-3</v>
      </c>
      <c r="AE261" s="1">
        <v>9.9809999999999999</v>
      </c>
      <c r="AF261" s="1">
        <v>17.7</v>
      </c>
      <c r="AG261" s="1">
        <v>65.27</v>
      </c>
      <c r="AH261" s="1">
        <v>302</v>
      </c>
      <c r="AI261" s="1">
        <v>0.10150000000000001</v>
      </c>
      <c r="AJ261" s="1">
        <v>0.12479999999999999</v>
      </c>
      <c r="AK261" s="1">
        <v>9.4409999999999994E-2</v>
      </c>
      <c r="AL261" s="1">
        <v>4.7620000000000003E-2</v>
      </c>
      <c r="AM261" s="1">
        <v>0.24340000000000001</v>
      </c>
      <c r="AN261" s="1">
        <v>7.4310000000000001E-2</v>
      </c>
    </row>
    <row r="262" spans="1:40" s="1" customFormat="1" ht="15" x14ac:dyDescent="0.25">
      <c r="A262" s="1">
        <v>901034301</v>
      </c>
      <c r="B262" s="1" t="s">
        <v>37</v>
      </c>
      <c r="C262" s="1">
        <v>9.4359999999999999</v>
      </c>
      <c r="D262" s="1">
        <v>18.32</v>
      </c>
      <c r="E262" s="2"/>
      <c r="F262" s="2"/>
      <c r="G262" s="2"/>
      <c r="H262" s="2"/>
      <c r="I262" s="2"/>
      <c r="J262" s="2"/>
      <c r="K262" s="2"/>
      <c r="L262" s="2"/>
      <c r="M262" s="1">
        <v>59.82</v>
      </c>
      <c r="N262" s="1">
        <v>278.60000000000002</v>
      </c>
      <c r="O262" s="1">
        <v>0.1009</v>
      </c>
      <c r="P262" s="1">
        <v>5.9560000000000002E-2</v>
      </c>
      <c r="Q262" s="1">
        <v>2.7099999999999999E-2</v>
      </c>
      <c r="R262" s="1">
        <v>1.406E-2</v>
      </c>
      <c r="S262" s="1">
        <v>0.15060000000000001</v>
      </c>
      <c r="T262" s="1">
        <v>6.9589999999999999E-2</v>
      </c>
      <c r="U262" s="1">
        <v>0.50790000000000002</v>
      </c>
      <c r="V262" s="1">
        <v>1.2470000000000001</v>
      </c>
      <c r="W262" s="1">
        <v>3.2669999999999999</v>
      </c>
      <c r="X262" s="1">
        <v>30.48</v>
      </c>
      <c r="Y262" s="1">
        <v>6.8360000000000001E-3</v>
      </c>
      <c r="Z262" s="1">
        <v>8.9820000000000004E-3</v>
      </c>
      <c r="AA262" s="1">
        <v>2.3480000000000001E-2</v>
      </c>
      <c r="AB262" s="1">
        <v>6.5649999999999997E-3</v>
      </c>
      <c r="AC262" s="1">
        <v>1.942E-2</v>
      </c>
      <c r="AD262" s="1">
        <v>2.7130000000000001E-3</v>
      </c>
      <c r="AE262" s="1">
        <v>12.02</v>
      </c>
      <c r="AF262" s="1">
        <v>25.02</v>
      </c>
      <c r="AG262" s="1">
        <v>75.790000000000006</v>
      </c>
      <c r="AH262" s="1">
        <v>439.6</v>
      </c>
      <c r="AI262" s="1">
        <v>0.1333</v>
      </c>
      <c r="AJ262" s="1">
        <v>0.10489999999999999</v>
      </c>
      <c r="AK262" s="1">
        <v>0.1144</v>
      </c>
      <c r="AL262" s="1">
        <v>5.0520000000000002E-2</v>
      </c>
      <c r="AM262" s="1">
        <v>0.24540000000000001</v>
      </c>
      <c r="AN262" s="1">
        <v>8.1360000000000002E-2</v>
      </c>
    </row>
    <row r="263" spans="1:40" s="1" customFormat="1" ht="15" x14ac:dyDescent="0.25">
      <c r="A263" s="1">
        <v>901034302</v>
      </c>
      <c r="B263" s="1" t="s">
        <v>37</v>
      </c>
      <c r="C263" s="1">
        <v>12.54</v>
      </c>
      <c r="D263" s="1">
        <v>18.07</v>
      </c>
      <c r="E263" s="2"/>
      <c r="F263" s="2"/>
      <c r="G263" s="2"/>
      <c r="H263" s="2"/>
      <c r="I263" s="2"/>
      <c r="J263" s="2"/>
      <c r="K263" s="2"/>
      <c r="L263" s="2"/>
      <c r="M263" s="1">
        <v>79.42</v>
      </c>
      <c r="N263" s="1">
        <v>491.9</v>
      </c>
      <c r="O263" s="1">
        <v>7.4359999999999996E-2</v>
      </c>
      <c r="P263" s="1">
        <v>2.6499999999999999E-2</v>
      </c>
      <c r="Q263" s="1">
        <v>1.194E-3</v>
      </c>
      <c r="R263" s="1">
        <v>5.4489999999999999E-3</v>
      </c>
      <c r="S263" s="1">
        <v>0.15279999999999999</v>
      </c>
      <c r="T263" s="1">
        <v>5.185E-2</v>
      </c>
      <c r="U263" s="1">
        <v>0.35110000000000002</v>
      </c>
      <c r="V263" s="1">
        <v>0.95269999999999999</v>
      </c>
      <c r="W263" s="1">
        <v>2.3290000000000002</v>
      </c>
      <c r="X263" s="1">
        <v>28.3</v>
      </c>
      <c r="Y263" s="1">
        <v>5.7829999999999999E-3</v>
      </c>
      <c r="Z263" s="1">
        <v>4.6930000000000001E-3</v>
      </c>
      <c r="AA263" s="1">
        <v>7.9290000000000003E-4</v>
      </c>
      <c r="AB263" s="1">
        <v>3.617E-3</v>
      </c>
      <c r="AC263" s="1">
        <v>2.043E-2</v>
      </c>
      <c r="AD263" s="1">
        <v>1.0579999999999999E-3</v>
      </c>
      <c r="AE263" s="1">
        <v>13.72</v>
      </c>
      <c r="AF263" s="1">
        <v>20.98</v>
      </c>
      <c r="AG263" s="1">
        <v>86.82</v>
      </c>
      <c r="AH263" s="1">
        <v>585.70000000000005</v>
      </c>
      <c r="AI263" s="1">
        <v>9.2929999999999999E-2</v>
      </c>
      <c r="AJ263" s="1">
        <v>4.3270000000000003E-2</v>
      </c>
      <c r="AK263" s="1">
        <v>3.581E-3</v>
      </c>
      <c r="AL263" s="1">
        <v>1.635E-2</v>
      </c>
      <c r="AM263" s="1">
        <v>0.2233</v>
      </c>
      <c r="AN263" s="1">
        <v>5.5210000000000002E-2</v>
      </c>
    </row>
    <row r="264" spans="1:40" s="1" customFormat="1" ht="15" x14ac:dyDescent="0.25">
      <c r="A264" s="1">
        <v>901041</v>
      </c>
      <c r="B264" s="1" t="s">
        <v>37</v>
      </c>
      <c r="C264" s="1">
        <v>13.3</v>
      </c>
      <c r="D264" s="1">
        <v>21.57</v>
      </c>
      <c r="E264" s="2"/>
      <c r="F264" s="2"/>
      <c r="G264" s="2"/>
      <c r="H264" s="2"/>
      <c r="I264" s="2"/>
      <c r="J264" s="2"/>
      <c r="K264" s="2"/>
      <c r="L264" s="2"/>
      <c r="M264" s="1">
        <v>85.24</v>
      </c>
      <c r="N264" s="1">
        <v>546.1</v>
      </c>
      <c r="O264" s="1">
        <v>8.5819999999999994E-2</v>
      </c>
      <c r="P264" s="1">
        <v>6.3729999999999995E-2</v>
      </c>
      <c r="Q264" s="1">
        <v>3.3439999999999998E-2</v>
      </c>
      <c r="R264" s="1">
        <v>2.4240000000000001E-2</v>
      </c>
      <c r="S264" s="1">
        <v>0.18149999999999999</v>
      </c>
      <c r="T264" s="1">
        <v>5.6959999999999997E-2</v>
      </c>
      <c r="U264" s="1">
        <v>0.2621</v>
      </c>
      <c r="V264" s="1">
        <v>1.5389999999999999</v>
      </c>
      <c r="W264" s="1">
        <v>2.028</v>
      </c>
      <c r="X264" s="1">
        <v>20.98</v>
      </c>
      <c r="Y264" s="1">
        <v>5.4980000000000003E-3</v>
      </c>
      <c r="Z264" s="1">
        <v>2.0449999999999999E-2</v>
      </c>
      <c r="AA264" s="1">
        <v>1.7950000000000001E-2</v>
      </c>
      <c r="AB264" s="1">
        <v>6.3990000000000002E-3</v>
      </c>
      <c r="AC264" s="1">
        <v>1.8290000000000001E-2</v>
      </c>
      <c r="AD264" s="1">
        <v>1.9559999999999998E-3</v>
      </c>
      <c r="AE264" s="1">
        <v>14.2</v>
      </c>
      <c r="AF264" s="1">
        <v>29.2</v>
      </c>
      <c r="AG264" s="1">
        <v>92.94</v>
      </c>
      <c r="AH264" s="1">
        <v>621.20000000000005</v>
      </c>
      <c r="AI264" s="1">
        <v>0.114</v>
      </c>
      <c r="AJ264" s="1">
        <v>0.16669999999999999</v>
      </c>
      <c r="AK264" s="1">
        <v>0.1212</v>
      </c>
      <c r="AL264" s="1">
        <v>5.6140000000000002E-2</v>
      </c>
      <c r="AM264" s="1">
        <v>0.26369999999999999</v>
      </c>
      <c r="AN264" s="1">
        <v>6.658E-2</v>
      </c>
    </row>
    <row r="265" spans="1:40" s="1" customFormat="1" ht="15" x14ac:dyDescent="0.25">
      <c r="A265" s="1">
        <v>9010598</v>
      </c>
      <c r="B265" s="1" t="s">
        <v>37</v>
      </c>
      <c r="C265" s="1">
        <v>12.76</v>
      </c>
      <c r="D265" s="1">
        <v>18.84</v>
      </c>
      <c r="E265" s="2"/>
      <c r="F265" s="2"/>
      <c r="G265" s="2"/>
      <c r="H265" s="2"/>
      <c r="I265" s="2"/>
      <c r="J265" s="2"/>
      <c r="K265" s="2"/>
      <c r="L265" s="2"/>
      <c r="M265" s="1">
        <v>81.87</v>
      </c>
      <c r="N265" s="1">
        <v>496.6</v>
      </c>
      <c r="O265" s="1">
        <v>9.6759999999999999E-2</v>
      </c>
      <c r="P265" s="1">
        <v>7.9519999999999993E-2</v>
      </c>
      <c r="Q265" s="1">
        <v>2.6880000000000001E-2</v>
      </c>
      <c r="R265" s="1">
        <v>1.7809999999999999E-2</v>
      </c>
      <c r="S265" s="1">
        <v>0.1759</v>
      </c>
      <c r="T265" s="1">
        <v>6.1830000000000003E-2</v>
      </c>
      <c r="U265" s="1">
        <v>0.2213</v>
      </c>
      <c r="V265" s="1">
        <v>1.2849999999999999</v>
      </c>
      <c r="W265" s="1">
        <v>1.5349999999999999</v>
      </c>
      <c r="X265" s="1">
        <v>17.260000000000002</v>
      </c>
      <c r="Y265" s="1">
        <v>5.6080000000000001E-3</v>
      </c>
      <c r="Z265" s="1">
        <v>1.6459999999999999E-2</v>
      </c>
      <c r="AA265" s="1">
        <v>1.529E-2</v>
      </c>
      <c r="AB265" s="1">
        <v>9.9970000000000007E-3</v>
      </c>
      <c r="AC265" s="1">
        <v>1.9089999999999999E-2</v>
      </c>
      <c r="AD265" s="1">
        <v>2.1329999999999999E-3</v>
      </c>
      <c r="AE265" s="1">
        <v>13.75</v>
      </c>
      <c r="AF265" s="1">
        <v>25.99</v>
      </c>
      <c r="AG265" s="1">
        <v>87.82</v>
      </c>
      <c r="AH265" s="1">
        <v>579.70000000000005</v>
      </c>
      <c r="AI265" s="1">
        <v>0.1298</v>
      </c>
      <c r="AJ265" s="1">
        <v>0.18390000000000001</v>
      </c>
      <c r="AK265" s="1">
        <v>0.1255</v>
      </c>
      <c r="AL265" s="1">
        <v>8.3119999999999999E-2</v>
      </c>
      <c r="AM265" s="1">
        <v>0.27439999999999998</v>
      </c>
      <c r="AN265" s="1">
        <v>7.238E-2</v>
      </c>
    </row>
    <row r="266" spans="1:40" s="1" customFormat="1" ht="15" x14ac:dyDescent="0.25">
      <c r="A266" s="1">
        <v>9010872</v>
      </c>
      <c r="B266" s="1" t="s">
        <v>37</v>
      </c>
      <c r="C266" s="1">
        <v>16.5</v>
      </c>
      <c r="D266" s="1">
        <v>18.29</v>
      </c>
      <c r="E266" s="2"/>
      <c r="F266" s="2"/>
      <c r="G266" s="2"/>
      <c r="H266" s="2"/>
      <c r="I266" s="2"/>
      <c r="J266" s="2"/>
      <c r="K266" s="2"/>
      <c r="L266" s="2"/>
      <c r="M266" s="1">
        <v>106.6</v>
      </c>
      <c r="N266" s="1">
        <v>838.1</v>
      </c>
      <c r="O266" s="1">
        <v>9.6860000000000002E-2</v>
      </c>
      <c r="P266" s="1">
        <v>8.4680000000000005E-2</v>
      </c>
      <c r="Q266" s="1">
        <v>5.8619999999999998E-2</v>
      </c>
      <c r="R266" s="1">
        <v>4.8349999999999997E-2</v>
      </c>
      <c r="S266" s="1">
        <v>0.14949999999999999</v>
      </c>
      <c r="T266" s="1">
        <v>5.5930000000000001E-2</v>
      </c>
      <c r="U266" s="1">
        <v>0.33889999999999998</v>
      </c>
      <c r="V266" s="1">
        <v>1.4390000000000001</v>
      </c>
      <c r="W266" s="1">
        <v>2.3439999999999999</v>
      </c>
      <c r="X266" s="1">
        <v>33.58</v>
      </c>
      <c r="Y266" s="1">
        <v>7.2570000000000004E-3</v>
      </c>
      <c r="Z266" s="1">
        <v>1.805E-2</v>
      </c>
      <c r="AA266" s="1">
        <v>1.8319999999999999E-2</v>
      </c>
      <c r="AB266" s="1">
        <v>1.0330000000000001E-2</v>
      </c>
      <c r="AC266" s="1">
        <v>1.694E-2</v>
      </c>
      <c r="AD266" s="1">
        <v>2.0010000000000002E-3</v>
      </c>
      <c r="AE266" s="1">
        <v>18.13</v>
      </c>
      <c r="AF266" s="1">
        <v>25.45</v>
      </c>
      <c r="AG266" s="1">
        <v>117.2</v>
      </c>
      <c r="AH266" s="1">
        <v>1009</v>
      </c>
      <c r="AI266" s="1">
        <v>0.1338</v>
      </c>
      <c r="AJ266" s="1">
        <v>0.16789999999999999</v>
      </c>
      <c r="AK266" s="1">
        <v>0.1663</v>
      </c>
      <c r="AL266" s="1">
        <v>9.1230000000000006E-2</v>
      </c>
      <c r="AM266" s="1">
        <v>0.2394</v>
      </c>
      <c r="AN266" s="1">
        <v>6.4689999999999998E-2</v>
      </c>
    </row>
    <row r="267" spans="1:40" s="1" customFormat="1" ht="15" x14ac:dyDescent="0.25">
      <c r="A267" s="1">
        <v>9010877</v>
      </c>
      <c r="B267" s="1" t="s">
        <v>37</v>
      </c>
      <c r="C267" s="1">
        <v>13.4</v>
      </c>
      <c r="D267" s="1">
        <v>16.95</v>
      </c>
      <c r="E267" s="2"/>
      <c r="F267" s="2"/>
      <c r="G267" s="2"/>
      <c r="H267" s="2"/>
      <c r="I267" s="2"/>
      <c r="J267" s="2"/>
      <c r="K267" s="2"/>
      <c r="L267" s="2"/>
      <c r="M267" s="1">
        <v>85.48</v>
      </c>
      <c r="N267" s="1">
        <v>552.4</v>
      </c>
      <c r="O267" s="1">
        <v>7.9369999999999996E-2</v>
      </c>
      <c r="P267" s="1">
        <v>5.6959999999999997E-2</v>
      </c>
      <c r="Q267" s="1">
        <v>2.181E-2</v>
      </c>
      <c r="R267" s="1">
        <v>1.473E-2</v>
      </c>
      <c r="S267" s="1">
        <v>0.16500000000000001</v>
      </c>
      <c r="T267" s="1">
        <v>5.7009999999999998E-2</v>
      </c>
      <c r="U267" s="1">
        <v>0.15840000000000001</v>
      </c>
      <c r="V267" s="1">
        <v>0.61240000000000006</v>
      </c>
      <c r="W267" s="1">
        <v>1.036</v>
      </c>
      <c r="X267" s="1">
        <v>13.22</v>
      </c>
      <c r="Y267" s="1">
        <v>4.3940000000000003E-3</v>
      </c>
      <c r="Z267" s="1">
        <v>1.2500000000000001E-2</v>
      </c>
      <c r="AA267" s="1">
        <v>1.451E-2</v>
      </c>
      <c r="AB267" s="1">
        <v>5.4840000000000002E-3</v>
      </c>
      <c r="AC267" s="1">
        <v>1.291E-2</v>
      </c>
      <c r="AD267" s="1">
        <v>2.0739999999999999E-3</v>
      </c>
      <c r="AE267" s="1">
        <v>14.73</v>
      </c>
      <c r="AF267" s="1">
        <v>21.7</v>
      </c>
      <c r="AG267" s="1">
        <v>93.76</v>
      </c>
      <c r="AH267" s="1">
        <v>663.5</v>
      </c>
      <c r="AI267" s="1">
        <v>0.12130000000000001</v>
      </c>
      <c r="AJ267" s="1">
        <v>0.1676</v>
      </c>
      <c r="AK267" s="1">
        <v>0.13639999999999999</v>
      </c>
      <c r="AL267" s="1">
        <v>6.9870000000000002E-2</v>
      </c>
      <c r="AM267" s="1">
        <v>0.27410000000000001</v>
      </c>
      <c r="AN267" s="1">
        <v>7.5819999999999999E-2</v>
      </c>
    </row>
    <row r="268" spans="1:40" s="1" customFormat="1" ht="15" x14ac:dyDescent="0.25">
      <c r="A268" s="1">
        <v>901088</v>
      </c>
      <c r="B268" s="1" t="s">
        <v>36</v>
      </c>
      <c r="C268" s="1">
        <v>20.440000000000001</v>
      </c>
      <c r="D268" s="1">
        <v>21.78</v>
      </c>
      <c r="E268" s="2"/>
      <c r="F268" s="2"/>
      <c r="G268" s="2"/>
      <c r="H268" s="2"/>
      <c r="I268" s="2"/>
      <c r="J268" s="2"/>
      <c r="K268" s="2"/>
      <c r="L268" s="2"/>
      <c r="M268" s="1">
        <v>133.80000000000001</v>
      </c>
      <c r="N268" s="1">
        <v>1293</v>
      </c>
      <c r="O268" s="1">
        <v>9.1499999999999998E-2</v>
      </c>
      <c r="P268" s="1">
        <v>0.11310000000000001</v>
      </c>
      <c r="Q268" s="1">
        <v>9.7989999999999994E-2</v>
      </c>
      <c r="R268" s="1">
        <v>7.7850000000000003E-2</v>
      </c>
      <c r="S268" s="1">
        <v>0.1618</v>
      </c>
      <c r="T268" s="1">
        <v>5.5570000000000001E-2</v>
      </c>
      <c r="U268" s="1">
        <v>0.57809999999999995</v>
      </c>
      <c r="V268" s="1">
        <v>0.91679999999999995</v>
      </c>
      <c r="W268" s="1">
        <v>4.218</v>
      </c>
      <c r="X268" s="1">
        <v>72.44</v>
      </c>
      <c r="Y268" s="1">
        <v>6.208E-3</v>
      </c>
      <c r="Z268" s="1">
        <v>1.9060000000000001E-2</v>
      </c>
      <c r="AA268" s="1">
        <v>2.375E-2</v>
      </c>
      <c r="AB268" s="1">
        <v>1.461E-2</v>
      </c>
      <c r="AC268" s="1">
        <v>1.4449999999999999E-2</v>
      </c>
      <c r="AD268" s="1">
        <v>1.9059999999999999E-3</v>
      </c>
      <c r="AE268" s="1">
        <v>24.31</v>
      </c>
      <c r="AF268" s="1">
        <v>26.37</v>
      </c>
      <c r="AG268" s="1">
        <v>161.19999999999999</v>
      </c>
      <c r="AH268" s="1">
        <v>1780</v>
      </c>
      <c r="AI268" s="1">
        <v>0.13270000000000001</v>
      </c>
      <c r="AJ268" s="1">
        <v>0.23760000000000001</v>
      </c>
      <c r="AK268" s="1">
        <v>0.2702</v>
      </c>
      <c r="AL268" s="1">
        <v>0.17649999999999999</v>
      </c>
      <c r="AM268" s="1">
        <v>0.26090000000000002</v>
      </c>
      <c r="AN268" s="1">
        <v>6.7349999999999993E-2</v>
      </c>
    </row>
    <row r="269" spans="1:40" s="1" customFormat="1" ht="15" x14ac:dyDescent="0.25">
      <c r="A269" s="1">
        <v>9011494</v>
      </c>
      <c r="B269" s="1" t="s">
        <v>36</v>
      </c>
      <c r="C269" s="1">
        <v>20.2</v>
      </c>
      <c r="D269" s="1">
        <v>26.83</v>
      </c>
      <c r="E269" s="2"/>
      <c r="F269" s="2"/>
      <c r="G269" s="2"/>
      <c r="H269" s="2"/>
      <c r="I269" s="2"/>
      <c r="J269" s="2"/>
      <c r="K269" s="2"/>
      <c r="L269" s="2"/>
      <c r="M269" s="1">
        <v>133.69999999999999</v>
      </c>
      <c r="N269" s="1">
        <v>1234</v>
      </c>
      <c r="O269" s="1">
        <v>9.9049999999999999E-2</v>
      </c>
      <c r="P269" s="1">
        <v>0.16689999999999999</v>
      </c>
      <c r="Q269" s="1">
        <v>0.1641</v>
      </c>
      <c r="R269" s="1">
        <v>0.1265</v>
      </c>
      <c r="S269" s="1">
        <v>0.1875</v>
      </c>
      <c r="T269" s="1">
        <v>6.0199999999999997E-2</v>
      </c>
      <c r="U269" s="1">
        <v>0.97609999999999997</v>
      </c>
      <c r="V269" s="1">
        <v>1.8919999999999999</v>
      </c>
      <c r="W269" s="1">
        <v>7.1280000000000001</v>
      </c>
      <c r="X269" s="1">
        <v>103.6</v>
      </c>
      <c r="Y269" s="1">
        <v>8.4390000000000003E-3</v>
      </c>
      <c r="Z269" s="1">
        <v>4.6739999999999997E-2</v>
      </c>
      <c r="AA269" s="1">
        <v>5.9040000000000002E-2</v>
      </c>
      <c r="AB269" s="1">
        <v>2.5360000000000001E-2</v>
      </c>
      <c r="AC269" s="1">
        <v>3.7100000000000001E-2</v>
      </c>
      <c r="AD269" s="1">
        <v>4.2859999999999999E-3</v>
      </c>
      <c r="AE269" s="1">
        <v>24.19</v>
      </c>
      <c r="AF269" s="1">
        <v>33.81</v>
      </c>
      <c r="AG269" s="1">
        <v>160</v>
      </c>
      <c r="AH269" s="1">
        <v>1671</v>
      </c>
      <c r="AI269" s="1">
        <v>0.1278</v>
      </c>
      <c r="AJ269" s="1">
        <v>0.34160000000000001</v>
      </c>
      <c r="AK269" s="1">
        <v>0.37030000000000002</v>
      </c>
      <c r="AL269" s="1">
        <v>0.2152</v>
      </c>
      <c r="AM269" s="1">
        <v>0.3271</v>
      </c>
      <c r="AN269" s="1">
        <v>7.6319999999999999E-2</v>
      </c>
    </row>
    <row r="270" spans="1:40" s="1" customFormat="1" ht="15" x14ac:dyDescent="0.25">
      <c r="A270" s="1">
        <v>9011495</v>
      </c>
      <c r="B270" s="1" t="s">
        <v>37</v>
      </c>
      <c r="C270" s="1">
        <v>12.21</v>
      </c>
      <c r="D270" s="1">
        <v>18.02</v>
      </c>
      <c r="E270" s="2"/>
      <c r="F270" s="2"/>
      <c r="G270" s="2"/>
      <c r="H270" s="2"/>
      <c r="I270" s="2"/>
      <c r="J270" s="2"/>
      <c r="K270" s="2"/>
      <c r="L270" s="2"/>
      <c r="M270" s="1">
        <v>78.31</v>
      </c>
      <c r="N270" s="1">
        <v>458.4</v>
      </c>
      <c r="O270" s="1">
        <v>9.2310000000000003E-2</v>
      </c>
      <c r="P270" s="1">
        <v>7.1749999999999994E-2</v>
      </c>
      <c r="Q270" s="1">
        <v>4.3920000000000001E-2</v>
      </c>
      <c r="R270" s="1">
        <v>2.027E-2</v>
      </c>
      <c r="S270" s="1">
        <v>0.16950000000000001</v>
      </c>
      <c r="T270" s="1">
        <v>5.9159999999999997E-2</v>
      </c>
      <c r="U270" s="1">
        <v>0.25269999999999998</v>
      </c>
      <c r="V270" s="1">
        <v>0.77859999999999996</v>
      </c>
      <c r="W270" s="1">
        <v>1.8740000000000001</v>
      </c>
      <c r="X270" s="1">
        <v>18.57</v>
      </c>
      <c r="Y270" s="1">
        <v>5.8329999999999996E-3</v>
      </c>
      <c r="Z270" s="1">
        <v>1.388E-2</v>
      </c>
      <c r="AA270" s="1">
        <v>0.02</v>
      </c>
      <c r="AB270" s="1">
        <v>7.0870000000000004E-3</v>
      </c>
      <c r="AC270" s="1">
        <v>1.9380000000000001E-2</v>
      </c>
      <c r="AD270" s="1">
        <v>1.9599999999999999E-3</v>
      </c>
      <c r="AE270" s="1">
        <v>14.29</v>
      </c>
      <c r="AF270" s="1">
        <v>24.04</v>
      </c>
      <c r="AG270" s="1">
        <v>93.85</v>
      </c>
      <c r="AH270" s="1">
        <v>624.6</v>
      </c>
      <c r="AI270" s="1">
        <v>0.1368</v>
      </c>
      <c r="AJ270" s="1">
        <v>0.217</v>
      </c>
      <c r="AK270" s="1">
        <v>0.24129999999999999</v>
      </c>
      <c r="AL270" s="1">
        <v>8.8289999999999993E-2</v>
      </c>
      <c r="AM270" s="1">
        <v>0.32179999999999997</v>
      </c>
      <c r="AN270" s="1">
        <v>7.4700000000000003E-2</v>
      </c>
    </row>
    <row r="271" spans="1:40" s="1" customFormat="1" ht="15" x14ac:dyDescent="0.25">
      <c r="A271" s="1">
        <v>9011971</v>
      </c>
      <c r="B271" s="1" t="s">
        <v>36</v>
      </c>
      <c r="C271" s="1">
        <v>21.71</v>
      </c>
      <c r="D271" s="1">
        <v>17.25</v>
      </c>
      <c r="E271" s="2"/>
      <c r="F271" s="2"/>
      <c r="G271" s="2"/>
      <c r="H271" s="2"/>
      <c r="I271" s="2"/>
      <c r="J271" s="2"/>
      <c r="K271" s="2"/>
      <c r="L271" s="2"/>
      <c r="M271" s="1">
        <v>140.9</v>
      </c>
      <c r="N271" s="1">
        <v>1546</v>
      </c>
      <c r="O271" s="1">
        <v>9.3840000000000007E-2</v>
      </c>
      <c r="P271" s="1">
        <v>8.5620000000000002E-2</v>
      </c>
      <c r="Q271" s="1">
        <v>0.1168</v>
      </c>
      <c r="R271" s="1">
        <v>8.4650000000000003E-2</v>
      </c>
      <c r="S271" s="1">
        <v>0.17169999999999999</v>
      </c>
      <c r="T271" s="1">
        <v>5.0540000000000002E-2</v>
      </c>
      <c r="U271" s="1">
        <v>1.2070000000000001</v>
      </c>
      <c r="V271" s="1">
        <v>1.0509999999999999</v>
      </c>
      <c r="W271" s="1">
        <v>7.7329999999999997</v>
      </c>
      <c r="X271" s="1">
        <v>224.1</v>
      </c>
      <c r="Y271" s="1">
        <v>5.568E-3</v>
      </c>
      <c r="Z271" s="1">
        <v>1.112E-2</v>
      </c>
      <c r="AA271" s="1">
        <v>2.0959999999999999E-2</v>
      </c>
      <c r="AB271" s="1">
        <v>1.197E-2</v>
      </c>
      <c r="AC271" s="1">
        <v>1.2630000000000001E-2</v>
      </c>
      <c r="AD271" s="1">
        <v>1.8029999999999999E-3</v>
      </c>
      <c r="AE271" s="1">
        <v>30.75</v>
      </c>
      <c r="AF271" s="1">
        <v>26.44</v>
      </c>
      <c r="AG271" s="1">
        <v>199.5</v>
      </c>
      <c r="AH271" s="1">
        <v>3143</v>
      </c>
      <c r="AI271" s="1">
        <v>0.1363</v>
      </c>
      <c r="AJ271" s="1">
        <v>0.1628</v>
      </c>
      <c r="AK271" s="1">
        <v>0.28610000000000002</v>
      </c>
      <c r="AL271" s="1">
        <v>0.182</v>
      </c>
      <c r="AM271" s="1">
        <v>0.251</v>
      </c>
      <c r="AN271" s="1">
        <v>6.4939999999999998E-2</v>
      </c>
    </row>
    <row r="272" spans="1:40" s="1" customFormat="1" ht="15" x14ac:dyDescent="0.25">
      <c r="A272" s="1">
        <v>9012000</v>
      </c>
      <c r="B272" s="1" t="s">
        <v>36</v>
      </c>
      <c r="C272" s="1">
        <v>22.01</v>
      </c>
      <c r="D272" s="1">
        <v>21.9</v>
      </c>
      <c r="E272" s="2"/>
      <c r="F272" s="2"/>
      <c r="G272" s="2"/>
      <c r="H272" s="2"/>
      <c r="I272" s="2"/>
      <c r="J272" s="2"/>
      <c r="K272" s="2"/>
      <c r="L272" s="2"/>
      <c r="M272" s="1">
        <v>147.19999999999999</v>
      </c>
      <c r="N272" s="1">
        <v>1482</v>
      </c>
      <c r="O272" s="1">
        <v>0.10630000000000001</v>
      </c>
      <c r="P272" s="1">
        <v>0.19539999999999999</v>
      </c>
      <c r="Q272" s="1">
        <v>0.24479999999999999</v>
      </c>
      <c r="R272" s="1">
        <v>0.15010000000000001</v>
      </c>
      <c r="S272" s="1">
        <v>0.18240000000000001</v>
      </c>
      <c r="T272" s="1">
        <v>6.1400000000000003E-2</v>
      </c>
      <c r="U272" s="1">
        <v>1.008</v>
      </c>
      <c r="V272" s="1">
        <v>0.69989999999999997</v>
      </c>
      <c r="W272" s="1">
        <v>7.5609999999999999</v>
      </c>
      <c r="X272" s="1">
        <v>130.19999999999999</v>
      </c>
      <c r="Y272" s="1">
        <v>3.9779999999999998E-3</v>
      </c>
      <c r="Z272" s="1">
        <v>2.8209999999999999E-2</v>
      </c>
      <c r="AA272" s="1">
        <v>3.576E-2</v>
      </c>
      <c r="AB272" s="1">
        <v>1.4710000000000001E-2</v>
      </c>
      <c r="AC272" s="1">
        <v>1.5180000000000001E-2</v>
      </c>
      <c r="AD272" s="1">
        <v>3.7959999999999999E-3</v>
      </c>
      <c r="AE272" s="1">
        <v>27.66</v>
      </c>
      <c r="AF272" s="1">
        <v>25.8</v>
      </c>
      <c r="AG272" s="1">
        <v>195</v>
      </c>
      <c r="AH272" s="1">
        <v>2227</v>
      </c>
      <c r="AI272" s="1">
        <v>0.12939999999999999</v>
      </c>
      <c r="AJ272" s="1">
        <v>0.38850000000000001</v>
      </c>
      <c r="AK272" s="1">
        <v>0.47560000000000002</v>
      </c>
      <c r="AL272" s="1">
        <v>0.2432</v>
      </c>
      <c r="AM272" s="1">
        <v>0.27410000000000001</v>
      </c>
      <c r="AN272" s="1">
        <v>8.5739999999999997E-2</v>
      </c>
    </row>
    <row r="273" spans="1:40" s="1" customFormat="1" ht="15" x14ac:dyDescent="0.25">
      <c r="A273" s="1">
        <v>9012315</v>
      </c>
      <c r="B273" s="1" t="s">
        <v>36</v>
      </c>
      <c r="C273" s="1">
        <v>16.350000000000001</v>
      </c>
      <c r="D273" s="1">
        <v>23.29</v>
      </c>
      <c r="E273" s="2"/>
      <c r="F273" s="2"/>
      <c r="G273" s="2"/>
      <c r="H273" s="2"/>
      <c r="I273" s="2"/>
      <c r="J273" s="2"/>
      <c r="K273" s="2"/>
      <c r="L273" s="2"/>
      <c r="M273" s="1">
        <v>109</v>
      </c>
      <c r="N273" s="1">
        <v>840.4</v>
      </c>
      <c r="O273" s="1">
        <v>9.7420000000000007E-2</v>
      </c>
      <c r="P273" s="1">
        <v>0.1497</v>
      </c>
      <c r="Q273" s="1">
        <v>0.18110000000000001</v>
      </c>
      <c r="R273" s="1">
        <v>8.7730000000000002E-2</v>
      </c>
      <c r="S273" s="1">
        <v>0.2175</v>
      </c>
      <c r="T273" s="1">
        <v>6.2179999999999999E-2</v>
      </c>
      <c r="U273" s="1">
        <v>0.43120000000000003</v>
      </c>
      <c r="V273" s="1">
        <v>1.022</v>
      </c>
      <c r="W273" s="1">
        <v>2.972</v>
      </c>
      <c r="X273" s="1">
        <v>45.5</v>
      </c>
      <c r="Y273" s="1">
        <v>5.6350000000000003E-3</v>
      </c>
      <c r="Z273" s="1">
        <v>3.9170000000000003E-2</v>
      </c>
      <c r="AA273" s="1">
        <v>6.0720000000000003E-2</v>
      </c>
      <c r="AB273" s="1">
        <v>1.6559999999999998E-2</v>
      </c>
      <c r="AC273" s="1">
        <v>3.1969999999999998E-2</v>
      </c>
      <c r="AD273" s="1">
        <v>4.0850000000000001E-3</v>
      </c>
      <c r="AE273" s="1">
        <v>19.38</v>
      </c>
      <c r="AF273" s="1">
        <v>31.03</v>
      </c>
      <c r="AG273" s="1">
        <v>129.30000000000001</v>
      </c>
      <c r="AH273" s="1">
        <v>1165</v>
      </c>
      <c r="AI273" s="1">
        <v>0.14149999999999999</v>
      </c>
      <c r="AJ273" s="1">
        <v>0.46650000000000003</v>
      </c>
      <c r="AK273" s="1">
        <v>0.7087</v>
      </c>
      <c r="AL273" s="1">
        <v>0.2248</v>
      </c>
      <c r="AM273" s="1">
        <v>0.4824</v>
      </c>
      <c r="AN273" s="1">
        <v>9.6140000000000003E-2</v>
      </c>
    </row>
    <row r="274" spans="1:40" s="1" customFormat="1" ht="15" x14ac:dyDescent="0.25">
      <c r="A274" s="1">
        <v>9012568</v>
      </c>
      <c r="B274" s="1" t="s">
        <v>37</v>
      </c>
      <c r="C274" s="1">
        <v>15.19</v>
      </c>
      <c r="D274" s="1">
        <v>13.21</v>
      </c>
      <c r="E274" s="2"/>
      <c r="F274" s="2"/>
      <c r="G274" s="2"/>
      <c r="H274" s="2"/>
      <c r="I274" s="2"/>
      <c r="J274" s="2"/>
      <c r="K274" s="2"/>
      <c r="L274" s="2"/>
      <c r="M274" s="1">
        <v>97.65</v>
      </c>
      <c r="N274" s="1">
        <v>711.8</v>
      </c>
      <c r="O274" s="1">
        <v>7.9630000000000006E-2</v>
      </c>
      <c r="P274" s="1">
        <v>6.9339999999999999E-2</v>
      </c>
      <c r="Q274" s="1">
        <v>3.3930000000000002E-2</v>
      </c>
      <c r="R274" s="1">
        <v>2.657E-2</v>
      </c>
      <c r="S274" s="1">
        <v>0.1721</v>
      </c>
      <c r="T274" s="1">
        <v>5.5440000000000003E-2</v>
      </c>
      <c r="U274" s="1">
        <v>0.17829999999999999</v>
      </c>
      <c r="V274" s="1">
        <v>0.41249999999999998</v>
      </c>
      <c r="W274" s="1">
        <v>1.3380000000000001</v>
      </c>
      <c r="X274" s="1">
        <v>17.72</v>
      </c>
      <c r="Y274" s="1">
        <v>5.012E-3</v>
      </c>
      <c r="Z274" s="1">
        <v>1.485E-2</v>
      </c>
      <c r="AA274" s="1">
        <v>1.5509999999999999E-2</v>
      </c>
      <c r="AB274" s="1">
        <v>9.1549999999999999E-3</v>
      </c>
      <c r="AC274" s="1">
        <v>1.6469999999999999E-2</v>
      </c>
      <c r="AD274" s="1">
        <v>1.7669999999999999E-3</v>
      </c>
      <c r="AE274" s="1">
        <v>16.2</v>
      </c>
      <c r="AF274" s="1">
        <v>15.73</v>
      </c>
      <c r="AG274" s="1">
        <v>104.5</v>
      </c>
      <c r="AH274" s="1">
        <v>819.1</v>
      </c>
      <c r="AI274" s="1">
        <v>0.11260000000000001</v>
      </c>
      <c r="AJ274" s="1">
        <v>0.17369999999999999</v>
      </c>
      <c r="AK274" s="1">
        <v>0.13619999999999999</v>
      </c>
      <c r="AL274" s="1">
        <v>8.1780000000000005E-2</v>
      </c>
      <c r="AM274" s="1">
        <v>0.2487</v>
      </c>
      <c r="AN274" s="1">
        <v>6.7659999999999998E-2</v>
      </c>
    </row>
    <row r="275" spans="1:40" s="1" customFormat="1" ht="15" x14ac:dyDescent="0.25">
      <c r="A275" s="1">
        <v>9012795</v>
      </c>
      <c r="B275" s="1" t="s">
        <v>36</v>
      </c>
      <c r="C275" s="1">
        <v>21.37</v>
      </c>
      <c r="D275" s="1">
        <v>15.1</v>
      </c>
      <c r="E275" s="2"/>
      <c r="F275" s="2"/>
      <c r="G275" s="2"/>
      <c r="H275" s="2"/>
      <c r="I275" s="2"/>
      <c r="J275" s="2"/>
      <c r="K275" s="2"/>
      <c r="L275" s="2"/>
      <c r="M275" s="1">
        <v>141.30000000000001</v>
      </c>
      <c r="N275" s="1">
        <v>1386</v>
      </c>
      <c r="O275" s="1">
        <v>0.10009999999999999</v>
      </c>
      <c r="P275" s="1">
        <v>0.1515</v>
      </c>
      <c r="Q275" s="1">
        <v>0.19320000000000001</v>
      </c>
      <c r="R275" s="1">
        <v>0.1255</v>
      </c>
      <c r="S275" s="1">
        <v>0.1973</v>
      </c>
      <c r="T275" s="1">
        <v>6.1830000000000003E-2</v>
      </c>
      <c r="U275" s="1">
        <v>0.34139999999999998</v>
      </c>
      <c r="V275" s="1">
        <v>1.3089999999999999</v>
      </c>
      <c r="W275" s="1">
        <v>2.407</v>
      </c>
      <c r="X275" s="1">
        <v>39.06</v>
      </c>
      <c r="Y275" s="1">
        <v>4.4260000000000002E-3</v>
      </c>
      <c r="Z275" s="1">
        <v>2.6749999999999999E-2</v>
      </c>
      <c r="AA275" s="1">
        <v>3.4369999999999998E-2</v>
      </c>
      <c r="AB275" s="1">
        <v>1.3429999999999999E-2</v>
      </c>
      <c r="AC275" s="1">
        <v>1.6750000000000001E-2</v>
      </c>
      <c r="AD275" s="1">
        <v>4.3670000000000002E-3</v>
      </c>
      <c r="AE275" s="1">
        <v>22.69</v>
      </c>
      <c r="AF275" s="1">
        <v>21.84</v>
      </c>
      <c r="AG275" s="1">
        <v>152.1</v>
      </c>
      <c r="AH275" s="1">
        <v>1535</v>
      </c>
      <c r="AI275" s="1">
        <v>0.1192</v>
      </c>
      <c r="AJ275" s="1">
        <v>0.28399999999999997</v>
      </c>
      <c r="AK275" s="1">
        <v>0.40239999999999998</v>
      </c>
      <c r="AL275" s="1">
        <v>0.1966</v>
      </c>
      <c r="AM275" s="1">
        <v>0.27300000000000002</v>
      </c>
      <c r="AN275" s="1">
        <v>8.6660000000000001E-2</v>
      </c>
    </row>
    <row r="276" spans="1:40" s="1" customFormat="1" ht="15" x14ac:dyDescent="0.25">
      <c r="A276" s="1">
        <v>901288</v>
      </c>
      <c r="B276" s="1" t="s">
        <v>36</v>
      </c>
      <c r="C276" s="1">
        <v>20.64</v>
      </c>
      <c r="D276" s="1">
        <v>17.350000000000001</v>
      </c>
      <c r="E276" s="2"/>
      <c r="F276" s="2"/>
      <c r="G276" s="2"/>
      <c r="H276" s="2"/>
      <c r="I276" s="2"/>
      <c r="J276" s="2"/>
      <c r="K276" s="2"/>
      <c r="L276" s="2"/>
      <c r="M276" s="1">
        <v>134.80000000000001</v>
      </c>
      <c r="N276" s="1">
        <v>1335</v>
      </c>
      <c r="O276" s="1">
        <v>9.4460000000000002E-2</v>
      </c>
      <c r="P276" s="1">
        <v>0.1076</v>
      </c>
      <c r="Q276" s="1">
        <v>0.1527</v>
      </c>
      <c r="R276" s="1">
        <v>8.9410000000000003E-2</v>
      </c>
      <c r="S276" s="1">
        <v>0.15709999999999999</v>
      </c>
      <c r="T276" s="1">
        <v>5.4780000000000002E-2</v>
      </c>
      <c r="U276" s="1">
        <v>0.61370000000000002</v>
      </c>
      <c r="V276" s="1">
        <v>0.65749999999999997</v>
      </c>
      <c r="W276" s="1">
        <v>4.1189999999999998</v>
      </c>
      <c r="X276" s="1">
        <v>77.02</v>
      </c>
      <c r="Y276" s="1">
        <v>6.2110000000000004E-3</v>
      </c>
      <c r="Z276" s="1">
        <v>1.8950000000000002E-2</v>
      </c>
      <c r="AA276" s="1">
        <v>2.681E-2</v>
      </c>
      <c r="AB276" s="1">
        <v>1.2319999999999999E-2</v>
      </c>
      <c r="AC276" s="1">
        <v>1.2760000000000001E-2</v>
      </c>
      <c r="AD276" s="1">
        <v>1.7110000000000001E-3</v>
      </c>
      <c r="AE276" s="1">
        <v>25.37</v>
      </c>
      <c r="AF276" s="1">
        <v>23.17</v>
      </c>
      <c r="AG276" s="1">
        <v>166.8</v>
      </c>
      <c r="AH276" s="1">
        <v>1946</v>
      </c>
      <c r="AI276" s="1">
        <v>0.15620000000000001</v>
      </c>
      <c r="AJ276" s="1">
        <v>0.30549999999999999</v>
      </c>
      <c r="AK276" s="1">
        <v>0.41589999999999999</v>
      </c>
      <c r="AL276" s="1">
        <v>0.2112</v>
      </c>
      <c r="AM276" s="1">
        <v>0.26889999999999997</v>
      </c>
      <c r="AN276" s="1">
        <v>7.0550000000000002E-2</v>
      </c>
    </row>
    <row r="277" spans="1:40" s="1" customFormat="1" ht="15" x14ac:dyDescent="0.25">
      <c r="A277" s="1">
        <v>9013005</v>
      </c>
      <c r="B277" s="1" t="s">
        <v>37</v>
      </c>
      <c r="C277" s="1">
        <v>13.69</v>
      </c>
      <c r="D277" s="1">
        <v>16.07</v>
      </c>
      <c r="E277" s="2"/>
      <c r="F277" s="2"/>
      <c r="G277" s="2"/>
      <c r="H277" s="2"/>
      <c r="I277" s="2"/>
      <c r="J277" s="2"/>
      <c r="K277" s="2"/>
      <c r="L277" s="2"/>
      <c r="M277" s="1">
        <v>87.84</v>
      </c>
      <c r="N277" s="1">
        <v>579.1</v>
      </c>
      <c r="O277" s="1">
        <v>8.3019999999999997E-2</v>
      </c>
      <c r="P277" s="1">
        <v>6.3740000000000005E-2</v>
      </c>
      <c r="Q277" s="1">
        <v>2.5559999999999999E-2</v>
      </c>
      <c r="R277" s="1">
        <v>2.0310000000000002E-2</v>
      </c>
      <c r="S277" s="1">
        <v>0.18720000000000001</v>
      </c>
      <c r="T277" s="1">
        <v>5.6689999999999997E-2</v>
      </c>
      <c r="U277" s="1">
        <v>0.17050000000000001</v>
      </c>
      <c r="V277" s="1">
        <v>0.50660000000000005</v>
      </c>
      <c r="W277" s="1">
        <v>1.3720000000000001</v>
      </c>
      <c r="X277" s="1">
        <v>14</v>
      </c>
      <c r="Y277" s="1">
        <v>4.2300000000000003E-3</v>
      </c>
      <c r="Z277" s="1">
        <v>1.5869999999999999E-2</v>
      </c>
      <c r="AA277" s="1">
        <v>1.1690000000000001E-2</v>
      </c>
      <c r="AB277" s="1">
        <v>6.3350000000000004E-3</v>
      </c>
      <c r="AC277" s="1">
        <v>1.9429999999999999E-2</v>
      </c>
      <c r="AD277" s="1">
        <v>2.1770000000000001E-3</v>
      </c>
      <c r="AE277" s="1">
        <v>14.84</v>
      </c>
      <c r="AF277" s="1">
        <v>20.21</v>
      </c>
      <c r="AG277" s="1">
        <v>99.16</v>
      </c>
      <c r="AH277" s="1">
        <v>670.6</v>
      </c>
      <c r="AI277" s="1">
        <v>0.1105</v>
      </c>
      <c r="AJ277" s="1">
        <v>0.20960000000000001</v>
      </c>
      <c r="AK277" s="1">
        <v>0.1346</v>
      </c>
      <c r="AL277" s="1">
        <v>6.9870000000000002E-2</v>
      </c>
      <c r="AM277" s="1">
        <v>0.33229999999999998</v>
      </c>
      <c r="AN277" s="1">
        <v>7.7009999999999995E-2</v>
      </c>
    </row>
    <row r="278" spans="1:40" s="1" customFormat="1" ht="15" x14ac:dyDescent="0.25">
      <c r="A278" s="1">
        <v>901303</v>
      </c>
      <c r="B278" s="1" t="s">
        <v>37</v>
      </c>
      <c r="C278" s="1">
        <v>16.170000000000002</v>
      </c>
      <c r="D278" s="1">
        <v>16.07</v>
      </c>
      <c r="E278" s="2"/>
      <c r="F278" s="2"/>
      <c r="G278" s="2"/>
      <c r="H278" s="2"/>
      <c r="I278" s="2"/>
      <c r="J278" s="2"/>
      <c r="K278" s="2"/>
      <c r="L278" s="2"/>
      <c r="M278" s="1">
        <v>106.3</v>
      </c>
      <c r="N278" s="1">
        <v>788.5</v>
      </c>
      <c r="O278" s="1">
        <v>9.8799999999999999E-2</v>
      </c>
      <c r="P278" s="1">
        <v>0.14380000000000001</v>
      </c>
      <c r="Q278" s="1">
        <v>6.651E-2</v>
      </c>
      <c r="R278" s="1">
        <v>5.3969999999999997E-2</v>
      </c>
      <c r="S278" s="1">
        <v>0.19900000000000001</v>
      </c>
      <c r="T278" s="1">
        <v>6.5720000000000001E-2</v>
      </c>
      <c r="U278" s="1">
        <v>0.17449999999999999</v>
      </c>
      <c r="V278" s="1">
        <v>0.48899999999999999</v>
      </c>
      <c r="W278" s="1">
        <v>1.349</v>
      </c>
      <c r="X278" s="1">
        <v>14.91</v>
      </c>
      <c r="Y278" s="1">
        <v>4.5100000000000001E-3</v>
      </c>
      <c r="Z278" s="1">
        <v>1.8120000000000001E-2</v>
      </c>
      <c r="AA278" s="1">
        <v>1.951E-2</v>
      </c>
      <c r="AB278" s="1">
        <v>1.196E-2</v>
      </c>
      <c r="AC278" s="1">
        <v>1.934E-2</v>
      </c>
      <c r="AD278" s="1">
        <v>3.6960000000000001E-3</v>
      </c>
      <c r="AE278" s="1">
        <v>16.97</v>
      </c>
      <c r="AF278" s="1">
        <v>19.14</v>
      </c>
      <c r="AG278" s="1">
        <v>113.1</v>
      </c>
      <c r="AH278" s="1">
        <v>861.5</v>
      </c>
      <c r="AI278" s="1">
        <v>0.1235</v>
      </c>
      <c r="AJ278" s="1">
        <v>0.255</v>
      </c>
      <c r="AK278" s="1">
        <v>0.2114</v>
      </c>
      <c r="AL278" s="1">
        <v>0.12509999999999999</v>
      </c>
      <c r="AM278" s="1">
        <v>0.31530000000000002</v>
      </c>
      <c r="AN278" s="1">
        <v>8.9599999999999999E-2</v>
      </c>
    </row>
    <row r="279" spans="1:40" s="1" customFormat="1" ht="15" x14ac:dyDescent="0.25">
      <c r="A279" s="1">
        <v>901315</v>
      </c>
      <c r="B279" s="1" t="s">
        <v>37</v>
      </c>
      <c r="C279" s="1">
        <v>10.57</v>
      </c>
      <c r="D279" s="1">
        <v>20.22</v>
      </c>
      <c r="E279" s="2"/>
      <c r="F279" s="2"/>
      <c r="G279" s="2"/>
      <c r="H279" s="2"/>
      <c r="I279" s="2"/>
      <c r="J279" s="2"/>
      <c r="K279" s="2"/>
      <c r="L279" s="2"/>
      <c r="M279" s="1">
        <v>70.150000000000006</v>
      </c>
      <c r="N279" s="1">
        <v>338.3</v>
      </c>
      <c r="O279" s="1">
        <v>9.0730000000000005E-2</v>
      </c>
      <c r="P279" s="1">
        <v>0.16600000000000001</v>
      </c>
      <c r="Q279" s="1">
        <v>0.22800000000000001</v>
      </c>
      <c r="R279" s="1">
        <v>5.9409999999999998E-2</v>
      </c>
      <c r="S279" s="1">
        <v>0.21879999999999999</v>
      </c>
      <c r="T279" s="1">
        <v>8.4500000000000006E-2</v>
      </c>
      <c r="U279" s="1">
        <v>0.1115</v>
      </c>
      <c r="V279" s="1">
        <v>1.2310000000000001</v>
      </c>
      <c r="W279" s="1">
        <v>2.363</v>
      </c>
      <c r="X279" s="1">
        <v>7.2279999999999998</v>
      </c>
      <c r="Y279" s="1">
        <v>8.4989999999999996E-3</v>
      </c>
      <c r="Z279" s="1">
        <v>7.6429999999999998E-2</v>
      </c>
      <c r="AA279" s="1">
        <v>0.1535</v>
      </c>
      <c r="AB279" s="1">
        <v>2.9190000000000001E-2</v>
      </c>
      <c r="AC279" s="1">
        <v>1.617E-2</v>
      </c>
      <c r="AD279" s="1">
        <v>1.2200000000000001E-2</v>
      </c>
      <c r="AE279" s="1">
        <v>10.85</v>
      </c>
      <c r="AF279" s="1">
        <v>22.82</v>
      </c>
      <c r="AG279" s="1">
        <v>76.510000000000005</v>
      </c>
      <c r="AH279" s="1">
        <v>351.9</v>
      </c>
      <c r="AI279" s="1">
        <v>0.1143</v>
      </c>
      <c r="AJ279" s="1">
        <v>0.3619</v>
      </c>
      <c r="AK279" s="1">
        <v>0.60299999999999998</v>
      </c>
      <c r="AL279" s="1">
        <v>0.14649999999999999</v>
      </c>
      <c r="AM279" s="1">
        <v>0.25969999999999999</v>
      </c>
      <c r="AN279" s="1">
        <v>0.12</v>
      </c>
    </row>
    <row r="280" spans="1:40" s="1" customFormat="1" ht="15" x14ac:dyDescent="0.25">
      <c r="A280" s="1">
        <v>9013579</v>
      </c>
      <c r="B280" s="1" t="s">
        <v>37</v>
      </c>
      <c r="C280" s="1">
        <v>13.46</v>
      </c>
      <c r="D280" s="1">
        <v>28.21</v>
      </c>
      <c r="E280" s="2"/>
      <c r="F280" s="2"/>
      <c r="G280" s="2"/>
      <c r="H280" s="2"/>
      <c r="I280" s="2"/>
      <c r="J280" s="2"/>
      <c r="K280" s="2"/>
      <c r="L280" s="2"/>
      <c r="M280" s="1">
        <v>85.89</v>
      </c>
      <c r="N280" s="1">
        <v>562.1</v>
      </c>
      <c r="O280" s="1">
        <v>7.5170000000000001E-2</v>
      </c>
      <c r="P280" s="1">
        <v>4.7260000000000003E-2</v>
      </c>
      <c r="Q280" s="1">
        <v>1.2710000000000001E-2</v>
      </c>
      <c r="R280" s="1">
        <v>1.1169999999999999E-2</v>
      </c>
      <c r="S280" s="1">
        <v>0.1421</v>
      </c>
      <c r="T280" s="1">
        <v>5.7630000000000001E-2</v>
      </c>
      <c r="U280" s="1">
        <v>0.16889999999999999</v>
      </c>
      <c r="V280" s="1">
        <v>1.1499999999999999</v>
      </c>
      <c r="W280" s="1">
        <v>1.4</v>
      </c>
      <c r="X280" s="1">
        <v>14.91</v>
      </c>
      <c r="Y280" s="1">
        <v>4.9420000000000002E-3</v>
      </c>
      <c r="Z280" s="1">
        <v>1.2030000000000001E-2</v>
      </c>
      <c r="AA280" s="1">
        <v>7.5079999999999999E-3</v>
      </c>
      <c r="AB280" s="1">
        <v>5.1789999999999996E-3</v>
      </c>
      <c r="AC280" s="1">
        <v>1.4420000000000001E-2</v>
      </c>
      <c r="AD280" s="1">
        <v>1.684E-3</v>
      </c>
      <c r="AE280" s="1">
        <v>14.69</v>
      </c>
      <c r="AF280" s="1">
        <v>35.630000000000003</v>
      </c>
      <c r="AG280" s="1">
        <v>97.11</v>
      </c>
      <c r="AH280" s="1">
        <v>680.6</v>
      </c>
      <c r="AI280" s="1">
        <v>0.1108</v>
      </c>
      <c r="AJ280" s="1">
        <v>0.1457</v>
      </c>
      <c r="AK280" s="1">
        <v>7.9339999999999994E-2</v>
      </c>
      <c r="AL280" s="1">
        <v>5.781E-2</v>
      </c>
      <c r="AM280" s="1">
        <v>0.26939999999999997</v>
      </c>
      <c r="AN280" s="1">
        <v>7.0610000000000006E-2</v>
      </c>
    </row>
    <row r="281" spans="1:40" s="1" customFormat="1" ht="15" x14ac:dyDescent="0.25">
      <c r="A281" s="1">
        <v>9013594</v>
      </c>
      <c r="B281" s="1" t="s">
        <v>37</v>
      </c>
      <c r="C281" s="1">
        <v>13.66</v>
      </c>
      <c r="D281" s="1">
        <v>15.15</v>
      </c>
      <c r="E281" s="2"/>
      <c r="F281" s="2"/>
      <c r="G281" s="2"/>
      <c r="H281" s="2"/>
      <c r="I281" s="2"/>
      <c r="J281" s="2"/>
      <c r="K281" s="2"/>
      <c r="L281" s="2"/>
      <c r="M281" s="1">
        <v>88.27</v>
      </c>
      <c r="N281" s="1">
        <v>580.6</v>
      </c>
      <c r="O281" s="1">
        <v>8.2680000000000003E-2</v>
      </c>
      <c r="P281" s="1">
        <v>7.5480000000000005E-2</v>
      </c>
      <c r="Q281" s="1">
        <v>4.249E-2</v>
      </c>
      <c r="R281" s="1">
        <v>2.4709999999999999E-2</v>
      </c>
      <c r="S281" s="1">
        <v>0.1792</v>
      </c>
      <c r="T281" s="1">
        <v>5.8970000000000002E-2</v>
      </c>
      <c r="U281" s="1">
        <v>0.14019999999999999</v>
      </c>
      <c r="V281" s="1">
        <v>0.54169999999999996</v>
      </c>
      <c r="W281" s="1">
        <v>1.101</v>
      </c>
      <c r="X281" s="1">
        <v>11.35</v>
      </c>
      <c r="Y281" s="1">
        <v>5.2119999999999996E-3</v>
      </c>
      <c r="Z281" s="1">
        <v>2.9839999999999998E-2</v>
      </c>
      <c r="AA281" s="1">
        <v>2.443E-2</v>
      </c>
      <c r="AB281" s="1">
        <v>8.3560000000000006E-3</v>
      </c>
      <c r="AC281" s="1">
        <v>1.8180000000000002E-2</v>
      </c>
      <c r="AD281" s="1">
        <v>4.8679999999999999E-3</v>
      </c>
      <c r="AE281" s="1">
        <v>14.54</v>
      </c>
      <c r="AF281" s="1">
        <v>19.64</v>
      </c>
      <c r="AG281" s="1">
        <v>97.96</v>
      </c>
      <c r="AH281" s="1">
        <v>657</v>
      </c>
      <c r="AI281" s="1">
        <v>0.1275</v>
      </c>
      <c r="AJ281" s="1">
        <v>0.31040000000000001</v>
      </c>
      <c r="AK281" s="1">
        <v>0.25690000000000002</v>
      </c>
      <c r="AL281" s="1">
        <v>0.10539999999999999</v>
      </c>
      <c r="AM281" s="1">
        <v>0.3387</v>
      </c>
      <c r="AN281" s="1">
        <v>9.6379999999999993E-2</v>
      </c>
    </row>
    <row r="282" spans="1:40" s="1" customFormat="1" ht="15" x14ac:dyDescent="0.25">
      <c r="A282" s="1">
        <v>9013838</v>
      </c>
      <c r="B282" s="1" t="s">
        <v>36</v>
      </c>
      <c r="C282" s="1">
        <v>11.08</v>
      </c>
      <c r="D282" s="1">
        <v>18.829999999999998</v>
      </c>
      <c r="E282" s="2"/>
      <c r="F282" s="2"/>
      <c r="G282" s="2"/>
      <c r="H282" s="2"/>
      <c r="I282" s="2"/>
      <c r="J282" s="2"/>
      <c r="K282" s="2"/>
      <c r="L282" s="2"/>
      <c r="M282" s="1">
        <v>73.3</v>
      </c>
      <c r="N282" s="1">
        <v>361.6</v>
      </c>
      <c r="O282" s="1">
        <v>0.1216</v>
      </c>
      <c r="P282" s="1">
        <v>0.21540000000000001</v>
      </c>
      <c r="Q282" s="1">
        <v>0.16889999999999999</v>
      </c>
      <c r="R282" s="1">
        <v>6.3670000000000004E-2</v>
      </c>
      <c r="S282" s="1">
        <v>0.21959999999999999</v>
      </c>
      <c r="T282" s="1">
        <v>7.9500000000000001E-2</v>
      </c>
      <c r="U282" s="1">
        <v>0.2114</v>
      </c>
      <c r="V282" s="1">
        <v>1.0269999999999999</v>
      </c>
      <c r="W282" s="1">
        <v>1.7190000000000001</v>
      </c>
      <c r="X282" s="1">
        <v>13.99</v>
      </c>
      <c r="Y282" s="1">
        <v>7.4050000000000001E-3</v>
      </c>
      <c r="Z282" s="1">
        <v>4.5490000000000003E-2</v>
      </c>
      <c r="AA282" s="1">
        <v>4.5879999999999997E-2</v>
      </c>
      <c r="AB282" s="1">
        <v>1.3390000000000001E-2</v>
      </c>
      <c r="AC282" s="1">
        <v>1.738E-2</v>
      </c>
      <c r="AD282" s="1">
        <v>4.4349999999999997E-3</v>
      </c>
      <c r="AE282" s="1">
        <v>13.24</v>
      </c>
      <c r="AF282" s="1">
        <v>32.82</v>
      </c>
      <c r="AG282" s="1">
        <v>91.76</v>
      </c>
      <c r="AH282" s="1">
        <v>508.1</v>
      </c>
      <c r="AI282" s="1">
        <v>0.21840000000000001</v>
      </c>
      <c r="AJ282" s="1">
        <v>0.93789999999999996</v>
      </c>
      <c r="AK282" s="1">
        <v>0.84019999999999995</v>
      </c>
      <c r="AL282" s="1">
        <v>0.25240000000000001</v>
      </c>
      <c r="AM282" s="1">
        <v>0.41539999999999999</v>
      </c>
      <c r="AN282" s="1">
        <v>0.14030000000000001</v>
      </c>
    </row>
    <row r="283" spans="1:40" s="1" customFormat="1" ht="15" x14ac:dyDescent="0.25">
      <c r="A283" s="1">
        <v>901549</v>
      </c>
      <c r="B283" s="1" t="s">
        <v>37</v>
      </c>
      <c r="C283" s="1">
        <v>11.27</v>
      </c>
      <c r="D283" s="1">
        <v>12.96</v>
      </c>
      <c r="E283" s="2"/>
      <c r="F283" s="2"/>
      <c r="G283" s="2"/>
      <c r="H283" s="2"/>
      <c r="I283" s="2"/>
      <c r="J283" s="2"/>
      <c r="K283" s="2"/>
      <c r="L283" s="2"/>
      <c r="M283" s="1">
        <v>73.16</v>
      </c>
      <c r="N283" s="1">
        <v>386.3</v>
      </c>
      <c r="O283" s="1">
        <v>0.1237</v>
      </c>
      <c r="P283" s="1">
        <v>0.1111</v>
      </c>
      <c r="Q283" s="1">
        <v>7.9000000000000001E-2</v>
      </c>
      <c r="R283" s="1">
        <v>5.5500000000000001E-2</v>
      </c>
      <c r="S283" s="1">
        <v>0.20180000000000001</v>
      </c>
      <c r="T283" s="1">
        <v>6.9139999999999993E-2</v>
      </c>
      <c r="U283" s="1">
        <v>0.25619999999999998</v>
      </c>
      <c r="V283" s="1">
        <v>0.98580000000000001</v>
      </c>
      <c r="W283" s="1">
        <v>1.8089999999999999</v>
      </c>
      <c r="X283" s="1">
        <v>16.04</v>
      </c>
      <c r="Y283" s="1">
        <v>6.6350000000000003E-3</v>
      </c>
      <c r="Z283" s="1">
        <v>1.7770000000000001E-2</v>
      </c>
      <c r="AA283" s="1">
        <v>2.1010000000000001E-2</v>
      </c>
      <c r="AB283" s="1">
        <v>1.1639999999999999E-2</v>
      </c>
      <c r="AC283" s="1">
        <v>2.1080000000000002E-2</v>
      </c>
      <c r="AD283" s="1">
        <v>3.7209999999999999E-3</v>
      </c>
      <c r="AE283" s="1">
        <v>12.84</v>
      </c>
      <c r="AF283" s="1">
        <v>20.53</v>
      </c>
      <c r="AG283" s="1">
        <v>84.93</v>
      </c>
      <c r="AH283" s="1">
        <v>476.1</v>
      </c>
      <c r="AI283" s="1">
        <v>0.161</v>
      </c>
      <c r="AJ283" s="1">
        <v>0.2429</v>
      </c>
      <c r="AK283" s="1">
        <v>0.22470000000000001</v>
      </c>
      <c r="AL283" s="1">
        <v>0.1318</v>
      </c>
      <c r="AM283" s="1">
        <v>0.33429999999999999</v>
      </c>
      <c r="AN283" s="1">
        <v>9.2149999999999996E-2</v>
      </c>
    </row>
    <row r="284" spans="1:40" s="1" customFormat="1" ht="15" x14ac:dyDescent="0.25">
      <c r="A284" s="1">
        <v>901836</v>
      </c>
      <c r="B284" s="1" t="s">
        <v>37</v>
      </c>
      <c r="C284" s="1">
        <v>11.04</v>
      </c>
      <c r="D284" s="1">
        <v>14.93</v>
      </c>
      <c r="E284" s="2"/>
      <c r="F284" s="2"/>
      <c r="G284" s="2"/>
      <c r="H284" s="2"/>
      <c r="I284" s="2"/>
      <c r="J284" s="2"/>
      <c r="K284" s="2"/>
      <c r="L284" s="2"/>
      <c r="M284" s="1">
        <v>70.67</v>
      </c>
      <c r="N284" s="1">
        <v>372.7</v>
      </c>
      <c r="O284" s="1">
        <v>7.9869999999999997E-2</v>
      </c>
      <c r="P284" s="1">
        <v>7.0790000000000006E-2</v>
      </c>
      <c r="Q284" s="1">
        <v>3.5459999999999998E-2</v>
      </c>
      <c r="R284" s="1">
        <v>2.0740000000000001E-2</v>
      </c>
      <c r="S284" s="1">
        <v>0.20030000000000001</v>
      </c>
      <c r="T284" s="1">
        <v>6.2460000000000002E-2</v>
      </c>
      <c r="U284" s="1">
        <v>0.16420000000000001</v>
      </c>
      <c r="V284" s="1">
        <v>1.0309999999999999</v>
      </c>
      <c r="W284" s="1">
        <v>1.2809999999999999</v>
      </c>
      <c r="X284" s="1">
        <v>11.68</v>
      </c>
      <c r="Y284" s="1">
        <v>5.2960000000000004E-3</v>
      </c>
      <c r="Z284" s="1">
        <v>1.9029999999999998E-2</v>
      </c>
      <c r="AA284" s="1">
        <v>1.7229999999999999E-2</v>
      </c>
      <c r="AB284" s="1">
        <v>6.96E-3</v>
      </c>
      <c r="AC284" s="1">
        <v>1.8800000000000001E-2</v>
      </c>
      <c r="AD284" s="1">
        <v>1.941E-3</v>
      </c>
      <c r="AE284" s="1">
        <v>12.09</v>
      </c>
      <c r="AF284" s="1">
        <v>20.83</v>
      </c>
      <c r="AG284" s="1">
        <v>79.73</v>
      </c>
      <c r="AH284" s="1">
        <v>447.1</v>
      </c>
      <c r="AI284" s="1">
        <v>0.1095</v>
      </c>
      <c r="AJ284" s="1">
        <v>0.19819999999999999</v>
      </c>
      <c r="AK284" s="1">
        <v>0.15529999999999999</v>
      </c>
      <c r="AL284" s="1">
        <v>6.7540000000000003E-2</v>
      </c>
      <c r="AM284" s="1">
        <v>0.32019999999999998</v>
      </c>
      <c r="AN284" s="1">
        <v>7.2870000000000004E-2</v>
      </c>
    </row>
    <row r="285" spans="1:40" s="1" customFormat="1" ht="15" x14ac:dyDescent="0.25">
      <c r="A285" s="1">
        <v>90250</v>
      </c>
      <c r="B285" s="1" t="s">
        <v>37</v>
      </c>
      <c r="C285" s="1">
        <v>12.05</v>
      </c>
      <c r="D285" s="1">
        <v>22.72</v>
      </c>
      <c r="E285" s="2"/>
      <c r="F285" s="2"/>
      <c r="G285" s="2"/>
      <c r="H285" s="2"/>
      <c r="I285" s="2"/>
      <c r="J285" s="2"/>
      <c r="K285" s="2"/>
      <c r="L285" s="2"/>
      <c r="M285" s="1">
        <v>78.75</v>
      </c>
      <c r="N285" s="1">
        <v>447.8</v>
      </c>
      <c r="O285" s="1">
        <v>6.9349999999999995E-2</v>
      </c>
      <c r="P285" s="1">
        <v>0.10730000000000001</v>
      </c>
      <c r="Q285" s="1">
        <v>7.9430000000000001E-2</v>
      </c>
      <c r="R285" s="1">
        <v>2.9780000000000001E-2</v>
      </c>
      <c r="S285" s="1">
        <v>0.1203</v>
      </c>
      <c r="T285" s="1">
        <v>6.6589999999999996E-2</v>
      </c>
      <c r="U285" s="1">
        <v>0.11940000000000001</v>
      </c>
      <c r="V285" s="1">
        <v>1.4339999999999999</v>
      </c>
      <c r="W285" s="1">
        <v>1.778</v>
      </c>
      <c r="X285" s="1">
        <v>9.5489999999999995</v>
      </c>
      <c r="Y285" s="1">
        <v>5.0419999999999996E-3</v>
      </c>
      <c r="Z285" s="1">
        <v>4.5600000000000002E-2</v>
      </c>
      <c r="AA285" s="1">
        <v>4.3049999999999998E-2</v>
      </c>
      <c r="AB285" s="1">
        <v>1.6670000000000001E-2</v>
      </c>
      <c r="AC285" s="1">
        <v>2.47E-2</v>
      </c>
      <c r="AD285" s="1">
        <v>7.358E-3</v>
      </c>
      <c r="AE285" s="1">
        <v>12.57</v>
      </c>
      <c r="AF285" s="1">
        <v>28.71</v>
      </c>
      <c r="AG285" s="1">
        <v>87.36</v>
      </c>
      <c r="AH285" s="1">
        <v>488.4</v>
      </c>
      <c r="AI285" s="1">
        <v>8.7989999999999999E-2</v>
      </c>
      <c r="AJ285" s="1">
        <v>0.32140000000000002</v>
      </c>
      <c r="AK285" s="1">
        <v>0.29120000000000001</v>
      </c>
      <c r="AL285" s="1">
        <v>0.10920000000000001</v>
      </c>
      <c r="AM285" s="1">
        <v>0.21909999999999999</v>
      </c>
      <c r="AN285" s="1">
        <v>9.3490000000000004E-2</v>
      </c>
    </row>
    <row r="286" spans="1:40" s="1" customFormat="1" ht="15" x14ac:dyDescent="0.25">
      <c r="A286" s="1">
        <v>90251</v>
      </c>
      <c r="B286" s="1" t="s">
        <v>37</v>
      </c>
      <c r="C286" s="1">
        <v>12.39</v>
      </c>
      <c r="D286" s="1">
        <v>17.48</v>
      </c>
      <c r="E286" s="2"/>
      <c r="F286" s="2"/>
      <c r="G286" s="2"/>
      <c r="H286" s="2"/>
      <c r="I286" s="2"/>
      <c r="J286" s="2"/>
      <c r="K286" s="2"/>
      <c r="L286" s="2"/>
      <c r="M286" s="1">
        <v>80.64</v>
      </c>
      <c r="N286" s="1">
        <v>462.9</v>
      </c>
      <c r="O286" s="1">
        <v>0.1042</v>
      </c>
      <c r="P286" s="1">
        <v>0.12970000000000001</v>
      </c>
      <c r="Q286" s="1">
        <v>5.892E-2</v>
      </c>
      <c r="R286" s="1">
        <v>2.8799999999999999E-2</v>
      </c>
      <c r="S286" s="1">
        <v>0.1779</v>
      </c>
      <c r="T286" s="1">
        <v>6.5879999999999994E-2</v>
      </c>
      <c r="U286" s="1">
        <v>0.26079999999999998</v>
      </c>
      <c r="V286" s="1">
        <v>0.873</v>
      </c>
      <c r="W286" s="1">
        <v>2.117</v>
      </c>
      <c r="X286" s="1">
        <v>19.2</v>
      </c>
      <c r="Y286" s="1">
        <v>6.7149999999999996E-3</v>
      </c>
      <c r="Z286" s="1">
        <v>3.705E-2</v>
      </c>
      <c r="AA286" s="1">
        <v>4.7570000000000001E-2</v>
      </c>
      <c r="AB286" s="1">
        <v>1.051E-2</v>
      </c>
      <c r="AC286" s="1">
        <v>1.8380000000000001E-2</v>
      </c>
      <c r="AD286" s="1">
        <v>6.8840000000000004E-3</v>
      </c>
      <c r="AE286" s="1">
        <v>14.18</v>
      </c>
      <c r="AF286" s="1">
        <v>23.13</v>
      </c>
      <c r="AG286" s="1">
        <v>95.23</v>
      </c>
      <c r="AH286" s="1">
        <v>600.5</v>
      </c>
      <c r="AI286" s="1">
        <v>0.14269999999999999</v>
      </c>
      <c r="AJ286" s="1">
        <v>0.35930000000000001</v>
      </c>
      <c r="AK286" s="1">
        <v>0.3206</v>
      </c>
      <c r="AL286" s="1">
        <v>9.8040000000000002E-2</v>
      </c>
      <c r="AM286" s="1">
        <v>0.28189999999999998</v>
      </c>
      <c r="AN286" s="1">
        <v>0.1118</v>
      </c>
    </row>
    <row r="287" spans="1:40" s="1" customFormat="1" ht="15" x14ac:dyDescent="0.25">
      <c r="A287" s="1">
        <v>902727</v>
      </c>
      <c r="B287" s="1" t="s">
        <v>37</v>
      </c>
      <c r="C287" s="1">
        <v>13.28</v>
      </c>
      <c r="D287" s="1">
        <v>13.72</v>
      </c>
      <c r="E287" s="2"/>
      <c r="F287" s="2"/>
      <c r="G287" s="2"/>
      <c r="H287" s="2"/>
      <c r="I287" s="2"/>
      <c r="J287" s="2"/>
      <c r="K287" s="2"/>
      <c r="L287" s="2"/>
      <c r="M287" s="1">
        <v>85.79</v>
      </c>
      <c r="N287" s="1">
        <v>541.79999999999995</v>
      </c>
      <c r="O287" s="1">
        <v>8.3629999999999996E-2</v>
      </c>
      <c r="P287" s="1">
        <v>8.5750000000000007E-2</v>
      </c>
      <c r="Q287" s="1">
        <v>5.0770000000000003E-2</v>
      </c>
      <c r="R287" s="1">
        <v>2.8639999999999999E-2</v>
      </c>
      <c r="S287" s="1">
        <v>0.16170000000000001</v>
      </c>
      <c r="T287" s="1">
        <v>5.5939999999999997E-2</v>
      </c>
      <c r="U287" s="1">
        <v>0.18329999999999999</v>
      </c>
      <c r="V287" s="1">
        <v>0.53080000000000005</v>
      </c>
      <c r="W287" s="1">
        <v>1.5920000000000001</v>
      </c>
      <c r="X287" s="1">
        <v>15.26</v>
      </c>
      <c r="Y287" s="1">
        <v>4.2709999999999996E-3</v>
      </c>
      <c r="Z287" s="1">
        <v>2.0729999999999998E-2</v>
      </c>
      <c r="AA287" s="1">
        <v>2.828E-2</v>
      </c>
      <c r="AB287" s="1">
        <v>8.4679999999999998E-3</v>
      </c>
      <c r="AC287" s="1">
        <v>1.461E-2</v>
      </c>
      <c r="AD287" s="1">
        <v>2.6129999999999999E-3</v>
      </c>
      <c r="AE287" s="1">
        <v>14.24</v>
      </c>
      <c r="AF287" s="1">
        <v>17.37</v>
      </c>
      <c r="AG287" s="1">
        <v>96.59</v>
      </c>
      <c r="AH287" s="1">
        <v>623.70000000000005</v>
      </c>
      <c r="AI287" s="1">
        <v>0.1166</v>
      </c>
      <c r="AJ287" s="1">
        <v>0.26850000000000002</v>
      </c>
      <c r="AK287" s="1">
        <v>0.28660000000000002</v>
      </c>
      <c r="AL287" s="1">
        <v>9.1730000000000006E-2</v>
      </c>
      <c r="AM287" s="1">
        <v>0.27360000000000001</v>
      </c>
      <c r="AN287" s="1">
        <v>7.3200000000000001E-2</v>
      </c>
    </row>
    <row r="288" spans="1:40" s="1" customFormat="1" ht="15" x14ac:dyDescent="0.25">
      <c r="A288" s="1">
        <v>90291</v>
      </c>
      <c r="B288" s="1" t="s">
        <v>36</v>
      </c>
      <c r="C288" s="1">
        <v>14.6</v>
      </c>
      <c r="D288" s="1">
        <v>23.29</v>
      </c>
      <c r="E288" s="2"/>
      <c r="F288" s="2"/>
      <c r="G288" s="2"/>
      <c r="H288" s="2"/>
      <c r="I288" s="2"/>
      <c r="J288" s="2"/>
      <c r="K288" s="2"/>
      <c r="L288" s="2"/>
      <c r="M288" s="1">
        <v>93.97</v>
      </c>
      <c r="N288" s="1">
        <v>664.7</v>
      </c>
      <c r="O288" s="1">
        <v>8.6819999999999994E-2</v>
      </c>
      <c r="P288" s="1">
        <v>6.6360000000000002E-2</v>
      </c>
      <c r="Q288" s="1">
        <v>8.3900000000000002E-2</v>
      </c>
      <c r="R288" s="1">
        <v>5.271E-2</v>
      </c>
      <c r="S288" s="1">
        <v>0.16270000000000001</v>
      </c>
      <c r="T288" s="1">
        <v>5.416E-2</v>
      </c>
      <c r="U288" s="1">
        <v>0.41570000000000001</v>
      </c>
      <c r="V288" s="1">
        <v>1.627</v>
      </c>
      <c r="W288" s="1">
        <v>2.9140000000000001</v>
      </c>
      <c r="X288" s="1">
        <v>33.01</v>
      </c>
      <c r="Y288" s="1">
        <v>8.3119999999999999E-3</v>
      </c>
      <c r="Z288" s="1">
        <v>1.7420000000000001E-2</v>
      </c>
      <c r="AA288" s="1">
        <v>3.3890000000000003E-2</v>
      </c>
      <c r="AB288" s="1">
        <v>1.576E-2</v>
      </c>
      <c r="AC288" s="1">
        <v>1.7399999999999999E-2</v>
      </c>
      <c r="AD288" s="1">
        <v>2.8709999999999999E-3</v>
      </c>
      <c r="AE288" s="1">
        <v>15.79</v>
      </c>
      <c r="AF288" s="1">
        <v>31.71</v>
      </c>
      <c r="AG288" s="1">
        <v>102.2</v>
      </c>
      <c r="AH288" s="1">
        <v>758.2</v>
      </c>
      <c r="AI288" s="1">
        <v>0.13120000000000001</v>
      </c>
      <c r="AJ288" s="1">
        <v>0.15809999999999999</v>
      </c>
      <c r="AK288" s="1">
        <v>0.26750000000000002</v>
      </c>
      <c r="AL288" s="1">
        <v>0.13589999999999999</v>
      </c>
      <c r="AM288" s="1">
        <v>0.2477</v>
      </c>
      <c r="AN288" s="1">
        <v>6.8360000000000004E-2</v>
      </c>
    </row>
    <row r="289" spans="1:40" s="1" customFormat="1" ht="15" x14ac:dyDescent="0.25">
      <c r="A289" s="1">
        <v>902975</v>
      </c>
      <c r="B289" s="1" t="s">
        <v>37</v>
      </c>
      <c r="C289" s="1">
        <v>12.21</v>
      </c>
      <c r="D289" s="1">
        <v>14.09</v>
      </c>
      <c r="E289" s="2"/>
      <c r="F289" s="2"/>
      <c r="G289" s="2"/>
      <c r="H289" s="2"/>
      <c r="I289" s="2"/>
      <c r="J289" s="2"/>
      <c r="K289" s="2"/>
      <c r="L289" s="2"/>
      <c r="M289" s="1">
        <v>78.78</v>
      </c>
      <c r="N289" s="1">
        <v>462</v>
      </c>
      <c r="O289" s="1">
        <v>8.1079999999999999E-2</v>
      </c>
      <c r="P289" s="1">
        <v>7.8229999999999994E-2</v>
      </c>
      <c r="Q289" s="1">
        <v>6.8390000000000006E-2</v>
      </c>
      <c r="R289" s="1">
        <v>2.5340000000000001E-2</v>
      </c>
      <c r="S289" s="1">
        <v>0.1646</v>
      </c>
      <c r="T289" s="1">
        <v>6.1539999999999997E-2</v>
      </c>
      <c r="U289" s="1">
        <v>0.2666</v>
      </c>
      <c r="V289" s="1">
        <v>0.83089999999999997</v>
      </c>
      <c r="W289" s="1">
        <v>2.097</v>
      </c>
      <c r="X289" s="1">
        <v>19.96</v>
      </c>
      <c r="Y289" s="1">
        <v>4.4050000000000001E-3</v>
      </c>
      <c r="Z289" s="1">
        <v>3.0259999999999999E-2</v>
      </c>
      <c r="AA289" s="1">
        <v>4.3439999999999999E-2</v>
      </c>
      <c r="AB289" s="1">
        <v>1.0869999999999999E-2</v>
      </c>
      <c r="AC289" s="1">
        <v>1.9210000000000001E-2</v>
      </c>
      <c r="AD289" s="1">
        <v>4.6220000000000002E-3</v>
      </c>
      <c r="AE289" s="1">
        <v>13.13</v>
      </c>
      <c r="AF289" s="1">
        <v>19.29</v>
      </c>
      <c r="AG289" s="1">
        <v>87.65</v>
      </c>
      <c r="AH289" s="1">
        <v>529.9</v>
      </c>
      <c r="AI289" s="1">
        <v>0.1026</v>
      </c>
      <c r="AJ289" s="1">
        <v>0.24310000000000001</v>
      </c>
      <c r="AK289" s="1">
        <v>0.30759999999999998</v>
      </c>
      <c r="AL289" s="1">
        <v>9.1399999999999995E-2</v>
      </c>
      <c r="AM289" s="1">
        <v>0.26769999999999999</v>
      </c>
      <c r="AN289" s="1">
        <v>8.8239999999999999E-2</v>
      </c>
    </row>
    <row r="290" spans="1:40" s="1" customFormat="1" ht="15" x14ac:dyDescent="0.25">
      <c r="A290" s="1">
        <v>902976</v>
      </c>
      <c r="B290" s="1" t="s">
        <v>37</v>
      </c>
      <c r="C290" s="1">
        <v>13.88</v>
      </c>
      <c r="D290" s="1">
        <v>16.16</v>
      </c>
      <c r="E290" s="2"/>
      <c r="F290" s="2"/>
      <c r="G290" s="2"/>
      <c r="H290" s="2"/>
      <c r="I290" s="2"/>
      <c r="J290" s="2"/>
      <c r="K290" s="2"/>
      <c r="L290" s="2"/>
      <c r="M290" s="1">
        <v>88.37</v>
      </c>
      <c r="N290" s="1">
        <v>596.6</v>
      </c>
      <c r="O290" s="1">
        <v>7.0260000000000003E-2</v>
      </c>
      <c r="P290" s="1">
        <v>4.8309999999999999E-2</v>
      </c>
      <c r="Q290" s="1">
        <v>2.0449999999999999E-2</v>
      </c>
      <c r="R290" s="1">
        <v>8.5070000000000007E-3</v>
      </c>
      <c r="S290" s="1">
        <v>0.16070000000000001</v>
      </c>
      <c r="T290" s="1">
        <v>5.4739999999999997E-2</v>
      </c>
      <c r="U290" s="1">
        <v>0.25409999999999999</v>
      </c>
      <c r="V290" s="1">
        <v>0.62180000000000002</v>
      </c>
      <c r="W290" s="1">
        <v>1.7090000000000001</v>
      </c>
      <c r="X290" s="1">
        <v>23.12</v>
      </c>
      <c r="Y290" s="1">
        <v>3.728E-3</v>
      </c>
      <c r="Z290" s="1">
        <v>1.4149999999999999E-2</v>
      </c>
      <c r="AA290" s="1">
        <v>1.9879999999999998E-2</v>
      </c>
      <c r="AB290" s="1">
        <v>7.0159999999999997E-3</v>
      </c>
      <c r="AC290" s="1">
        <v>1.6469999999999999E-2</v>
      </c>
      <c r="AD290" s="1">
        <v>1.97E-3</v>
      </c>
      <c r="AE290" s="1">
        <v>15.51</v>
      </c>
      <c r="AF290" s="1">
        <v>19.97</v>
      </c>
      <c r="AG290" s="1">
        <v>99.66</v>
      </c>
      <c r="AH290" s="1">
        <v>745.3</v>
      </c>
      <c r="AI290" s="1">
        <v>8.4839999999999999E-2</v>
      </c>
      <c r="AJ290" s="1">
        <v>0.12330000000000001</v>
      </c>
      <c r="AK290" s="1">
        <v>0.1091</v>
      </c>
      <c r="AL290" s="1">
        <v>4.5370000000000001E-2</v>
      </c>
      <c r="AM290" s="1">
        <v>0.25419999999999998</v>
      </c>
      <c r="AN290" s="1">
        <v>6.6229999999999997E-2</v>
      </c>
    </row>
    <row r="291" spans="1:40" s="1" customFormat="1" ht="15" x14ac:dyDescent="0.25">
      <c r="A291" s="1">
        <v>903011</v>
      </c>
      <c r="B291" s="1" t="s">
        <v>37</v>
      </c>
      <c r="C291" s="1">
        <v>11.27</v>
      </c>
      <c r="D291" s="1">
        <v>15.5</v>
      </c>
      <c r="E291" s="2"/>
      <c r="F291" s="2"/>
      <c r="G291" s="2"/>
      <c r="H291" s="2"/>
      <c r="I291" s="2"/>
      <c r="J291" s="2"/>
      <c r="K291" s="2"/>
      <c r="L291" s="2"/>
      <c r="M291" s="1">
        <v>73.38</v>
      </c>
      <c r="N291" s="1">
        <v>392</v>
      </c>
      <c r="O291" s="1">
        <v>8.3650000000000002E-2</v>
      </c>
      <c r="P291" s="1">
        <v>0.1114</v>
      </c>
      <c r="Q291" s="1">
        <v>0.1007</v>
      </c>
      <c r="R291" s="1">
        <v>2.7570000000000001E-2</v>
      </c>
      <c r="S291" s="1">
        <v>0.18099999999999999</v>
      </c>
      <c r="T291" s="1">
        <v>7.2520000000000001E-2</v>
      </c>
      <c r="U291" s="1">
        <v>0.33050000000000002</v>
      </c>
      <c r="V291" s="1">
        <v>1.0669999999999999</v>
      </c>
      <c r="W291" s="1">
        <v>2.569</v>
      </c>
      <c r="X291" s="1">
        <v>22.97</v>
      </c>
      <c r="Y291" s="1">
        <v>1.038E-2</v>
      </c>
      <c r="Z291" s="1">
        <v>6.6689999999999999E-2</v>
      </c>
      <c r="AA291" s="1">
        <v>9.4719999999999999E-2</v>
      </c>
      <c r="AB291" s="1">
        <v>2.0469999999999999E-2</v>
      </c>
      <c r="AC291" s="1">
        <v>1.2189999999999999E-2</v>
      </c>
      <c r="AD291" s="1">
        <v>1.2330000000000001E-2</v>
      </c>
      <c r="AE291" s="1">
        <v>12.04</v>
      </c>
      <c r="AF291" s="1">
        <v>18.93</v>
      </c>
      <c r="AG291" s="1">
        <v>79.73</v>
      </c>
      <c r="AH291" s="1">
        <v>450</v>
      </c>
      <c r="AI291" s="1">
        <v>0.11020000000000001</v>
      </c>
      <c r="AJ291" s="1">
        <v>0.28089999999999998</v>
      </c>
      <c r="AK291" s="1">
        <v>0.30209999999999998</v>
      </c>
      <c r="AL291" s="1">
        <v>8.2720000000000002E-2</v>
      </c>
      <c r="AM291" s="1">
        <v>0.2157</v>
      </c>
      <c r="AN291" s="1">
        <v>0.1043</v>
      </c>
    </row>
    <row r="292" spans="1:40" s="1" customFormat="1" ht="15" x14ac:dyDescent="0.25">
      <c r="A292" s="1">
        <v>90312</v>
      </c>
      <c r="B292" s="1" t="s">
        <v>36</v>
      </c>
      <c r="C292" s="1">
        <v>19.55</v>
      </c>
      <c r="D292" s="1">
        <v>23.21</v>
      </c>
      <c r="E292" s="2"/>
      <c r="F292" s="2"/>
      <c r="G292" s="2"/>
      <c r="H292" s="2"/>
      <c r="I292" s="2"/>
      <c r="J292" s="2"/>
      <c r="K292" s="2"/>
      <c r="L292" s="2"/>
      <c r="M292" s="1">
        <v>128.9</v>
      </c>
      <c r="N292" s="1">
        <v>1174</v>
      </c>
      <c r="O292" s="1">
        <v>0.10100000000000001</v>
      </c>
      <c r="P292" s="1">
        <v>0.1318</v>
      </c>
      <c r="Q292" s="1">
        <v>0.18559999999999999</v>
      </c>
      <c r="R292" s="1">
        <v>0.1021</v>
      </c>
      <c r="S292" s="1">
        <v>0.19889999999999999</v>
      </c>
      <c r="T292" s="1">
        <v>5.8840000000000003E-2</v>
      </c>
      <c r="U292" s="1">
        <v>0.61070000000000002</v>
      </c>
      <c r="V292" s="1">
        <v>2.8359999999999999</v>
      </c>
      <c r="W292" s="1">
        <v>5.383</v>
      </c>
      <c r="X292" s="1">
        <v>70.099999999999994</v>
      </c>
      <c r="Y292" s="1">
        <v>1.124E-2</v>
      </c>
      <c r="Z292" s="1">
        <v>4.0969999999999999E-2</v>
      </c>
      <c r="AA292" s="1">
        <v>7.4690000000000006E-2</v>
      </c>
      <c r="AB292" s="1">
        <v>3.4410000000000003E-2</v>
      </c>
      <c r="AC292" s="1">
        <v>2.768E-2</v>
      </c>
      <c r="AD292" s="1">
        <v>6.2399999999999999E-3</v>
      </c>
      <c r="AE292" s="1">
        <v>20.82</v>
      </c>
      <c r="AF292" s="1">
        <v>30.44</v>
      </c>
      <c r="AG292" s="1">
        <v>142</v>
      </c>
      <c r="AH292" s="1">
        <v>1313</v>
      </c>
      <c r="AI292" s="1">
        <v>0.12509999999999999</v>
      </c>
      <c r="AJ292" s="1">
        <v>0.2414</v>
      </c>
      <c r="AK292" s="1">
        <v>0.38290000000000002</v>
      </c>
      <c r="AL292" s="1">
        <v>0.1825</v>
      </c>
      <c r="AM292" s="1">
        <v>0.2576</v>
      </c>
      <c r="AN292" s="1">
        <v>7.6020000000000004E-2</v>
      </c>
    </row>
    <row r="293" spans="1:40" s="1" customFormat="1" ht="15" x14ac:dyDescent="0.25">
      <c r="A293" s="1">
        <v>90317302</v>
      </c>
      <c r="B293" s="1" t="s">
        <v>37</v>
      </c>
      <c r="C293" s="1">
        <v>10.26</v>
      </c>
      <c r="D293" s="1">
        <v>12.22</v>
      </c>
      <c r="E293" s="2"/>
      <c r="F293" s="2"/>
      <c r="G293" s="2"/>
      <c r="H293" s="2"/>
      <c r="I293" s="2"/>
      <c r="J293" s="2"/>
      <c r="K293" s="2"/>
      <c r="L293" s="2"/>
      <c r="M293" s="1">
        <v>65.75</v>
      </c>
      <c r="N293" s="1">
        <v>321.60000000000002</v>
      </c>
      <c r="O293" s="1">
        <v>9.9959999999999993E-2</v>
      </c>
      <c r="P293" s="1">
        <v>7.5420000000000001E-2</v>
      </c>
      <c r="Q293" s="1">
        <v>1.9230000000000001E-2</v>
      </c>
      <c r="R293" s="1">
        <v>1.968E-2</v>
      </c>
      <c r="S293" s="1">
        <v>0.18</v>
      </c>
      <c r="T293" s="1">
        <v>6.5689999999999998E-2</v>
      </c>
      <c r="U293" s="1">
        <v>0.19109999999999999</v>
      </c>
      <c r="V293" s="1">
        <v>0.54769999999999996</v>
      </c>
      <c r="W293" s="1">
        <v>1.3480000000000001</v>
      </c>
      <c r="X293" s="1">
        <v>11.88</v>
      </c>
      <c r="Y293" s="1">
        <v>5.6820000000000004E-3</v>
      </c>
      <c r="Z293" s="1">
        <v>1.3650000000000001E-2</v>
      </c>
      <c r="AA293" s="1">
        <v>8.4960000000000001E-3</v>
      </c>
      <c r="AB293" s="1">
        <v>6.9290000000000003E-3</v>
      </c>
      <c r="AC293" s="1">
        <v>1.9380000000000001E-2</v>
      </c>
      <c r="AD293" s="1">
        <v>2.3709999999999998E-3</v>
      </c>
      <c r="AE293" s="1">
        <v>11.38</v>
      </c>
      <c r="AF293" s="1">
        <v>15.65</v>
      </c>
      <c r="AG293" s="1">
        <v>73.23</v>
      </c>
      <c r="AH293" s="1">
        <v>394.5</v>
      </c>
      <c r="AI293" s="1">
        <v>0.1343</v>
      </c>
      <c r="AJ293" s="1">
        <v>0.16500000000000001</v>
      </c>
      <c r="AK293" s="1">
        <v>8.6150000000000004E-2</v>
      </c>
      <c r="AL293" s="1">
        <v>6.6960000000000006E-2</v>
      </c>
      <c r="AM293" s="1">
        <v>0.29370000000000002</v>
      </c>
      <c r="AN293" s="1">
        <v>7.7219999999999997E-2</v>
      </c>
    </row>
    <row r="294" spans="1:40" s="1" customFormat="1" ht="15" x14ac:dyDescent="0.25">
      <c r="A294" s="1">
        <v>903483</v>
      </c>
      <c r="B294" s="1" t="s">
        <v>37</v>
      </c>
      <c r="C294" s="1">
        <v>8.734</v>
      </c>
      <c r="D294" s="1">
        <v>16.84</v>
      </c>
      <c r="E294" s="2"/>
      <c r="F294" s="2"/>
      <c r="G294" s="2"/>
      <c r="H294" s="2"/>
      <c r="I294" s="2"/>
      <c r="J294" s="2"/>
      <c r="K294" s="2"/>
      <c r="L294" s="2"/>
      <c r="M294" s="1">
        <v>55.27</v>
      </c>
      <c r="N294" s="1">
        <v>234.3</v>
      </c>
      <c r="O294" s="1">
        <v>0.10390000000000001</v>
      </c>
      <c r="P294" s="1">
        <v>7.4279999999999999E-2</v>
      </c>
      <c r="Q294" s="1">
        <v>0</v>
      </c>
      <c r="R294" s="1">
        <v>0</v>
      </c>
      <c r="S294" s="1">
        <v>0.19850000000000001</v>
      </c>
      <c r="T294" s="1">
        <v>7.0980000000000001E-2</v>
      </c>
      <c r="U294" s="1">
        <v>0.51690000000000003</v>
      </c>
      <c r="V294" s="1">
        <v>2.0790000000000002</v>
      </c>
      <c r="W294" s="1">
        <v>3.1669999999999998</v>
      </c>
      <c r="X294" s="1">
        <v>28.85</v>
      </c>
      <c r="Y294" s="1">
        <v>1.5820000000000001E-2</v>
      </c>
      <c r="Z294" s="1">
        <v>1.966E-2</v>
      </c>
      <c r="AA294" s="1">
        <v>0</v>
      </c>
      <c r="AB294" s="1">
        <v>0</v>
      </c>
      <c r="AC294" s="1">
        <v>1.865E-2</v>
      </c>
      <c r="AD294" s="1">
        <v>6.7359999999999998E-3</v>
      </c>
      <c r="AE294" s="1">
        <v>10.17</v>
      </c>
      <c r="AF294" s="1">
        <v>22.8</v>
      </c>
      <c r="AG294" s="1">
        <v>64.010000000000005</v>
      </c>
      <c r="AH294" s="1">
        <v>317</v>
      </c>
      <c r="AI294" s="1">
        <v>0.14599999999999999</v>
      </c>
      <c r="AJ294" s="1">
        <v>0.13100000000000001</v>
      </c>
      <c r="AK294" s="1">
        <v>0</v>
      </c>
      <c r="AL294" s="1">
        <v>0</v>
      </c>
      <c r="AM294" s="1">
        <v>0.2445</v>
      </c>
      <c r="AN294" s="1">
        <v>8.8650000000000007E-2</v>
      </c>
    </row>
    <row r="295" spans="1:40" s="1" customFormat="1" ht="15" x14ac:dyDescent="0.25">
      <c r="A295" s="1">
        <v>903507</v>
      </c>
      <c r="B295" s="1" t="s">
        <v>36</v>
      </c>
      <c r="C295" s="1">
        <v>15.49</v>
      </c>
      <c r="D295" s="1">
        <v>19.97</v>
      </c>
      <c r="E295" s="2"/>
      <c r="F295" s="2"/>
      <c r="G295" s="2"/>
      <c r="H295" s="2"/>
      <c r="I295" s="2"/>
      <c r="J295" s="2"/>
      <c r="K295" s="2"/>
      <c r="L295" s="2"/>
      <c r="M295" s="1">
        <v>102.4</v>
      </c>
      <c r="N295" s="1">
        <v>744.7</v>
      </c>
      <c r="O295" s="1">
        <v>0.11600000000000001</v>
      </c>
      <c r="P295" s="1">
        <v>0.15620000000000001</v>
      </c>
      <c r="Q295" s="1">
        <v>0.18909999999999999</v>
      </c>
      <c r="R295" s="1">
        <v>9.1130000000000003E-2</v>
      </c>
      <c r="S295" s="1">
        <v>0.19289999999999999</v>
      </c>
      <c r="T295" s="1">
        <v>6.744E-2</v>
      </c>
      <c r="U295" s="1">
        <v>0.64700000000000002</v>
      </c>
      <c r="V295" s="1">
        <v>1.331</v>
      </c>
      <c r="W295" s="1">
        <v>4.6749999999999998</v>
      </c>
      <c r="X295" s="1">
        <v>66.91</v>
      </c>
      <c r="Y295" s="1">
        <v>7.2690000000000003E-3</v>
      </c>
      <c r="Z295" s="1">
        <v>2.928E-2</v>
      </c>
      <c r="AA295" s="1">
        <v>4.972E-2</v>
      </c>
      <c r="AB295" s="1">
        <v>1.6389999999999998E-2</v>
      </c>
      <c r="AC295" s="1">
        <v>1.8519999999999998E-2</v>
      </c>
      <c r="AD295" s="1">
        <v>4.2319999999999997E-3</v>
      </c>
      <c r="AE295" s="1">
        <v>21.2</v>
      </c>
      <c r="AF295" s="1">
        <v>29.41</v>
      </c>
      <c r="AG295" s="1">
        <v>142.1</v>
      </c>
      <c r="AH295" s="1">
        <v>1359</v>
      </c>
      <c r="AI295" s="1">
        <v>0.1681</v>
      </c>
      <c r="AJ295" s="1">
        <v>0.39129999999999998</v>
      </c>
      <c r="AK295" s="1">
        <v>0.55530000000000002</v>
      </c>
      <c r="AL295" s="1">
        <v>0.21210000000000001</v>
      </c>
      <c r="AM295" s="1">
        <v>0.31869999999999998</v>
      </c>
      <c r="AN295" s="1">
        <v>0.1019</v>
      </c>
    </row>
    <row r="296" spans="1:40" s="1" customFormat="1" ht="15" x14ac:dyDescent="0.25">
      <c r="A296" s="1">
        <v>903516</v>
      </c>
      <c r="B296" s="1" t="s">
        <v>36</v>
      </c>
      <c r="C296" s="1">
        <v>21.61</v>
      </c>
      <c r="D296" s="1">
        <v>22.28</v>
      </c>
      <c r="E296" s="2"/>
      <c r="F296" s="2"/>
      <c r="G296" s="2"/>
      <c r="H296" s="2"/>
      <c r="I296" s="2"/>
      <c r="J296" s="2"/>
      <c r="K296" s="2"/>
      <c r="L296" s="2"/>
      <c r="M296" s="1">
        <v>144.4</v>
      </c>
      <c r="N296" s="1">
        <v>1407</v>
      </c>
      <c r="O296" s="1">
        <v>0.1167</v>
      </c>
      <c r="P296" s="1">
        <v>0.2087</v>
      </c>
      <c r="Q296" s="1">
        <v>0.28100000000000003</v>
      </c>
      <c r="R296" s="1">
        <v>0.15620000000000001</v>
      </c>
      <c r="S296" s="1">
        <v>0.2162</v>
      </c>
      <c r="T296" s="1">
        <v>6.6059999999999994E-2</v>
      </c>
      <c r="U296" s="1">
        <v>0.62419999999999998</v>
      </c>
      <c r="V296" s="1">
        <v>0.92090000000000005</v>
      </c>
      <c r="W296" s="1">
        <v>4.1580000000000004</v>
      </c>
      <c r="X296" s="1">
        <v>80.989999999999995</v>
      </c>
      <c r="Y296" s="1">
        <v>5.215E-3</v>
      </c>
      <c r="Z296" s="1">
        <v>3.7260000000000001E-2</v>
      </c>
      <c r="AA296" s="1">
        <v>4.718E-2</v>
      </c>
      <c r="AB296" s="1">
        <v>1.2880000000000001E-2</v>
      </c>
      <c r="AC296" s="1">
        <v>2.0449999999999999E-2</v>
      </c>
      <c r="AD296" s="1">
        <v>4.0280000000000003E-3</v>
      </c>
      <c r="AE296" s="1">
        <v>26.23</v>
      </c>
      <c r="AF296" s="1">
        <v>28.74</v>
      </c>
      <c r="AG296" s="1">
        <v>172</v>
      </c>
      <c r="AH296" s="1">
        <v>2081</v>
      </c>
      <c r="AI296" s="1">
        <v>0.1502</v>
      </c>
      <c r="AJ296" s="1">
        <v>0.57169999999999999</v>
      </c>
      <c r="AK296" s="1">
        <v>0.70530000000000004</v>
      </c>
      <c r="AL296" s="1">
        <v>0.2422</v>
      </c>
      <c r="AM296" s="1">
        <v>0.38279999999999997</v>
      </c>
      <c r="AN296" s="1">
        <v>0.1007</v>
      </c>
    </row>
    <row r="297" spans="1:40" s="1" customFormat="1" ht="15" x14ac:dyDescent="0.25">
      <c r="A297" s="1">
        <v>903554</v>
      </c>
      <c r="B297" s="1" t="s">
        <v>37</v>
      </c>
      <c r="C297" s="1">
        <v>12.1</v>
      </c>
      <c r="D297" s="1">
        <v>17.72</v>
      </c>
      <c r="E297" s="2"/>
      <c r="F297" s="2"/>
      <c r="G297" s="2"/>
      <c r="H297" s="2"/>
      <c r="I297" s="2"/>
      <c r="J297" s="2"/>
      <c r="K297" s="2"/>
      <c r="L297" s="2"/>
      <c r="M297" s="1">
        <v>78.069999999999993</v>
      </c>
      <c r="N297" s="1">
        <v>446.2</v>
      </c>
      <c r="O297" s="1">
        <v>0.10290000000000001</v>
      </c>
      <c r="P297" s="1">
        <v>9.758E-2</v>
      </c>
      <c r="Q297" s="1">
        <v>4.7829999999999998E-2</v>
      </c>
      <c r="R297" s="1">
        <v>3.3259999999999998E-2</v>
      </c>
      <c r="S297" s="1">
        <v>0.19370000000000001</v>
      </c>
      <c r="T297" s="1">
        <v>6.1609999999999998E-2</v>
      </c>
      <c r="U297" s="1">
        <v>0.28410000000000002</v>
      </c>
      <c r="V297" s="1">
        <v>1.6519999999999999</v>
      </c>
      <c r="W297" s="1">
        <v>1.869</v>
      </c>
      <c r="X297" s="1">
        <v>22.22</v>
      </c>
      <c r="Y297" s="1">
        <v>8.1460000000000005E-3</v>
      </c>
      <c r="Z297" s="1">
        <v>1.6310000000000002E-2</v>
      </c>
      <c r="AA297" s="1">
        <v>1.8429999999999998E-2</v>
      </c>
      <c r="AB297" s="1">
        <v>7.5129999999999997E-3</v>
      </c>
      <c r="AC297" s="1">
        <v>2.0150000000000001E-2</v>
      </c>
      <c r="AD297" s="1">
        <v>1.7979999999999999E-3</v>
      </c>
      <c r="AE297" s="1">
        <v>13.56</v>
      </c>
      <c r="AF297" s="1">
        <v>25.8</v>
      </c>
      <c r="AG297" s="1">
        <v>88.33</v>
      </c>
      <c r="AH297" s="1">
        <v>559.5</v>
      </c>
      <c r="AI297" s="1">
        <v>0.14319999999999999</v>
      </c>
      <c r="AJ297" s="1">
        <v>0.17730000000000001</v>
      </c>
      <c r="AK297" s="1">
        <v>0.1603</v>
      </c>
      <c r="AL297" s="1">
        <v>6.2659999999999993E-2</v>
      </c>
      <c r="AM297" s="1">
        <v>0.3049</v>
      </c>
      <c r="AN297" s="1">
        <v>7.0809999999999998E-2</v>
      </c>
    </row>
    <row r="298" spans="1:40" s="1" customFormat="1" ht="15" x14ac:dyDescent="0.25">
      <c r="A298" s="1">
        <v>903811</v>
      </c>
      <c r="B298" s="1" t="s">
        <v>37</v>
      </c>
      <c r="C298" s="1">
        <v>14.06</v>
      </c>
      <c r="D298" s="1">
        <v>17.18</v>
      </c>
      <c r="E298" s="2"/>
      <c r="F298" s="2"/>
      <c r="G298" s="2"/>
      <c r="H298" s="2"/>
      <c r="I298" s="2"/>
      <c r="J298" s="2"/>
      <c r="K298" s="2"/>
      <c r="L298" s="2"/>
      <c r="M298" s="1">
        <v>89.75</v>
      </c>
      <c r="N298" s="1">
        <v>609.1</v>
      </c>
      <c r="O298" s="1">
        <v>8.0449999999999994E-2</v>
      </c>
      <c r="P298" s="1">
        <v>5.3609999999999998E-2</v>
      </c>
      <c r="Q298" s="1">
        <v>2.681E-2</v>
      </c>
      <c r="R298" s="1">
        <v>3.2509999999999997E-2</v>
      </c>
      <c r="S298" s="1">
        <v>0.1641</v>
      </c>
      <c r="T298" s="1">
        <v>5.7639999999999997E-2</v>
      </c>
      <c r="U298" s="1">
        <v>0.15040000000000001</v>
      </c>
      <c r="V298" s="1">
        <v>1.6850000000000001</v>
      </c>
      <c r="W298" s="1">
        <v>1.2370000000000001</v>
      </c>
      <c r="X298" s="1">
        <v>12.67</v>
      </c>
      <c r="Y298" s="1">
        <v>5.3709999999999999E-3</v>
      </c>
      <c r="Z298" s="1">
        <v>1.273E-2</v>
      </c>
      <c r="AA298" s="1">
        <v>1.132E-2</v>
      </c>
      <c r="AB298" s="1">
        <v>9.1549999999999999E-3</v>
      </c>
      <c r="AC298" s="1">
        <v>1.719E-2</v>
      </c>
      <c r="AD298" s="1">
        <v>1.444E-3</v>
      </c>
      <c r="AE298" s="1">
        <v>14.92</v>
      </c>
      <c r="AF298" s="1">
        <v>25.34</v>
      </c>
      <c r="AG298" s="1">
        <v>96.42</v>
      </c>
      <c r="AH298" s="1">
        <v>684.5</v>
      </c>
      <c r="AI298" s="1">
        <v>0.1066</v>
      </c>
      <c r="AJ298" s="1">
        <v>0.1231</v>
      </c>
      <c r="AK298" s="1">
        <v>8.4599999999999995E-2</v>
      </c>
      <c r="AL298" s="1">
        <v>7.911E-2</v>
      </c>
      <c r="AM298" s="1">
        <v>0.25230000000000002</v>
      </c>
      <c r="AN298" s="1">
        <v>6.6089999999999996E-2</v>
      </c>
    </row>
    <row r="299" spans="1:40" s="1" customFormat="1" ht="15" x14ac:dyDescent="0.25">
      <c r="A299" s="1">
        <v>90401601</v>
      </c>
      <c r="B299" s="1" t="s">
        <v>37</v>
      </c>
      <c r="C299" s="1">
        <v>13.51</v>
      </c>
      <c r="D299" s="1">
        <v>18.89</v>
      </c>
      <c r="E299" s="2"/>
      <c r="F299" s="2"/>
      <c r="G299" s="2"/>
      <c r="H299" s="2"/>
      <c r="I299" s="2"/>
      <c r="J299" s="2"/>
      <c r="K299" s="2"/>
      <c r="L299" s="2"/>
      <c r="M299" s="1">
        <v>88.1</v>
      </c>
      <c r="N299" s="1">
        <v>558.1</v>
      </c>
      <c r="O299" s="1">
        <v>0.10589999999999999</v>
      </c>
      <c r="P299" s="1">
        <v>0.1147</v>
      </c>
      <c r="Q299" s="1">
        <v>8.5800000000000001E-2</v>
      </c>
      <c r="R299" s="1">
        <v>5.3809999999999997E-2</v>
      </c>
      <c r="S299" s="1">
        <v>0.18060000000000001</v>
      </c>
      <c r="T299" s="1">
        <v>6.0789999999999997E-2</v>
      </c>
      <c r="U299" s="1">
        <v>0.21360000000000001</v>
      </c>
      <c r="V299" s="1">
        <v>1.3320000000000001</v>
      </c>
      <c r="W299" s="1">
        <v>1.5129999999999999</v>
      </c>
      <c r="X299" s="1">
        <v>19.29</v>
      </c>
      <c r="Y299" s="1">
        <v>5.4419999999999998E-3</v>
      </c>
      <c r="Z299" s="1">
        <v>1.9570000000000001E-2</v>
      </c>
      <c r="AA299" s="1">
        <v>3.304E-2</v>
      </c>
      <c r="AB299" s="1">
        <v>1.367E-2</v>
      </c>
      <c r="AC299" s="1">
        <v>1.315E-2</v>
      </c>
      <c r="AD299" s="1">
        <v>2.464E-3</v>
      </c>
      <c r="AE299" s="1">
        <v>14.8</v>
      </c>
      <c r="AF299" s="1">
        <v>27.2</v>
      </c>
      <c r="AG299" s="1">
        <v>97.33</v>
      </c>
      <c r="AH299" s="1">
        <v>675.2</v>
      </c>
      <c r="AI299" s="1">
        <v>0.14280000000000001</v>
      </c>
      <c r="AJ299" s="1">
        <v>0.25700000000000001</v>
      </c>
      <c r="AK299" s="1">
        <v>0.34379999999999999</v>
      </c>
      <c r="AL299" s="1">
        <v>0.14530000000000001</v>
      </c>
      <c r="AM299" s="1">
        <v>0.2666</v>
      </c>
      <c r="AN299" s="1">
        <v>7.6859999999999998E-2</v>
      </c>
    </row>
    <row r="300" spans="1:40" s="1" customFormat="1" ht="15" x14ac:dyDescent="0.25">
      <c r="A300" s="1">
        <v>90401602</v>
      </c>
      <c r="B300" s="1" t="s">
        <v>37</v>
      </c>
      <c r="C300" s="1">
        <v>12.8</v>
      </c>
      <c r="D300" s="1">
        <v>17.46</v>
      </c>
      <c r="E300" s="2"/>
      <c r="F300" s="2"/>
      <c r="G300" s="2"/>
      <c r="H300" s="2"/>
      <c r="I300" s="2"/>
      <c r="J300" s="2"/>
      <c r="K300" s="2"/>
      <c r="L300" s="2"/>
      <c r="M300" s="1">
        <v>83.05</v>
      </c>
      <c r="N300" s="1">
        <v>508.3</v>
      </c>
      <c r="O300" s="1">
        <v>8.0439999999999998E-2</v>
      </c>
      <c r="P300" s="1">
        <v>8.8950000000000001E-2</v>
      </c>
      <c r="Q300" s="1">
        <v>7.3899999999999993E-2</v>
      </c>
      <c r="R300" s="1">
        <v>4.0829999999999998E-2</v>
      </c>
      <c r="S300" s="1">
        <v>0.15740000000000001</v>
      </c>
      <c r="T300" s="1">
        <v>5.7500000000000002E-2</v>
      </c>
      <c r="U300" s="1">
        <v>0.3639</v>
      </c>
      <c r="V300" s="1">
        <v>1.2649999999999999</v>
      </c>
      <c r="W300" s="1">
        <v>2.6680000000000001</v>
      </c>
      <c r="X300" s="1">
        <v>30.57</v>
      </c>
      <c r="Y300" s="1">
        <v>5.4209999999999996E-3</v>
      </c>
      <c r="Z300" s="1">
        <v>3.4770000000000002E-2</v>
      </c>
      <c r="AA300" s="1">
        <v>4.5449999999999997E-2</v>
      </c>
      <c r="AB300" s="1">
        <v>1.384E-2</v>
      </c>
      <c r="AC300" s="1">
        <v>1.8689999999999998E-2</v>
      </c>
      <c r="AD300" s="1">
        <v>4.0670000000000003E-3</v>
      </c>
      <c r="AE300" s="1">
        <v>13.74</v>
      </c>
      <c r="AF300" s="1">
        <v>21.06</v>
      </c>
      <c r="AG300" s="1">
        <v>90.72</v>
      </c>
      <c r="AH300" s="1">
        <v>591</v>
      </c>
      <c r="AI300" s="1">
        <v>9.5339999999999994E-2</v>
      </c>
      <c r="AJ300" s="1">
        <v>0.1812</v>
      </c>
      <c r="AK300" s="1">
        <v>0.19009999999999999</v>
      </c>
      <c r="AL300" s="1">
        <v>8.2960000000000006E-2</v>
      </c>
      <c r="AM300" s="1">
        <v>0.1988</v>
      </c>
      <c r="AN300" s="1">
        <v>7.0529999999999995E-2</v>
      </c>
    </row>
    <row r="301" spans="1:40" s="1" customFormat="1" ht="15" x14ac:dyDescent="0.25">
      <c r="A301" s="1">
        <v>904302</v>
      </c>
      <c r="B301" s="1" t="s">
        <v>37</v>
      </c>
      <c r="C301" s="1">
        <v>11.06</v>
      </c>
      <c r="D301" s="1">
        <v>14.83</v>
      </c>
      <c r="E301" s="2"/>
      <c r="F301" s="2"/>
      <c r="G301" s="2"/>
      <c r="H301" s="2"/>
      <c r="I301" s="2"/>
      <c r="J301" s="2"/>
      <c r="K301" s="2"/>
      <c r="L301" s="2"/>
      <c r="M301" s="1">
        <v>70.31</v>
      </c>
      <c r="N301" s="1">
        <v>378.2</v>
      </c>
      <c r="O301" s="1">
        <v>7.7410000000000007E-2</v>
      </c>
      <c r="P301" s="1">
        <v>4.768E-2</v>
      </c>
      <c r="Q301" s="1">
        <v>2.7119999999999998E-2</v>
      </c>
      <c r="R301" s="1">
        <v>7.2459999999999998E-3</v>
      </c>
      <c r="S301" s="1">
        <v>0.1535</v>
      </c>
      <c r="T301" s="1">
        <v>6.2140000000000001E-2</v>
      </c>
      <c r="U301" s="1">
        <v>0.1855</v>
      </c>
      <c r="V301" s="1">
        <v>0.68810000000000004</v>
      </c>
      <c r="W301" s="1">
        <v>1.2629999999999999</v>
      </c>
      <c r="X301" s="1">
        <v>12.98</v>
      </c>
      <c r="Y301" s="1">
        <v>4.2589999999999998E-3</v>
      </c>
      <c r="Z301" s="1">
        <v>1.469E-2</v>
      </c>
      <c r="AA301" s="1">
        <v>1.9400000000000001E-2</v>
      </c>
      <c r="AB301" s="1">
        <v>4.1679999999999998E-3</v>
      </c>
      <c r="AC301" s="1">
        <v>1.191E-2</v>
      </c>
      <c r="AD301" s="1">
        <v>3.5370000000000002E-3</v>
      </c>
      <c r="AE301" s="1">
        <v>12.68</v>
      </c>
      <c r="AF301" s="1">
        <v>20.350000000000001</v>
      </c>
      <c r="AG301" s="1">
        <v>80.790000000000006</v>
      </c>
      <c r="AH301" s="1">
        <v>496.7</v>
      </c>
      <c r="AI301" s="1">
        <v>0.112</v>
      </c>
      <c r="AJ301" s="1">
        <v>0.18790000000000001</v>
      </c>
      <c r="AK301" s="1">
        <v>0.2079</v>
      </c>
      <c r="AL301" s="1">
        <v>5.5559999999999998E-2</v>
      </c>
      <c r="AM301" s="1">
        <v>0.25900000000000001</v>
      </c>
      <c r="AN301" s="1">
        <v>9.1579999999999995E-2</v>
      </c>
    </row>
    <row r="302" spans="1:40" s="1" customFormat="1" ht="15" x14ac:dyDescent="0.25">
      <c r="A302" s="1">
        <v>904357</v>
      </c>
      <c r="B302" s="1" t="s">
        <v>37</v>
      </c>
      <c r="C302" s="1">
        <v>11.8</v>
      </c>
      <c r="D302" s="1">
        <v>17.260000000000002</v>
      </c>
      <c r="E302" s="2"/>
      <c r="F302" s="2"/>
      <c r="G302" s="2"/>
      <c r="H302" s="2"/>
      <c r="I302" s="2"/>
      <c r="J302" s="2"/>
      <c r="K302" s="2"/>
      <c r="L302" s="2"/>
      <c r="M302" s="1">
        <v>75.260000000000005</v>
      </c>
      <c r="N302" s="1">
        <v>431.9</v>
      </c>
      <c r="O302" s="1">
        <v>9.0870000000000006E-2</v>
      </c>
      <c r="P302" s="1">
        <v>6.232E-2</v>
      </c>
      <c r="Q302" s="1">
        <v>2.853E-2</v>
      </c>
      <c r="R302" s="1">
        <v>1.6379999999999999E-2</v>
      </c>
      <c r="S302" s="1">
        <v>0.1847</v>
      </c>
      <c r="T302" s="1">
        <v>6.019E-2</v>
      </c>
      <c r="U302" s="1">
        <v>0.34379999999999999</v>
      </c>
      <c r="V302" s="1">
        <v>1.1399999999999999</v>
      </c>
      <c r="W302" s="1">
        <v>2.2250000000000001</v>
      </c>
      <c r="X302" s="1">
        <v>25.06</v>
      </c>
      <c r="Y302" s="1">
        <v>5.463E-3</v>
      </c>
      <c r="Z302" s="1">
        <v>1.9640000000000001E-2</v>
      </c>
      <c r="AA302" s="1">
        <v>2.0789999999999999E-2</v>
      </c>
      <c r="AB302" s="1">
        <v>5.398E-3</v>
      </c>
      <c r="AC302" s="1">
        <v>1.477E-2</v>
      </c>
      <c r="AD302" s="1">
        <v>3.0709999999999999E-3</v>
      </c>
      <c r="AE302" s="1">
        <v>13.45</v>
      </c>
      <c r="AF302" s="1">
        <v>24.49</v>
      </c>
      <c r="AG302" s="1">
        <v>86</v>
      </c>
      <c r="AH302" s="1">
        <v>562</v>
      </c>
      <c r="AI302" s="1">
        <v>0.1244</v>
      </c>
      <c r="AJ302" s="1">
        <v>0.1726</v>
      </c>
      <c r="AK302" s="1">
        <v>0.1449</v>
      </c>
      <c r="AL302" s="1">
        <v>5.3560000000000003E-2</v>
      </c>
      <c r="AM302" s="1">
        <v>0.27789999999999998</v>
      </c>
      <c r="AN302" s="1">
        <v>8.1210000000000004E-2</v>
      </c>
    </row>
    <row r="303" spans="1:40" s="1" customFormat="1" ht="15" x14ac:dyDescent="0.25">
      <c r="A303" s="1">
        <v>90439701</v>
      </c>
      <c r="B303" s="1" t="s">
        <v>36</v>
      </c>
      <c r="C303" s="1">
        <v>17.91</v>
      </c>
      <c r="D303" s="1">
        <v>21.02</v>
      </c>
      <c r="E303" s="2"/>
      <c r="F303" s="2"/>
      <c r="G303" s="2"/>
      <c r="H303" s="2"/>
      <c r="I303" s="2"/>
      <c r="J303" s="2"/>
      <c r="K303" s="2"/>
      <c r="L303" s="2"/>
      <c r="M303" s="1">
        <v>124.4</v>
      </c>
      <c r="N303" s="1">
        <v>994</v>
      </c>
      <c r="O303" s="1">
        <v>0.123</v>
      </c>
      <c r="P303" s="1">
        <v>0.2576</v>
      </c>
      <c r="Q303" s="1">
        <v>0.31890000000000002</v>
      </c>
      <c r="R303" s="1">
        <v>0.1198</v>
      </c>
      <c r="S303" s="1">
        <v>0.21129999999999999</v>
      </c>
      <c r="T303" s="1">
        <v>7.1150000000000005E-2</v>
      </c>
      <c r="U303" s="1">
        <v>0.40300000000000002</v>
      </c>
      <c r="V303" s="1">
        <v>0.77470000000000006</v>
      </c>
      <c r="W303" s="1">
        <v>3.1230000000000002</v>
      </c>
      <c r="X303" s="1">
        <v>41.51</v>
      </c>
      <c r="Y303" s="1">
        <v>7.1590000000000004E-3</v>
      </c>
      <c r="Z303" s="1">
        <v>3.7179999999999998E-2</v>
      </c>
      <c r="AA303" s="1">
        <v>6.1650000000000003E-2</v>
      </c>
      <c r="AB303" s="1">
        <v>1.051E-2</v>
      </c>
      <c r="AC303" s="1">
        <v>1.5910000000000001E-2</v>
      </c>
      <c r="AD303" s="1">
        <v>5.0990000000000002E-3</v>
      </c>
      <c r="AE303" s="1">
        <v>20.8</v>
      </c>
      <c r="AF303" s="1">
        <v>27.78</v>
      </c>
      <c r="AG303" s="1">
        <v>149.6</v>
      </c>
      <c r="AH303" s="1">
        <v>1304</v>
      </c>
      <c r="AI303" s="1">
        <v>0.18729999999999999</v>
      </c>
      <c r="AJ303" s="1">
        <v>0.5917</v>
      </c>
      <c r="AK303" s="1">
        <v>0.90339999999999998</v>
      </c>
      <c r="AL303" s="1">
        <v>0.19639999999999999</v>
      </c>
      <c r="AM303" s="1">
        <v>0.32450000000000001</v>
      </c>
      <c r="AN303" s="1">
        <v>0.1198</v>
      </c>
    </row>
    <row r="304" spans="1:40" s="1" customFormat="1" ht="15" x14ac:dyDescent="0.25">
      <c r="A304" s="1">
        <v>904647</v>
      </c>
      <c r="B304" s="1" t="s">
        <v>37</v>
      </c>
      <c r="C304" s="1">
        <v>11.93</v>
      </c>
      <c r="D304" s="1">
        <v>10.91</v>
      </c>
      <c r="E304" s="2"/>
      <c r="F304" s="2"/>
      <c r="G304" s="2"/>
      <c r="H304" s="2"/>
      <c r="I304" s="2"/>
      <c r="J304" s="2"/>
      <c r="K304" s="2"/>
      <c r="L304" s="2"/>
      <c r="M304" s="1">
        <v>76.14</v>
      </c>
      <c r="N304" s="1">
        <v>442.7</v>
      </c>
      <c r="O304" s="1">
        <v>8.8719999999999993E-2</v>
      </c>
      <c r="P304" s="1">
        <v>5.2420000000000001E-2</v>
      </c>
      <c r="Q304" s="1">
        <v>2.606E-2</v>
      </c>
      <c r="R304" s="1">
        <v>1.796E-2</v>
      </c>
      <c r="S304" s="1">
        <v>0.16009999999999999</v>
      </c>
      <c r="T304" s="1">
        <v>5.5410000000000001E-2</v>
      </c>
      <c r="U304" s="1">
        <v>0.25219999999999998</v>
      </c>
      <c r="V304" s="1">
        <v>1.0449999999999999</v>
      </c>
      <c r="W304" s="1">
        <v>1.649</v>
      </c>
      <c r="X304" s="1">
        <v>18.95</v>
      </c>
      <c r="Y304" s="1">
        <v>6.1749999999999999E-3</v>
      </c>
      <c r="Z304" s="1">
        <v>1.204E-2</v>
      </c>
      <c r="AA304" s="1">
        <v>1.376E-2</v>
      </c>
      <c r="AB304" s="1">
        <v>5.8320000000000004E-3</v>
      </c>
      <c r="AC304" s="1">
        <v>1.0959999999999999E-2</v>
      </c>
      <c r="AD304" s="1">
        <v>1.8569999999999999E-3</v>
      </c>
      <c r="AE304" s="1">
        <v>13.8</v>
      </c>
      <c r="AF304" s="1">
        <v>20.14</v>
      </c>
      <c r="AG304" s="1">
        <v>87.64</v>
      </c>
      <c r="AH304" s="1">
        <v>589.5</v>
      </c>
      <c r="AI304" s="1">
        <v>0.13739999999999999</v>
      </c>
      <c r="AJ304" s="1">
        <v>0.1575</v>
      </c>
      <c r="AK304" s="1">
        <v>0.15140000000000001</v>
      </c>
      <c r="AL304" s="1">
        <v>6.8760000000000002E-2</v>
      </c>
      <c r="AM304" s="1">
        <v>0.246</v>
      </c>
      <c r="AN304" s="1">
        <v>7.2620000000000004E-2</v>
      </c>
    </row>
    <row r="305" spans="1:40" s="1" customFormat="1" ht="15" x14ac:dyDescent="0.25">
      <c r="A305" s="1">
        <v>904689</v>
      </c>
      <c r="B305" s="1" t="s">
        <v>37</v>
      </c>
      <c r="C305" s="1">
        <v>12.96</v>
      </c>
      <c r="D305" s="1">
        <v>18.29</v>
      </c>
      <c r="E305" s="2"/>
      <c r="F305" s="2"/>
      <c r="G305" s="2"/>
      <c r="H305" s="2"/>
      <c r="I305" s="2"/>
      <c r="J305" s="2"/>
      <c r="K305" s="2"/>
      <c r="L305" s="2"/>
      <c r="M305" s="1">
        <v>84.18</v>
      </c>
      <c r="N305" s="1">
        <v>525.20000000000005</v>
      </c>
      <c r="O305" s="1">
        <v>7.3510000000000006E-2</v>
      </c>
      <c r="P305" s="1">
        <v>7.8990000000000005E-2</v>
      </c>
      <c r="Q305" s="1">
        <v>4.0570000000000002E-2</v>
      </c>
      <c r="R305" s="1">
        <v>1.883E-2</v>
      </c>
      <c r="S305" s="1">
        <v>0.18740000000000001</v>
      </c>
      <c r="T305" s="1">
        <v>5.8990000000000001E-2</v>
      </c>
      <c r="U305" s="1">
        <v>0.23569999999999999</v>
      </c>
      <c r="V305" s="1">
        <v>1.2989999999999999</v>
      </c>
      <c r="W305" s="1">
        <v>2.3969999999999998</v>
      </c>
      <c r="X305" s="1">
        <v>20.21</v>
      </c>
      <c r="Y305" s="1">
        <v>3.6289999999999998E-3</v>
      </c>
      <c r="Z305" s="1">
        <v>3.7130000000000003E-2</v>
      </c>
      <c r="AA305" s="1">
        <v>3.4520000000000002E-2</v>
      </c>
      <c r="AB305" s="1">
        <v>1.065E-2</v>
      </c>
      <c r="AC305" s="1">
        <v>2.632E-2</v>
      </c>
      <c r="AD305" s="1">
        <v>3.705E-3</v>
      </c>
      <c r="AE305" s="1">
        <v>14.13</v>
      </c>
      <c r="AF305" s="1">
        <v>24.61</v>
      </c>
      <c r="AG305" s="1">
        <v>96.31</v>
      </c>
      <c r="AH305" s="1">
        <v>621.9</v>
      </c>
      <c r="AI305" s="1">
        <v>9.3289999999999998E-2</v>
      </c>
      <c r="AJ305" s="1">
        <v>0.23180000000000001</v>
      </c>
      <c r="AK305" s="1">
        <v>0.16039999999999999</v>
      </c>
      <c r="AL305" s="1">
        <v>6.608E-2</v>
      </c>
      <c r="AM305" s="1">
        <v>0.32069999999999999</v>
      </c>
      <c r="AN305" s="1">
        <v>7.2470000000000007E-2</v>
      </c>
    </row>
    <row r="306" spans="1:40" s="1" customFormat="1" ht="15" x14ac:dyDescent="0.25">
      <c r="A306" s="1">
        <v>9047</v>
      </c>
      <c r="B306" s="1" t="s">
        <v>37</v>
      </c>
      <c r="C306" s="1">
        <v>12.94</v>
      </c>
      <c r="D306" s="1">
        <v>16.170000000000002</v>
      </c>
      <c r="E306" s="2"/>
      <c r="F306" s="2"/>
      <c r="G306" s="2"/>
      <c r="H306" s="2"/>
      <c r="I306" s="2"/>
      <c r="J306" s="2"/>
      <c r="K306" s="2"/>
      <c r="L306" s="2"/>
      <c r="M306" s="1">
        <v>83.18</v>
      </c>
      <c r="N306" s="1">
        <v>507.6</v>
      </c>
      <c r="O306" s="1">
        <v>9.8790000000000003E-2</v>
      </c>
      <c r="P306" s="1">
        <v>8.8359999999999994E-2</v>
      </c>
      <c r="Q306" s="1">
        <v>3.2960000000000003E-2</v>
      </c>
      <c r="R306" s="1">
        <v>2.3900000000000001E-2</v>
      </c>
      <c r="S306" s="1">
        <v>0.17349999999999999</v>
      </c>
      <c r="T306" s="1">
        <v>6.2E-2</v>
      </c>
      <c r="U306" s="1">
        <v>0.14580000000000001</v>
      </c>
      <c r="V306" s="1">
        <v>0.90500000000000003</v>
      </c>
      <c r="W306" s="1">
        <v>0.99750000000000005</v>
      </c>
      <c r="X306" s="1">
        <v>11.36</v>
      </c>
      <c r="Y306" s="1">
        <v>2.8869999999999998E-3</v>
      </c>
      <c r="Z306" s="1">
        <v>1.285E-2</v>
      </c>
      <c r="AA306" s="1">
        <v>1.6129999999999999E-2</v>
      </c>
      <c r="AB306" s="1">
        <v>7.3080000000000003E-3</v>
      </c>
      <c r="AC306" s="1">
        <v>1.8700000000000001E-2</v>
      </c>
      <c r="AD306" s="1">
        <v>1.9719999999999998E-3</v>
      </c>
      <c r="AE306" s="1">
        <v>13.86</v>
      </c>
      <c r="AF306" s="1">
        <v>23.02</v>
      </c>
      <c r="AG306" s="1">
        <v>89.69</v>
      </c>
      <c r="AH306" s="1">
        <v>580.9</v>
      </c>
      <c r="AI306" s="1">
        <v>0.1172</v>
      </c>
      <c r="AJ306" s="1">
        <v>0.1958</v>
      </c>
      <c r="AK306" s="1">
        <v>0.18099999999999999</v>
      </c>
      <c r="AL306" s="1">
        <v>8.3879999999999996E-2</v>
      </c>
      <c r="AM306" s="1">
        <v>0.32969999999999999</v>
      </c>
      <c r="AN306" s="1">
        <v>7.8340000000000007E-2</v>
      </c>
    </row>
    <row r="307" spans="1:40" s="1" customFormat="1" ht="15" x14ac:dyDescent="0.25">
      <c r="A307" s="1">
        <v>904969</v>
      </c>
      <c r="B307" s="1" t="s">
        <v>37</v>
      </c>
      <c r="C307" s="1">
        <v>12.34</v>
      </c>
      <c r="D307" s="1">
        <v>14.95</v>
      </c>
      <c r="E307" s="2"/>
      <c r="F307" s="2"/>
      <c r="G307" s="2"/>
      <c r="H307" s="2"/>
      <c r="I307" s="2"/>
      <c r="J307" s="2"/>
      <c r="K307" s="2"/>
      <c r="L307" s="2"/>
      <c r="M307" s="1">
        <v>78.290000000000006</v>
      </c>
      <c r="N307" s="1">
        <v>469.1</v>
      </c>
      <c r="O307" s="1">
        <v>8.6819999999999994E-2</v>
      </c>
      <c r="P307" s="1">
        <v>4.5710000000000001E-2</v>
      </c>
      <c r="Q307" s="1">
        <v>2.1090000000000001E-2</v>
      </c>
      <c r="R307" s="1">
        <v>2.0539999999999999E-2</v>
      </c>
      <c r="S307" s="1">
        <v>0.15709999999999999</v>
      </c>
      <c r="T307" s="1">
        <v>5.7079999999999999E-2</v>
      </c>
      <c r="U307" s="1">
        <v>0.38329999999999997</v>
      </c>
      <c r="V307" s="1">
        <v>0.90780000000000005</v>
      </c>
      <c r="W307" s="1">
        <v>2.6019999999999999</v>
      </c>
      <c r="X307" s="1">
        <v>30.15</v>
      </c>
      <c r="Y307" s="1">
        <v>7.7019999999999996E-3</v>
      </c>
      <c r="Z307" s="1">
        <v>8.4910000000000003E-3</v>
      </c>
      <c r="AA307" s="1">
        <v>1.307E-2</v>
      </c>
      <c r="AB307" s="1">
        <v>1.03E-2</v>
      </c>
      <c r="AC307" s="1">
        <v>2.9700000000000001E-2</v>
      </c>
      <c r="AD307" s="1">
        <v>1.4319999999999999E-3</v>
      </c>
      <c r="AE307" s="1">
        <v>13.18</v>
      </c>
      <c r="AF307" s="1">
        <v>16.850000000000001</v>
      </c>
      <c r="AG307" s="1">
        <v>84.11</v>
      </c>
      <c r="AH307" s="1">
        <v>533.1</v>
      </c>
      <c r="AI307" s="1">
        <v>0.1048</v>
      </c>
      <c r="AJ307" s="1">
        <v>6.744E-2</v>
      </c>
      <c r="AK307" s="1">
        <v>4.9209999999999997E-2</v>
      </c>
      <c r="AL307" s="1">
        <v>4.793E-2</v>
      </c>
      <c r="AM307" s="1">
        <v>0.2298</v>
      </c>
      <c r="AN307" s="1">
        <v>5.9740000000000001E-2</v>
      </c>
    </row>
    <row r="308" spans="1:40" s="1" customFormat="1" ht="15" x14ac:dyDescent="0.25">
      <c r="A308" s="1">
        <v>904971</v>
      </c>
      <c r="B308" s="1" t="s">
        <v>37</v>
      </c>
      <c r="C308" s="1">
        <v>10.94</v>
      </c>
      <c r="D308" s="1">
        <v>18.59</v>
      </c>
      <c r="E308" s="2"/>
      <c r="F308" s="2"/>
      <c r="G308" s="2"/>
      <c r="H308" s="2"/>
      <c r="I308" s="2"/>
      <c r="J308" s="2"/>
      <c r="K308" s="2"/>
      <c r="L308" s="2"/>
      <c r="M308" s="1">
        <v>70.39</v>
      </c>
      <c r="N308" s="1">
        <v>370</v>
      </c>
      <c r="O308" s="1">
        <v>0.1004</v>
      </c>
      <c r="P308" s="1">
        <v>7.46E-2</v>
      </c>
      <c r="Q308" s="1">
        <v>4.9439999999999998E-2</v>
      </c>
      <c r="R308" s="1">
        <v>2.9319999999999999E-2</v>
      </c>
      <c r="S308" s="1">
        <v>0.14860000000000001</v>
      </c>
      <c r="T308" s="1">
        <v>6.615E-2</v>
      </c>
      <c r="U308" s="1">
        <v>0.37959999999999999</v>
      </c>
      <c r="V308" s="1">
        <v>1.7430000000000001</v>
      </c>
      <c r="W308" s="1">
        <v>3.0179999999999998</v>
      </c>
      <c r="X308" s="1">
        <v>25.78</v>
      </c>
      <c r="Y308" s="1">
        <v>9.5189999999999997E-3</v>
      </c>
      <c r="Z308" s="1">
        <v>2.1340000000000001E-2</v>
      </c>
      <c r="AA308" s="1">
        <v>1.9900000000000001E-2</v>
      </c>
      <c r="AB308" s="1">
        <v>1.155E-2</v>
      </c>
      <c r="AC308" s="1">
        <v>2.0789999999999999E-2</v>
      </c>
      <c r="AD308" s="1">
        <v>2.7009999999999998E-3</v>
      </c>
      <c r="AE308" s="1">
        <v>12.4</v>
      </c>
      <c r="AF308" s="1">
        <v>25.58</v>
      </c>
      <c r="AG308" s="1">
        <v>82.76</v>
      </c>
      <c r="AH308" s="1">
        <v>472.4</v>
      </c>
      <c r="AI308" s="1">
        <v>0.1363</v>
      </c>
      <c r="AJ308" s="1">
        <v>0.16439999999999999</v>
      </c>
      <c r="AK308" s="1">
        <v>0.14119999999999999</v>
      </c>
      <c r="AL308" s="1">
        <v>7.8869999999999996E-2</v>
      </c>
      <c r="AM308" s="1">
        <v>0.22509999999999999</v>
      </c>
      <c r="AN308" s="1">
        <v>7.732E-2</v>
      </c>
    </row>
    <row r="309" spans="1:40" s="1" customFormat="1" ht="15" x14ac:dyDescent="0.25">
      <c r="A309" s="1">
        <v>905189</v>
      </c>
      <c r="B309" s="1" t="s">
        <v>37</v>
      </c>
      <c r="C309" s="1">
        <v>16.14</v>
      </c>
      <c r="D309" s="1">
        <v>14.86</v>
      </c>
      <c r="E309" s="2"/>
      <c r="F309" s="2"/>
      <c r="G309" s="2"/>
      <c r="H309" s="2"/>
      <c r="I309" s="2"/>
      <c r="J309" s="2"/>
      <c r="K309" s="2"/>
      <c r="L309" s="2"/>
      <c r="M309" s="1">
        <v>104.3</v>
      </c>
      <c r="N309" s="1">
        <v>800</v>
      </c>
      <c r="O309" s="1">
        <v>9.4950000000000007E-2</v>
      </c>
      <c r="P309" s="1">
        <v>8.5010000000000002E-2</v>
      </c>
      <c r="Q309" s="1">
        <v>5.5E-2</v>
      </c>
      <c r="R309" s="1">
        <v>4.5280000000000001E-2</v>
      </c>
      <c r="S309" s="1">
        <v>0.17349999999999999</v>
      </c>
      <c r="T309" s="1">
        <v>5.8749999999999997E-2</v>
      </c>
      <c r="U309" s="1">
        <v>0.2387</v>
      </c>
      <c r="V309" s="1">
        <v>0.63719999999999999</v>
      </c>
      <c r="W309" s="1">
        <v>1.7290000000000001</v>
      </c>
      <c r="X309" s="1">
        <v>21.83</v>
      </c>
      <c r="Y309" s="1">
        <v>3.9579999999999997E-3</v>
      </c>
      <c r="Z309" s="1">
        <v>1.2460000000000001E-2</v>
      </c>
      <c r="AA309" s="1">
        <v>1.831E-2</v>
      </c>
      <c r="AB309" s="1">
        <v>8.7469999999999996E-3</v>
      </c>
      <c r="AC309" s="1">
        <v>1.4999999999999999E-2</v>
      </c>
      <c r="AD309" s="1">
        <v>1.621E-3</v>
      </c>
      <c r="AE309" s="1">
        <v>17.71</v>
      </c>
      <c r="AF309" s="1">
        <v>19.579999999999998</v>
      </c>
      <c r="AG309" s="1">
        <v>115.9</v>
      </c>
      <c r="AH309" s="1">
        <v>947.9</v>
      </c>
      <c r="AI309" s="1">
        <v>0.1206</v>
      </c>
      <c r="AJ309" s="1">
        <v>0.17219999999999999</v>
      </c>
      <c r="AK309" s="1">
        <v>0.23100000000000001</v>
      </c>
      <c r="AL309" s="1">
        <v>0.1129</v>
      </c>
      <c r="AM309" s="1">
        <v>0.27779999999999999</v>
      </c>
      <c r="AN309" s="1">
        <v>7.0120000000000002E-2</v>
      </c>
    </row>
    <row r="310" spans="1:40" s="1" customFormat="1" ht="15" x14ac:dyDescent="0.25">
      <c r="A310" s="1">
        <v>905190</v>
      </c>
      <c r="B310" s="1" t="s">
        <v>37</v>
      </c>
      <c r="C310" s="1">
        <v>12.85</v>
      </c>
      <c r="D310" s="1">
        <v>21.37</v>
      </c>
      <c r="E310" s="2"/>
      <c r="F310" s="2"/>
      <c r="G310" s="2"/>
      <c r="H310" s="2"/>
      <c r="I310" s="2"/>
      <c r="J310" s="2"/>
      <c r="K310" s="2"/>
      <c r="L310" s="2"/>
      <c r="M310" s="1">
        <v>82.63</v>
      </c>
      <c r="N310" s="1">
        <v>514.5</v>
      </c>
      <c r="O310" s="1">
        <v>7.5509999999999994E-2</v>
      </c>
      <c r="P310" s="1">
        <v>8.3159999999999998E-2</v>
      </c>
      <c r="Q310" s="1">
        <v>6.1260000000000002E-2</v>
      </c>
      <c r="R310" s="1">
        <v>1.8669999999999999E-2</v>
      </c>
      <c r="S310" s="1">
        <v>0.158</v>
      </c>
      <c r="T310" s="1">
        <v>6.114E-2</v>
      </c>
      <c r="U310" s="1">
        <v>0.49930000000000002</v>
      </c>
      <c r="V310" s="1">
        <v>1.798</v>
      </c>
      <c r="W310" s="1">
        <v>2.552</v>
      </c>
      <c r="X310" s="1">
        <v>41.24</v>
      </c>
      <c r="Y310" s="1">
        <v>6.0109999999999999E-3</v>
      </c>
      <c r="Z310" s="1">
        <v>4.48E-2</v>
      </c>
      <c r="AA310" s="1">
        <v>5.1749999999999997E-2</v>
      </c>
      <c r="AB310" s="1">
        <v>1.341E-2</v>
      </c>
      <c r="AC310" s="1">
        <v>2.6689999999999998E-2</v>
      </c>
      <c r="AD310" s="1">
        <v>7.731E-3</v>
      </c>
      <c r="AE310" s="1">
        <v>14.4</v>
      </c>
      <c r="AF310" s="1">
        <v>27.01</v>
      </c>
      <c r="AG310" s="1">
        <v>91.63</v>
      </c>
      <c r="AH310" s="1">
        <v>645.79999999999995</v>
      </c>
      <c r="AI310" s="1">
        <v>9.4020000000000006E-2</v>
      </c>
      <c r="AJ310" s="1">
        <v>0.19359999999999999</v>
      </c>
      <c r="AK310" s="1">
        <v>0.18379999999999999</v>
      </c>
      <c r="AL310" s="1">
        <v>5.6009999999999997E-2</v>
      </c>
      <c r="AM310" s="1">
        <v>0.24879999999999999</v>
      </c>
      <c r="AN310" s="1">
        <v>8.1509999999999999E-2</v>
      </c>
    </row>
    <row r="311" spans="1:40" s="1" customFormat="1" ht="15" x14ac:dyDescent="0.25">
      <c r="A311" s="1">
        <v>90524101</v>
      </c>
      <c r="B311" s="1" t="s">
        <v>36</v>
      </c>
      <c r="C311" s="1">
        <v>17.989999999999998</v>
      </c>
      <c r="D311" s="1">
        <v>20.66</v>
      </c>
      <c r="E311" s="2"/>
      <c r="F311" s="2"/>
      <c r="G311" s="2"/>
      <c r="H311" s="2"/>
      <c r="I311" s="2"/>
      <c r="J311" s="2"/>
      <c r="K311" s="2"/>
      <c r="L311" s="2"/>
      <c r="M311" s="1">
        <v>117.8</v>
      </c>
      <c r="N311" s="1">
        <v>991.7</v>
      </c>
      <c r="O311" s="1">
        <v>0.1036</v>
      </c>
      <c r="P311" s="1">
        <v>0.13039999999999999</v>
      </c>
      <c r="Q311" s="1">
        <v>0.1201</v>
      </c>
      <c r="R311" s="1">
        <v>8.8239999999999999E-2</v>
      </c>
      <c r="S311" s="1">
        <v>0.19919999999999999</v>
      </c>
      <c r="T311" s="1">
        <v>6.0690000000000001E-2</v>
      </c>
      <c r="U311" s="1">
        <v>0.45369999999999999</v>
      </c>
      <c r="V311" s="1">
        <v>0.87329999999999997</v>
      </c>
      <c r="W311" s="1">
        <v>3.0609999999999999</v>
      </c>
      <c r="X311" s="1">
        <v>49.81</v>
      </c>
      <c r="Y311" s="1">
        <v>7.2309999999999996E-3</v>
      </c>
      <c r="Z311" s="1">
        <v>2.7720000000000002E-2</v>
      </c>
      <c r="AA311" s="1">
        <v>2.5090000000000001E-2</v>
      </c>
      <c r="AB311" s="1">
        <v>1.4800000000000001E-2</v>
      </c>
      <c r="AC311" s="1">
        <v>1.414E-2</v>
      </c>
      <c r="AD311" s="1">
        <v>3.336E-3</v>
      </c>
      <c r="AE311" s="1">
        <v>21.08</v>
      </c>
      <c r="AF311" s="1">
        <v>25.41</v>
      </c>
      <c r="AG311" s="1">
        <v>138.1</v>
      </c>
      <c r="AH311" s="1">
        <v>1349</v>
      </c>
      <c r="AI311" s="1">
        <v>0.1482</v>
      </c>
      <c r="AJ311" s="1">
        <v>0.3735</v>
      </c>
      <c r="AK311" s="1">
        <v>0.3301</v>
      </c>
      <c r="AL311" s="1">
        <v>0.19739999999999999</v>
      </c>
      <c r="AM311" s="1">
        <v>0.30599999999999999</v>
      </c>
      <c r="AN311" s="1">
        <v>8.5029999999999994E-2</v>
      </c>
    </row>
    <row r="312" spans="1:40" s="1" customFormat="1" ht="15" x14ac:dyDescent="0.25">
      <c r="A312" s="1">
        <v>905501</v>
      </c>
      <c r="B312" s="1" t="s">
        <v>37</v>
      </c>
      <c r="C312" s="1">
        <v>12.27</v>
      </c>
      <c r="D312" s="1">
        <v>17.920000000000002</v>
      </c>
      <c r="E312" s="2"/>
      <c r="F312" s="2"/>
      <c r="G312" s="2"/>
      <c r="H312" s="2"/>
      <c r="I312" s="2"/>
      <c r="J312" s="2"/>
      <c r="K312" s="2"/>
      <c r="L312" s="2"/>
      <c r="M312" s="1">
        <v>78.41</v>
      </c>
      <c r="N312" s="1">
        <v>466.1</v>
      </c>
      <c r="O312" s="1">
        <v>8.6849999999999997E-2</v>
      </c>
      <c r="P312" s="1">
        <v>6.5259999999999999E-2</v>
      </c>
      <c r="Q312" s="1">
        <v>3.211E-2</v>
      </c>
      <c r="R312" s="1">
        <v>2.6530000000000001E-2</v>
      </c>
      <c r="S312" s="1">
        <v>0.1966</v>
      </c>
      <c r="T312" s="1">
        <v>5.5969999999999999E-2</v>
      </c>
      <c r="U312" s="1">
        <v>0.3342</v>
      </c>
      <c r="V312" s="1">
        <v>1.7809999999999999</v>
      </c>
      <c r="W312" s="1">
        <v>2.0790000000000002</v>
      </c>
      <c r="X312" s="1">
        <v>25.79</v>
      </c>
      <c r="Y312" s="1">
        <v>5.888E-3</v>
      </c>
      <c r="Z312" s="1">
        <v>2.3099999999999999E-2</v>
      </c>
      <c r="AA312" s="1">
        <v>2.0590000000000001E-2</v>
      </c>
      <c r="AB312" s="1">
        <v>1.0749999999999999E-2</v>
      </c>
      <c r="AC312" s="1">
        <v>2.5780000000000001E-2</v>
      </c>
      <c r="AD312" s="1">
        <v>2.2669999999999999E-3</v>
      </c>
      <c r="AE312" s="1">
        <v>14.1</v>
      </c>
      <c r="AF312" s="1">
        <v>28.88</v>
      </c>
      <c r="AG312" s="1">
        <v>89</v>
      </c>
      <c r="AH312" s="1">
        <v>610.20000000000005</v>
      </c>
      <c r="AI312" s="1">
        <v>0.124</v>
      </c>
      <c r="AJ312" s="1">
        <v>0.17949999999999999</v>
      </c>
      <c r="AK312" s="1">
        <v>0.13769999999999999</v>
      </c>
      <c r="AL312" s="1">
        <v>9.5320000000000002E-2</v>
      </c>
      <c r="AM312" s="1">
        <v>0.34549999999999997</v>
      </c>
      <c r="AN312" s="1">
        <v>6.8959999999999994E-2</v>
      </c>
    </row>
    <row r="313" spans="1:40" s="1" customFormat="1" ht="15" x14ac:dyDescent="0.25">
      <c r="A313" s="1">
        <v>905502</v>
      </c>
      <c r="B313" s="1" t="s">
        <v>37</v>
      </c>
      <c r="C313" s="1">
        <v>11.36</v>
      </c>
      <c r="D313" s="1">
        <v>17.57</v>
      </c>
      <c r="E313" s="2"/>
      <c r="F313" s="2"/>
      <c r="G313" s="2"/>
      <c r="H313" s="2"/>
      <c r="I313" s="2"/>
      <c r="J313" s="2"/>
      <c r="K313" s="2"/>
      <c r="L313" s="2"/>
      <c r="M313" s="1">
        <v>72.489999999999995</v>
      </c>
      <c r="N313" s="1">
        <v>399.8</v>
      </c>
      <c r="O313" s="1">
        <v>8.8580000000000006E-2</v>
      </c>
      <c r="P313" s="1">
        <v>5.3129999999999997E-2</v>
      </c>
      <c r="Q313" s="1">
        <v>2.7830000000000001E-2</v>
      </c>
      <c r="R313" s="1">
        <v>2.1000000000000001E-2</v>
      </c>
      <c r="S313" s="1">
        <v>0.16009999999999999</v>
      </c>
      <c r="T313" s="1">
        <v>5.9130000000000002E-2</v>
      </c>
      <c r="U313" s="1">
        <v>0.19159999999999999</v>
      </c>
      <c r="V313" s="1">
        <v>1.5549999999999999</v>
      </c>
      <c r="W313" s="1">
        <v>1.359</v>
      </c>
      <c r="X313" s="1">
        <v>13.66</v>
      </c>
      <c r="Y313" s="1">
        <v>5.391E-3</v>
      </c>
      <c r="Z313" s="1">
        <v>9.9469999999999992E-3</v>
      </c>
      <c r="AA313" s="1">
        <v>1.163E-2</v>
      </c>
      <c r="AB313" s="1">
        <v>5.8719999999999996E-3</v>
      </c>
      <c r="AC313" s="1">
        <v>1.341E-2</v>
      </c>
      <c r="AD313" s="1">
        <v>1.6590000000000001E-3</v>
      </c>
      <c r="AE313" s="1">
        <v>13.05</v>
      </c>
      <c r="AF313" s="1">
        <v>36.32</v>
      </c>
      <c r="AG313" s="1">
        <v>85.07</v>
      </c>
      <c r="AH313" s="1">
        <v>521.29999999999995</v>
      </c>
      <c r="AI313" s="1">
        <v>0.14530000000000001</v>
      </c>
      <c r="AJ313" s="1">
        <v>0.16220000000000001</v>
      </c>
      <c r="AK313" s="1">
        <v>0.18110000000000001</v>
      </c>
      <c r="AL313" s="1">
        <v>8.6980000000000002E-2</v>
      </c>
      <c r="AM313" s="1">
        <v>0.29730000000000001</v>
      </c>
      <c r="AN313" s="1">
        <v>7.7450000000000005E-2</v>
      </c>
    </row>
    <row r="314" spans="1:40" s="1" customFormat="1" ht="15" x14ac:dyDescent="0.25">
      <c r="A314" s="1">
        <v>905520</v>
      </c>
      <c r="B314" s="1" t="s">
        <v>37</v>
      </c>
      <c r="C314" s="1">
        <v>11.04</v>
      </c>
      <c r="D314" s="1">
        <v>16.829999999999998</v>
      </c>
      <c r="E314" s="2"/>
      <c r="F314" s="2"/>
      <c r="G314" s="2"/>
      <c r="H314" s="2"/>
      <c r="I314" s="2"/>
      <c r="J314" s="2"/>
      <c r="K314" s="2"/>
      <c r="L314" s="2"/>
      <c r="M314" s="1">
        <v>70.92</v>
      </c>
      <c r="N314" s="1">
        <v>373.2</v>
      </c>
      <c r="O314" s="1">
        <v>0.1077</v>
      </c>
      <c r="P314" s="1">
        <v>7.8039999999999998E-2</v>
      </c>
      <c r="Q314" s="1">
        <v>3.0460000000000001E-2</v>
      </c>
      <c r="R314" s="1">
        <v>2.4799999999999999E-2</v>
      </c>
      <c r="S314" s="1">
        <v>0.1714</v>
      </c>
      <c r="T314" s="1">
        <v>6.3399999999999998E-2</v>
      </c>
      <c r="U314" s="1">
        <v>0.19670000000000001</v>
      </c>
      <c r="V314" s="1">
        <v>1.387</v>
      </c>
      <c r="W314" s="1">
        <v>1.3420000000000001</v>
      </c>
      <c r="X314" s="1">
        <v>13.54</v>
      </c>
      <c r="Y314" s="1">
        <v>5.1580000000000003E-3</v>
      </c>
      <c r="Z314" s="1">
        <v>9.3550000000000005E-3</v>
      </c>
      <c r="AA314" s="1">
        <v>1.056E-2</v>
      </c>
      <c r="AB314" s="1">
        <v>7.4830000000000001E-3</v>
      </c>
      <c r="AC314" s="1">
        <v>1.7180000000000001E-2</v>
      </c>
      <c r="AD314" s="1">
        <v>2.1979999999999999E-3</v>
      </c>
      <c r="AE314" s="1">
        <v>12.41</v>
      </c>
      <c r="AF314" s="1">
        <v>26.44</v>
      </c>
      <c r="AG314" s="1">
        <v>79.930000000000007</v>
      </c>
      <c r="AH314" s="1">
        <v>471.4</v>
      </c>
      <c r="AI314" s="1">
        <v>0.13689999999999999</v>
      </c>
      <c r="AJ314" s="1">
        <v>0.1482</v>
      </c>
      <c r="AK314" s="1">
        <v>0.1067</v>
      </c>
      <c r="AL314" s="1">
        <v>7.4310000000000001E-2</v>
      </c>
      <c r="AM314" s="1">
        <v>0.29980000000000001</v>
      </c>
      <c r="AN314" s="1">
        <v>7.8810000000000005E-2</v>
      </c>
    </row>
    <row r="315" spans="1:40" s="1" customFormat="1" ht="15" x14ac:dyDescent="0.25">
      <c r="A315" s="1">
        <v>905539</v>
      </c>
      <c r="B315" s="1" t="s">
        <v>37</v>
      </c>
      <c r="C315" s="1">
        <v>9.3970000000000002</v>
      </c>
      <c r="D315" s="1">
        <v>21.68</v>
      </c>
      <c r="E315" s="2"/>
      <c r="F315" s="2"/>
      <c r="G315" s="2"/>
      <c r="H315" s="2"/>
      <c r="I315" s="2"/>
      <c r="J315" s="2"/>
      <c r="K315" s="2"/>
      <c r="L315" s="2"/>
      <c r="M315" s="1">
        <v>59.75</v>
      </c>
      <c r="N315" s="1">
        <v>268.8</v>
      </c>
      <c r="O315" s="1">
        <v>7.9689999999999997E-2</v>
      </c>
      <c r="P315" s="1">
        <v>6.053E-2</v>
      </c>
      <c r="Q315" s="1">
        <v>3.7350000000000001E-2</v>
      </c>
      <c r="R315" s="1">
        <v>5.1279999999999997E-3</v>
      </c>
      <c r="S315" s="1">
        <v>0.12740000000000001</v>
      </c>
      <c r="T315" s="1">
        <v>6.7239999999999994E-2</v>
      </c>
      <c r="U315" s="1">
        <v>0.1186</v>
      </c>
      <c r="V315" s="1">
        <v>1.1819999999999999</v>
      </c>
      <c r="W315" s="1">
        <v>1.1739999999999999</v>
      </c>
      <c r="X315" s="1">
        <v>6.8019999999999996</v>
      </c>
      <c r="Y315" s="1">
        <v>5.5149999999999999E-3</v>
      </c>
      <c r="Z315" s="1">
        <v>2.674E-2</v>
      </c>
      <c r="AA315" s="1">
        <v>3.7350000000000001E-2</v>
      </c>
      <c r="AB315" s="1">
        <v>5.1279999999999997E-3</v>
      </c>
      <c r="AC315" s="1">
        <v>1.951E-2</v>
      </c>
      <c r="AD315" s="1">
        <v>4.5830000000000003E-3</v>
      </c>
      <c r="AE315" s="1">
        <v>9.9649999999999999</v>
      </c>
      <c r="AF315" s="1">
        <v>27.99</v>
      </c>
      <c r="AG315" s="1">
        <v>66.61</v>
      </c>
      <c r="AH315" s="1">
        <v>301</v>
      </c>
      <c r="AI315" s="1">
        <v>0.1086</v>
      </c>
      <c r="AJ315" s="1">
        <v>0.18870000000000001</v>
      </c>
      <c r="AK315" s="1">
        <v>0.18679999999999999</v>
      </c>
      <c r="AL315" s="1">
        <v>2.564E-2</v>
      </c>
      <c r="AM315" s="1">
        <v>0.23760000000000001</v>
      </c>
      <c r="AN315" s="1">
        <v>9.2060000000000003E-2</v>
      </c>
    </row>
    <row r="316" spans="1:40" s="1" customFormat="1" ht="15" x14ac:dyDescent="0.25">
      <c r="A316" s="1">
        <v>905557</v>
      </c>
      <c r="B316" s="1" t="s">
        <v>37</v>
      </c>
      <c r="C316" s="1">
        <v>14.99</v>
      </c>
      <c r="D316" s="1">
        <v>22.11</v>
      </c>
      <c r="E316" s="2"/>
      <c r="F316" s="2"/>
      <c r="G316" s="2"/>
      <c r="H316" s="2"/>
      <c r="I316" s="2"/>
      <c r="J316" s="2"/>
      <c r="K316" s="2"/>
      <c r="L316" s="2"/>
      <c r="M316" s="1">
        <v>97.53</v>
      </c>
      <c r="N316" s="1">
        <v>693.7</v>
      </c>
      <c r="O316" s="1">
        <v>8.5150000000000003E-2</v>
      </c>
      <c r="P316" s="1">
        <v>0.10249999999999999</v>
      </c>
      <c r="Q316" s="1">
        <v>6.8589999999999998E-2</v>
      </c>
      <c r="R316" s="1">
        <v>3.8760000000000003E-2</v>
      </c>
      <c r="S316" s="1">
        <v>0.19439999999999999</v>
      </c>
      <c r="T316" s="1">
        <v>5.9130000000000002E-2</v>
      </c>
      <c r="U316" s="1">
        <v>0.31859999999999999</v>
      </c>
      <c r="V316" s="1">
        <v>1.3360000000000001</v>
      </c>
      <c r="W316" s="1">
        <v>2.31</v>
      </c>
      <c r="X316" s="1">
        <v>28.51</v>
      </c>
      <c r="Y316" s="1">
        <v>4.4489999999999998E-3</v>
      </c>
      <c r="Z316" s="1">
        <v>2.8080000000000001E-2</v>
      </c>
      <c r="AA316" s="1">
        <v>3.3119999999999997E-2</v>
      </c>
      <c r="AB316" s="1">
        <v>1.196E-2</v>
      </c>
      <c r="AC316" s="1">
        <v>1.9060000000000001E-2</v>
      </c>
      <c r="AD316" s="1">
        <v>4.0150000000000003E-3</v>
      </c>
      <c r="AE316" s="1">
        <v>16.760000000000002</v>
      </c>
      <c r="AF316" s="1">
        <v>31.55</v>
      </c>
      <c r="AG316" s="1">
        <v>110.2</v>
      </c>
      <c r="AH316" s="1">
        <v>867.1</v>
      </c>
      <c r="AI316" s="1">
        <v>0.1077</v>
      </c>
      <c r="AJ316" s="1">
        <v>0.33450000000000002</v>
      </c>
      <c r="AK316" s="1">
        <v>0.31140000000000001</v>
      </c>
      <c r="AL316" s="1">
        <v>0.1308</v>
      </c>
      <c r="AM316" s="1">
        <v>0.31630000000000003</v>
      </c>
      <c r="AN316" s="1">
        <v>9.2509999999999995E-2</v>
      </c>
    </row>
    <row r="317" spans="1:40" s="1" customFormat="1" ht="15" x14ac:dyDescent="0.25">
      <c r="A317" s="1">
        <v>905680</v>
      </c>
      <c r="B317" s="1" t="s">
        <v>36</v>
      </c>
      <c r="C317" s="1">
        <v>15.13</v>
      </c>
      <c r="D317" s="1">
        <v>29.81</v>
      </c>
      <c r="E317" s="2"/>
      <c r="F317" s="2"/>
      <c r="G317" s="2"/>
      <c r="H317" s="2"/>
      <c r="I317" s="2"/>
      <c r="J317" s="2"/>
      <c r="K317" s="2"/>
      <c r="L317" s="2"/>
      <c r="M317" s="1">
        <v>96.71</v>
      </c>
      <c r="N317" s="1">
        <v>719.5</v>
      </c>
      <c r="O317" s="1">
        <v>8.3199999999999996E-2</v>
      </c>
      <c r="P317" s="1">
        <v>4.6050000000000001E-2</v>
      </c>
      <c r="Q317" s="1">
        <v>4.6859999999999999E-2</v>
      </c>
      <c r="R317" s="1">
        <v>2.7390000000000001E-2</v>
      </c>
      <c r="S317" s="1">
        <v>0.1852</v>
      </c>
      <c r="T317" s="1">
        <v>5.2940000000000001E-2</v>
      </c>
      <c r="U317" s="1">
        <v>0.46810000000000002</v>
      </c>
      <c r="V317" s="1">
        <v>1.627</v>
      </c>
      <c r="W317" s="1">
        <v>3.0430000000000001</v>
      </c>
      <c r="X317" s="1">
        <v>45.38</v>
      </c>
      <c r="Y317" s="1">
        <v>6.8310000000000003E-3</v>
      </c>
      <c r="Z317" s="1">
        <v>1.427E-2</v>
      </c>
      <c r="AA317" s="1">
        <v>2.4889999999999999E-2</v>
      </c>
      <c r="AB317" s="1">
        <v>9.0869999999999996E-3</v>
      </c>
      <c r="AC317" s="1">
        <v>3.1510000000000003E-2</v>
      </c>
      <c r="AD317" s="1">
        <v>1.75E-3</v>
      </c>
      <c r="AE317" s="1">
        <v>17.260000000000002</v>
      </c>
      <c r="AF317" s="1">
        <v>36.909999999999997</v>
      </c>
      <c r="AG317" s="1">
        <v>110.1</v>
      </c>
      <c r="AH317" s="1">
        <v>931.4</v>
      </c>
      <c r="AI317" s="1">
        <v>0.1148</v>
      </c>
      <c r="AJ317" s="1">
        <v>9.8659999999999998E-2</v>
      </c>
      <c r="AK317" s="1">
        <v>0.1547</v>
      </c>
      <c r="AL317" s="1">
        <v>6.5750000000000003E-2</v>
      </c>
      <c r="AM317" s="1">
        <v>0.32329999999999998</v>
      </c>
      <c r="AN317" s="1">
        <v>6.1650000000000003E-2</v>
      </c>
    </row>
    <row r="318" spans="1:40" s="1" customFormat="1" ht="15" x14ac:dyDescent="0.25">
      <c r="A318" s="1">
        <v>905686</v>
      </c>
      <c r="B318" s="1" t="s">
        <v>37</v>
      </c>
      <c r="C318" s="1">
        <v>11.89</v>
      </c>
      <c r="D318" s="1">
        <v>21.17</v>
      </c>
      <c r="E318" s="2"/>
      <c r="F318" s="2"/>
      <c r="G318" s="2"/>
      <c r="H318" s="2"/>
      <c r="I318" s="2"/>
      <c r="J318" s="2"/>
      <c r="K318" s="2"/>
      <c r="L318" s="2"/>
      <c r="M318" s="1">
        <v>76.39</v>
      </c>
      <c r="N318" s="1">
        <v>433.8</v>
      </c>
      <c r="O318" s="1">
        <v>9.7729999999999997E-2</v>
      </c>
      <c r="P318" s="1">
        <v>8.1199999999999994E-2</v>
      </c>
      <c r="Q318" s="1">
        <v>2.555E-2</v>
      </c>
      <c r="R318" s="1">
        <v>2.179E-2</v>
      </c>
      <c r="S318" s="1">
        <v>0.2019</v>
      </c>
      <c r="T318" s="1">
        <v>6.2899999999999998E-2</v>
      </c>
      <c r="U318" s="1">
        <v>0.2747</v>
      </c>
      <c r="V318" s="1">
        <v>1.2030000000000001</v>
      </c>
      <c r="W318" s="1">
        <v>1.93</v>
      </c>
      <c r="X318" s="1">
        <v>19.53</v>
      </c>
      <c r="Y318" s="1">
        <v>9.8949999999999993E-3</v>
      </c>
      <c r="Z318" s="1">
        <v>3.0530000000000002E-2</v>
      </c>
      <c r="AA318" s="1">
        <v>1.6299999999999999E-2</v>
      </c>
      <c r="AB318" s="1">
        <v>9.2759999999999995E-3</v>
      </c>
      <c r="AC318" s="1">
        <v>2.2579999999999999E-2</v>
      </c>
      <c r="AD318" s="1">
        <v>2.2720000000000001E-3</v>
      </c>
      <c r="AE318" s="1">
        <v>13.05</v>
      </c>
      <c r="AF318" s="1">
        <v>27.21</v>
      </c>
      <c r="AG318" s="1">
        <v>85.09</v>
      </c>
      <c r="AH318" s="1">
        <v>522.9</v>
      </c>
      <c r="AI318" s="1">
        <v>0.1426</v>
      </c>
      <c r="AJ318" s="1">
        <v>0.21870000000000001</v>
      </c>
      <c r="AK318" s="1">
        <v>0.1164</v>
      </c>
      <c r="AL318" s="1">
        <v>8.2629999999999995E-2</v>
      </c>
      <c r="AM318" s="1">
        <v>0.3075</v>
      </c>
      <c r="AN318" s="1">
        <v>7.3510000000000006E-2</v>
      </c>
    </row>
    <row r="319" spans="1:40" s="1" customFormat="1" ht="15" x14ac:dyDescent="0.25">
      <c r="A319" s="1">
        <v>905978</v>
      </c>
      <c r="B319" s="1" t="s">
        <v>37</v>
      </c>
      <c r="C319" s="1">
        <v>9.4049999999999994</v>
      </c>
      <c r="D319" s="1">
        <v>21.7</v>
      </c>
      <c r="E319" s="2"/>
      <c r="F319" s="2"/>
      <c r="G319" s="2"/>
      <c r="H319" s="2"/>
      <c r="I319" s="2"/>
      <c r="J319" s="2"/>
      <c r="K319" s="2"/>
      <c r="L319" s="2"/>
      <c r="M319" s="1">
        <v>59.6</v>
      </c>
      <c r="N319" s="1">
        <v>271.2</v>
      </c>
      <c r="O319" s="1">
        <v>0.10440000000000001</v>
      </c>
      <c r="P319" s="1">
        <v>6.1589999999999999E-2</v>
      </c>
      <c r="Q319" s="1">
        <v>2.0469999999999999E-2</v>
      </c>
      <c r="R319" s="1">
        <v>1.257E-2</v>
      </c>
      <c r="S319" s="1">
        <v>0.20250000000000001</v>
      </c>
      <c r="T319" s="1">
        <v>6.6009999999999999E-2</v>
      </c>
      <c r="U319" s="1">
        <v>0.43020000000000003</v>
      </c>
      <c r="V319" s="1">
        <v>2.8780000000000001</v>
      </c>
      <c r="W319" s="1">
        <v>2.7589999999999999</v>
      </c>
      <c r="X319" s="1">
        <v>25.17</v>
      </c>
      <c r="Y319" s="1">
        <v>1.474E-2</v>
      </c>
      <c r="Z319" s="1">
        <v>1.6740000000000001E-2</v>
      </c>
      <c r="AA319" s="1">
        <v>1.367E-2</v>
      </c>
      <c r="AB319" s="1">
        <v>8.6739999999999994E-3</v>
      </c>
      <c r="AC319" s="1">
        <v>3.0439999999999998E-2</v>
      </c>
      <c r="AD319" s="1">
        <v>4.5900000000000003E-3</v>
      </c>
      <c r="AE319" s="1">
        <v>10.85</v>
      </c>
      <c r="AF319" s="1">
        <v>31.24</v>
      </c>
      <c r="AG319" s="1">
        <v>68.73</v>
      </c>
      <c r="AH319" s="1">
        <v>359.4</v>
      </c>
      <c r="AI319" s="1">
        <v>0.15260000000000001</v>
      </c>
      <c r="AJ319" s="1">
        <v>0.1193</v>
      </c>
      <c r="AK319" s="1">
        <v>6.1409999999999999E-2</v>
      </c>
      <c r="AL319" s="1">
        <v>3.7699999999999997E-2</v>
      </c>
      <c r="AM319" s="1">
        <v>0.28720000000000001</v>
      </c>
      <c r="AN319" s="1">
        <v>8.3040000000000003E-2</v>
      </c>
    </row>
    <row r="320" spans="1:40" s="1" customFormat="1" ht="15" x14ac:dyDescent="0.25">
      <c r="A320" s="1">
        <v>90602302</v>
      </c>
      <c r="B320" s="1" t="s">
        <v>36</v>
      </c>
      <c r="C320" s="1">
        <v>15.5</v>
      </c>
      <c r="D320" s="1">
        <v>21.08</v>
      </c>
      <c r="E320" s="2"/>
      <c r="F320" s="2"/>
      <c r="G320" s="2"/>
      <c r="H320" s="2"/>
      <c r="I320" s="2"/>
      <c r="J320" s="2"/>
      <c r="K320" s="2"/>
      <c r="L320" s="2"/>
      <c r="M320" s="1">
        <v>102.9</v>
      </c>
      <c r="N320" s="1">
        <v>803.1</v>
      </c>
      <c r="O320" s="1">
        <v>0.112</v>
      </c>
      <c r="P320" s="1">
        <v>0.15709999999999999</v>
      </c>
      <c r="Q320" s="1">
        <v>0.1522</v>
      </c>
      <c r="R320" s="1">
        <v>8.4809999999999997E-2</v>
      </c>
      <c r="S320" s="1">
        <v>0.20849999999999999</v>
      </c>
      <c r="T320" s="1">
        <v>6.8640000000000007E-2</v>
      </c>
      <c r="U320" s="1">
        <v>1.37</v>
      </c>
      <c r="V320" s="1">
        <v>1.2130000000000001</v>
      </c>
      <c r="W320" s="1">
        <v>9.4239999999999995</v>
      </c>
      <c r="X320" s="1">
        <v>176.5</v>
      </c>
      <c r="Y320" s="1">
        <v>8.1980000000000004E-3</v>
      </c>
      <c r="Z320" s="1">
        <v>3.8890000000000001E-2</v>
      </c>
      <c r="AA320" s="1">
        <v>4.4929999999999998E-2</v>
      </c>
      <c r="AB320" s="1">
        <v>2.1389999999999999E-2</v>
      </c>
      <c r="AC320" s="1">
        <v>2.018E-2</v>
      </c>
      <c r="AD320" s="1">
        <v>5.8149999999999999E-3</v>
      </c>
      <c r="AE320" s="1">
        <v>23.17</v>
      </c>
      <c r="AF320" s="1">
        <v>27.65</v>
      </c>
      <c r="AG320" s="1">
        <v>157.1</v>
      </c>
      <c r="AH320" s="1">
        <v>1748</v>
      </c>
      <c r="AI320" s="1">
        <v>0.1517</v>
      </c>
      <c r="AJ320" s="1">
        <v>0.4002</v>
      </c>
      <c r="AK320" s="1">
        <v>0.42109999999999997</v>
      </c>
      <c r="AL320" s="1">
        <v>0.21340000000000001</v>
      </c>
      <c r="AM320" s="1">
        <v>0.30030000000000001</v>
      </c>
      <c r="AN320" s="1">
        <v>0.1048</v>
      </c>
    </row>
    <row r="321" spans="1:40" s="1" customFormat="1" ht="15" x14ac:dyDescent="0.25">
      <c r="A321" s="1">
        <v>906024</v>
      </c>
      <c r="B321" s="1" t="s">
        <v>37</v>
      </c>
      <c r="C321" s="1">
        <v>12.7</v>
      </c>
      <c r="D321" s="1">
        <v>12.17</v>
      </c>
      <c r="E321" s="2"/>
      <c r="F321" s="2"/>
      <c r="G321" s="2"/>
      <c r="H321" s="2"/>
      <c r="I321" s="2"/>
      <c r="J321" s="2"/>
      <c r="K321" s="2"/>
      <c r="L321" s="2"/>
      <c r="M321" s="1">
        <v>80.88</v>
      </c>
      <c r="N321" s="1">
        <v>495</v>
      </c>
      <c r="O321" s="1">
        <v>8.7849999999999998E-2</v>
      </c>
      <c r="P321" s="1">
        <v>5.7939999999999998E-2</v>
      </c>
      <c r="Q321" s="1">
        <v>2.3599999999999999E-2</v>
      </c>
      <c r="R321" s="1">
        <v>2.402E-2</v>
      </c>
      <c r="S321" s="1">
        <v>0.1583</v>
      </c>
      <c r="T321" s="1">
        <v>6.275E-2</v>
      </c>
      <c r="U321" s="1">
        <v>0.2253</v>
      </c>
      <c r="V321" s="1">
        <v>0.64570000000000005</v>
      </c>
      <c r="W321" s="1">
        <v>1.5269999999999999</v>
      </c>
      <c r="X321" s="1">
        <v>17.37</v>
      </c>
      <c r="Y321" s="1">
        <v>6.1310000000000002E-3</v>
      </c>
      <c r="Z321" s="1">
        <v>1.2630000000000001E-2</v>
      </c>
      <c r="AA321" s="1">
        <v>9.0749999999999997E-3</v>
      </c>
      <c r="AB321" s="1">
        <v>8.2310000000000005E-3</v>
      </c>
      <c r="AC321" s="1">
        <v>1.7129999999999999E-2</v>
      </c>
      <c r="AD321" s="1">
        <v>4.4140000000000004E-3</v>
      </c>
      <c r="AE321" s="1">
        <v>13.65</v>
      </c>
      <c r="AF321" s="1">
        <v>16.920000000000002</v>
      </c>
      <c r="AG321" s="1">
        <v>88.12</v>
      </c>
      <c r="AH321" s="1">
        <v>566.9</v>
      </c>
      <c r="AI321" s="1">
        <v>0.13139999999999999</v>
      </c>
      <c r="AJ321" s="1">
        <v>0.16070000000000001</v>
      </c>
      <c r="AK321" s="1">
        <v>9.3850000000000003E-2</v>
      </c>
      <c r="AL321" s="1">
        <v>8.2239999999999994E-2</v>
      </c>
      <c r="AM321" s="1">
        <v>0.27750000000000002</v>
      </c>
      <c r="AN321" s="1">
        <v>9.4640000000000002E-2</v>
      </c>
    </row>
    <row r="322" spans="1:40" s="1" customFormat="1" ht="15" x14ac:dyDescent="0.25">
      <c r="A322" s="1">
        <v>906290</v>
      </c>
      <c r="B322" s="1" t="s">
        <v>37</v>
      </c>
      <c r="C322" s="1">
        <v>11.16</v>
      </c>
      <c r="D322" s="1">
        <v>21.41</v>
      </c>
      <c r="E322" s="2"/>
      <c r="F322" s="2"/>
      <c r="G322" s="2"/>
      <c r="H322" s="2"/>
      <c r="I322" s="2"/>
      <c r="J322" s="2"/>
      <c r="K322" s="2"/>
      <c r="L322" s="2"/>
      <c r="M322" s="1">
        <v>70.95</v>
      </c>
      <c r="N322" s="1">
        <v>380.3</v>
      </c>
      <c r="O322" s="1">
        <v>0.1018</v>
      </c>
      <c r="P322" s="1">
        <v>5.978E-2</v>
      </c>
      <c r="Q322" s="1">
        <v>8.9549999999999994E-3</v>
      </c>
      <c r="R322" s="1">
        <v>1.076E-2</v>
      </c>
      <c r="S322" s="1">
        <v>0.1615</v>
      </c>
      <c r="T322" s="1">
        <v>6.1440000000000002E-2</v>
      </c>
      <c r="U322" s="1">
        <v>0.28649999999999998</v>
      </c>
      <c r="V322" s="1">
        <v>1.6779999999999999</v>
      </c>
      <c r="W322" s="1">
        <v>1.968</v>
      </c>
      <c r="X322" s="1">
        <v>18.989999999999998</v>
      </c>
      <c r="Y322" s="1">
        <v>6.9080000000000001E-3</v>
      </c>
      <c r="Z322" s="1">
        <v>9.4420000000000007E-3</v>
      </c>
      <c r="AA322" s="1">
        <v>6.9719999999999999E-3</v>
      </c>
      <c r="AB322" s="1">
        <v>6.1590000000000004E-3</v>
      </c>
      <c r="AC322" s="1">
        <v>2.6939999999999999E-2</v>
      </c>
      <c r="AD322" s="1">
        <v>2.0600000000000002E-3</v>
      </c>
      <c r="AE322" s="1">
        <v>12.36</v>
      </c>
      <c r="AF322" s="1">
        <v>28.92</v>
      </c>
      <c r="AG322" s="1">
        <v>79.260000000000005</v>
      </c>
      <c r="AH322" s="1">
        <v>458</v>
      </c>
      <c r="AI322" s="1">
        <v>0.12820000000000001</v>
      </c>
      <c r="AJ322" s="1">
        <v>0.1108</v>
      </c>
      <c r="AK322" s="1">
        <v>3.5819999999999998E-2</v>
      </c>
      <c r="AL322" s="1">
        <v>4.3060000000000001E-2</v>
      </c>
      <c r="AM322" s="1">
        <v>0.29759999999999998</v>
      </c>
      <c r="AN322" s="1">
        <v>7.1230000000000002E-2</v>
      </c>
    </row>
    <row r="323" spans="1:40" s="1" customFormat="1" ht="15" x14ac:dyDescent="0.25">
      <c r="A323" s="1">
        <v>906539</v>
      </c>
      <c r="B323" s="1" t="s">
        <v>37</v>
      </c>
      <c r="C323" s="1">
        <v>11.57</v>
      </c>
      <c r="D323" s="1">
        <v>19.04</v>
      </c>
      <c r="E323" s="2"/>
      <c r="F323" s="2"/>
      <c r="G323" s="2"/>
      <c r="H323" s="2"/>
      <c r="I323" s="2"/>
      <c r="J323" s="2"/>
      <c r="K323" s="2"/>
      <c r="L323" s="2"/>
      <c r="M323" s="1">
        <v>74.2</v>
      </c>
      <c r="N323" s="1">
        <v>409.7</v>
      </c>
      <c r="O323" s="1">
        <v>8.5459999999999994E-2</v>
      </c>
      <c r="P323" s="1">
        <v>7.7219999999999997E-2</v>
      </c>
      <c r="Q323" s="1">
        <v>5.4850000000000003E-2</v>
      </c>
      <c r="R323" s="1">
        <v>1.4279999999999999E-2</v>
      </c>
      <c r="S323" s="1">
        <v>0.2031</v>
      </c>
      <c r="T323" s="1">
        <v>6.2670000000000003E-2</v>
      </c>
      <c r="U323" s="1">
        <v>0.28639999999999999</v>
      </c>
      <c r="V323" s="1">
        <v>1.44</v>
      </c>
      <c r="W323" s="1">
        <v>2.206</v>
      </c>
      <c r="X323" s="1">
        <v>20.3</v>
      </c>
      <c r="Y323" s="1">
        <v>7.2779999999999997E-3</v>
      </c>
      <c r="Z323" s="1">
        <v>2.0469999999999999E-2</v>
      </c>
      <c r="AA323" s="1">
        <v>4.4470000000000003E-2</v>
      </c>
      <c r="AB323" s="1">
        <v>8.7989999999999995E-3</v>
      </c>
      <c r="AC323" s="1">
        <v>1.8679999999999999E-2</v>
      </c>
      <c r="AD323" s="1">
        <v>3.339E-3</v>
      </c>
      <c r="AE323" s="1">
        <v>13.07</v>
      </c>
      <c r="AF323" s="1">
        <v>26.98</v>
      </c>
      <c r="AG323" s="1">
        <v>86.43</v>
      </c>
      <c r="AH323" s="1">
        <v>520.5</v>
      </c>
      <c r="AI323" s="1">
        <v>0.1249</v>
      </c>
      <c r="AJ323" s="1">
        <v>0.19370000000000001</v>
      </c>
      <c r="AK323" s="1">
        <v>0.25600000000000001</v>
      </c>
      <c r="AL323" s="1">
        <v>6.6640000000000005E-2</v>
      </c>
      <c r="AM323" s="1">
        <v>0.30349999999999999</v>
      </c>
      <c r="AN323" s="1">
        <v>8.2839999999999997E-2</v>
      </c>
    </row>
    <row r="324" spans="1:40" s="1" customFormat="1" ht="15" x14ac:dyDescent="0.25">
      <c r="A324" s="1">
        <v>906564</v>
      </c>
      <c r="B324" s="1" t="s">
        <v>37</v>
      </c>
      <c r="C324" s="1">
        <v>14.69</v>
      </c>
      <c r="D324" s="1">
        <v>13.98</v>
      </c>
      <c r="E324" s="2"/>
      <c r="F324" s="2"/>
      <c r="G324" s="2"/>
      <c r="H324" s="2"/>
      <c r="I324" s="2"/>
      <c r="J324" s="2"/>
      <c r="K324" s="2"/>
      <c r="L324" s="2"/>
      <c r="M324" s="1">
        <v>98.22</v>
      </c>
      <c r="N324" s="1">
        <v>656.1</v>
      </c>
      <c r="O324" s="1">
        <v>0.1031</v>
      </c>
      <c r="P324" s="1">
        <v>0.18360000000000001</v>
      </c>
      <c r="Q324" s="1">
        <v>0.14499999999999999</v>
      </c>
      <c r="R324" s="1">
        <v>6.3E-2</v>
      </c>
      <c r="S324" s="1">
        <v>0.20860000000000001</v>
      </c>
      <c r="T324" s="1">
        <v>7.4060000000000001E-2</v>
      </c>
      <c r="U324" s="1">
        <v>0.54620000000000002</v>
      </c>
      <c r="V324" s="1">
        <v>1.5109999999999999</v>
      </c>
      <c r="W324" s="1">
        <v>4.7949999999999999</v>
      </c>
      <c r="X324" s="1">
        <v>49.45</v>
      </c>
      <c r="Y324" s="1">
        <v>9.9760000000000005E-3</v>
      </c>
      <c r="Z324" s="1">
        <v>5.2440000000000001E-2</v>
      </c>
      <c r="AA324" s="1">
        <v>5.2780000000000001E-2</v>
      </c>
      <c r="AB324" s="1">
        <v>1.5800000000000002E-2</v>
      </c>
      <c r="AC324" s="1">
        <v>2.6530000000000001E-2</v>
      </c>
      <c r="AD324" s="1">
        <v>5.4440000000000001E-3</v>
      </c>
      <c r="AE324" s="1">
        <v>16.46</v>
      </c>
      <c r="AF324" s="1">
        <v>18.34</v>
      </c>
      <c r="AG324" s="1">
        <v>114.1</v>
      </c>
      <c r="AH324" s="1">
        <v>809.2</v>
      </c>
      <c r="AI324" s="1">
        <v>0.13120000000000001</v>
      </c>
      <c r="AJ324" s="1">
        <v>0.36349999999999999</v>
      </c>
      <c r="AK324" s="1">
        <v>0.32190000000000002</v>
      </c>
      <c r="AL324" s="1">
        <v>0.1108</v>
      </c>
      <c r="AM324" s="1">
        <v>0.28270000000000001</v>
      </c>
      <c r="AN324" s="1">
        <v>9.2079999999999995E-2</v>
      </c>
    </row>
    <row r="325" spans="1:40" s="1" customFormat="1" ht="15" x14ac:dyDescent="0.25">
      <c r="A325" s="1">
        <v>906616</v>
      </c>
      <c r="B325" s="1" t="s">
        <v>37</v>
      </c>
      <c r="C325" s="1">
        <v>11.61</v>
      </c>
      <c r="D325" s="1">
        <v>16.02</v>
      </c>
      <c r="E325" s="2"/>
      <c r="F325" s="2"/>
      <c r="G325" s="2"/>
      <c r="H325" s="2"/>
      <c r="I325" s="2"/>
      <c r="J325" s="2"/>
      <c r="K325" s="2"/>
      <c r="L325" s="2"/>
      <c r="M325" s="1">
        <v>75.459999999999994</v>
      </c>
      <c r="N325" s="1">
        <v>408.2</v>
      </c>
      <c r="O325" s="1">
        <v>0.10879999999999999</v>
      </c>
      <c r="P325" s="1">
        <v>0.1168</v>
      </c>
      <c r="Q325" s="1">
        <v>7.0970000000000005E-2</v>
      </c>
      <c r="R325" s="1">
        <v>4.4970000000000003E-2</v>
      </c>
      <c r="S325" s="1">
        <v>0.18859999999999999</v>
      </c>
      <c r="T325" s="1">
        <v>6.3200000000000006E-2</v>
      </c>
      <c r="U325" s="1">
        <v>0.24560000000000001</v>
      </c>
      <c r="V325" s="1">
        <v>0.7339</v>
      </c>
      <c r="W325" s="1">
        <v>1.667</v>
      </c>
      <c r="X325" s="1">
        <v>15.89</v>
      </c>
      <c r="Y325" s="1">
        <v>5.8840000000000003E-3</v>
      </c>
      <c r="Z325" s="1">
        <v>2.0049999999999998E-2</v>
      </c>
      <c r="AA325" s="1">
        <v>2.631E-2</v>
      </c>
      <c r="AB325" s="1">
        <v>1.304E-2</v>
      </c>
      <c r="AC325" s="1">
        <v>1.848E-2</v>
      </c>
      <c r="AD325" s="1">
        <v>1.9819999999999998E-3</v>
      </c>
      <c r="AE325" s="1">
        <v>12.64</v>
      </c>
      <c r="AF325" s="1">
        <v>19.670000000000002</v>
      </c>
      <c r="AG325" s="1">
        <v>81.93</v>
      </c>
      <c r="AH325" s="1">
        <v>475.7</v>
      </c>
      <c r="AI325" s="1">
        <v>0.14149999999999999</v>
      </c>
      <c r="AJ325" s="1">
        <v>0.217</v>
      </c>
      <c r="AK325" s="1">
        <v>0.23019999999999999</v>
      </c>
      <c r="AL325" s="1">
        <v>0.1105</v>
      </c>
      <c r="AM325" s="1">
        <v>0.2787</v>
      </c>
      <c r="AN325" s="1">
        <v>7.4270000000000003E-2</v>
      </c>
    </row>
    <row r="326" spans="1:40" s="1" customFormat="1" ht="15" x14ac:dyDescent="0.25">
      <c r="A326" s="1">
        <v>906878</v>
      </c>
      <c r="B326" s="1" t="s">
        <v>37</v>
      </c>
      <c r="C326" s="1">
        <v>13.66</v>
      </c>
      <c r="D326" s="1">
        <v>19.13</v>
      </c>
      <c r="E326" s="2"/>
      <c r="F326" s="2"/>
      <c r="G326" s="2"/>
      <c r="H326" s="2"/>
      <c r="I326" s="2"/>
      <c r="J326" s="2"/>
      <c r="K326" s="2"/>
      <c r="L326" s="2"/>
      <c r="M326" s="1">
        <v>89.46</v>
      </c>
      <c r="N326" s="1">
        <v>575.29999999999995</v>
      </c>
      <c r="O326" s="1">
        <v>9.0569999999999998E-2</v>
      </c>
      <c r="P326" s="1">
        <v>0.1147</v>
      </c>
      <c r="Q326" s="1">
        <v>9.6570000000000003E-2</v>
      </c>
      <c r="R326" s="1">
        <v>4.8120000000000003E-2</v>
      </c>
      <c r="S326" s="1">
        <v>0.18479999999999999</v>
      </c>
      <c r="T326" s="1">
        <v>6.1809999999999997E-2</v>
      </c>
      <c r="U326" s="1">
        <v>0.22439999999999999</v>
      </c>
      <c r="V326" s="1">
        <v>0.89500000000000002</v>
      </c>
      <c r="W326" s="1">
        <v>1.804</v>
      </c>
      <c r="X326" s="1">
        <v>19.36</v>
      </c>
      <c r="Y326" s="1">
        <v>3.98E-3</v>
      </c>
      <c r="Z326" s="1">
        <v>2.809E-2</v>
      </c>
      <c r="AA326" s="1">
        <v>3.669E-2</v>
      </c>
      <c r="AB326" s="1">
        <v>1.274E-2</v>
      </c>
      <c r="AC326" s="1">
        <v>1.5810000000000001E-2</v>
      </c>
      <c r="AD326" s="1">
        <v>3.9560000000000003E-3</v>
      </c>
      <c r="AE326" s="1">
        <v>15.14</v>
      </c>
      <c r="AF326" s="1">
        <v>25.5</v>
      </c>
      <c r="AG326" s="1">
        <v>101.4</v>
      </c>
      <c r="AH326" s="1">
        <v>708.8</v>
      </c>
      <c r="AI326" s="1">
        <v>0.1147</v>
      </c>
      <c r="AJ326" s="1">
        <v>0.31669999999999998</v>
      </c>
      <c r="AK326" s="1">
        <v>0.36599999999999999</v>
      </c>
      <c r="AL326" s="1">
        <v>0.14069999999999999</v>
      </c>
      <c r="AM326" s="1">
        <v>0.27439999999999998</v>
      </c>
      <c r="AN326" s="1">
        <v>8.8389999999999996E-2</v>
      </c>
    </row>
    <row r="327" spans="1:40" s="1" customFormat="1" ht="15" x14ac:dyDescent="0.25">
      <c r="A327" s="1">
        <v>907145</v>
      </c>
      <c r="B327" s="1" t="s">
        <v>37</v>
      </c>
      <c r="C327" s="1">
        <v>9.7420000000000009</v>
      </c>
      <c r="D327" s="1">
        <v>19.12</v>
      </c>
      <c r="E327" s="2"/>
      <c r="F327" s="2"/>
      <c r="G327" s="2"/>
      <c r="H327" s="2"/>
      <c r="I327" s="2"/>
      <c r="J327" s="2"/>
      <c r="K327" s="2"/>
      <c r="L327" s="2"/>
      <c r="M327" s="1">
        <v>61.93</v>
      </c>
      <c r="N327" s="1">
        <v>289.7</v>
      </c>
      <c r="O327" s="1">
        <v>0.1075</v>
      </c>
      <c r="P327" s="1">
        <v>8.3330000000000001E-2</v>
      </c>
      <c r="Q327" s="1">
        <v>8.9339999999999992E-3</v>
      </c>
      <c r="R327" s="1">
        <v>1.967E-2</v>
      </c>
      <c r="S327" s="1">
        <v>0.25380000000000003</v>
      </c>
      <c r="T327" s="1">
        <v>7.0290000000000005E-2</v>
      </c>
      <c r="U327" s="1">
        <v>0.69650000000000001</v>
      </c>
      <c r="V327" s="1">
        <v>1.7470000000000001</v>
      </c>
      <c r="W327" s="1">
        <v>4.6070000000000002</v>
      </c>
      <c r="X327" s="1">
        <v>43.52</v>
      </c>
      <c r="Y327" s="1">
        <v>1.307E-2</v>
      </c>
      <c r="Z327" s="1">
        <v>1.8849999999999999E-2</v>
      </c>
      <c r="AA327" s="1">
        <v>6.0210000000000003E-3</v>
      </c>
      <c r="AB327" s="1">
        <v>1.052E-2</v>
      </c>
      <c r="AC327" s="1">
        <v>3.1E-2</v>
      </c>
      <c r="AD327" s="1">
        <v>4.2249999999999996E-3</v>
      </c>
      <c r="AE327" s="1">
        <v>11.21</v>
      </c>
      <c r="AF327" s="1">
        <v>23.17</v>
      </c>
      <c r="AG327" s="1">
        <v>71.790000000000006</v>
      </c>
      <c r="AH327" s="1">
        <v>380.9</v>
      </c>
      <c r="AI327" s="1">
        <v>0.13980000000000001</v>
      </c>
      <c r="AJ327" s="1">
        <v>0.13519999999999999</v>
      </c>
      <c r="AK327" s="1">
        <v>2.085E-2</v>
      </c>
      <c r="AL327" s="1">
        <v>4.589E-2</v>
      </c>
      <c r="AM327" s="1">
        <v>0.3196</v>
      </c>
      <c r="AN327" s="1">
        <v>8.0089999999999995E-2</v>
      </c>
    </row>
    <row r="328" spans="1:40" s="1" customFormat="1" ht="15" x14ac:dyDescent="0.25">
      <c r="A328" s="1">
        <v>907367</v>
      </c>
      <c r="B328" s="1" t="s">
        <v>37</v>
      </c>
      <c r="C328" s="1">
        <v>10.029999999999999</v>
      </c>
      <c r="D328" s="1">
        <v>21.28</v>
      </c>
      <c r="E328" s="2"/>
      <c r="F328" s="2"/>
      <c r="G328" s="2"/>
      <c r="H328" s="2"/>
      <c r="I328" s="2"/>
      <c r="J328" s="2"/>
      <c r="K328" s="2"/>
      <c r="L328" s="2"/>
      <c r="M328" s="1">
        <v>63.19</v>
      </c>
      <c r="N328" s="1">
        <v>307.3</v>
      </c>
      <c r="O328" s="1">
        <v>8.1170000000000006E-2</v>
      </c>
      <c r="P328" s="1">
        <v>3.9120000000000002E-2</v>
      </c>
      <c r="Q328" s="1">
        <v>2.47E-3</v>
      </c>
      <c r="R328" s="1">
        <v>5.1590000000000004E-3</v>
      </c>
      <c r="S328" s="1">
        <v>0.16300000000000001</v>
      </c>
      <c r="T328" s="1">
        <v>6.4390000000000003E-2</v>
      </c>
      <c r="U328" s="1">
        <v>0.18509999999999999</v>
      </c>
      <c r="V328" s="1">
        <v>1.341</v>
      </c>
      <c r="W328" s="1">
        <v>1.1839999999999999</v>
      </c>
      <c r="X328" s="1">
        <v>11.6</v>
      </c>
      <c r="Y328" s="1">
        <v>5.7239999999999999E-3</v>
      </c>
      <c r="Z328" s="1">
        <v>5.6969999999999998E-3</v>
      </c>
      <c r="AA328" s="1">
        <v>2.0739999999999999E-3</v>
      </c>
      <c r="AB328" s="1">
        <v>3.5270000000000002E-3</v>
      </c>
      <c r="AC328" s="1">
        <v>1.4449999999999999E-2</v>
      </c>
      <c r="AD328" s="1">
        <v>2.4109999999999999E-3</v>
      </c>
      <c r="AE328" s="1">
        <v>11.11</v>
      </c>
      <c r="AF328" s="1">
        <v>28.94</v>
      </c>
      <c r="AG328" s="1">
        <v>69.92</v>
      </c>
      <c r="AH328" s="1">
        <v>376.3</v>
      </c>
      <c r="AI328" s="1">
        <v>0.11260000000000001</v>
      </c>
      <c r="AJ328" s="1">
        <v>7.0940000000000003E-2</v>
      </c>
      <c r="AK328" s="1">
        <v>1.235E-2</v>
      </c>
      <c r="AL328" s="1">
        <v>2.579E-2</v>
      </c>
      <c r="AM328" s="1">
        <v>0.2349</v>
      </c>
      <c r="AN328" s="1">
        <v>8.0610000000000001E-2</v>
      </c>
    </row>
    <row r="329" spans="1:40" s="1" customFormat="1" ht="15" x14ac:dyDescent="0.25">
      <c r="A329" s="1">
        <v>907409</v>
      </c>
      <c r="B329" s="1" t="s">
        <v>37</v>
      </c>
      <c r="C329" s="1">
        <v>10.48</v>
      </c>
      <c r="D329" s="1">
        <v>14.98</v>
      </c>
      <c r="E329" s="2"/>
      <c r="F329" s="2"/>
      <c r="G329" s="2"/>
      <c r="H329" s="2"/>
      <c r="I329" s="2"/>
      <c r="J329" s="2"/>
      <c r="K329" s="2"/>
      <c r="L329" s="2"/>
      <c r="M329" s="1">
        <v>67.489999999999995</v>
      </c>
      <c r="N329" s="1">
        <v>333.6</v>
      </c>
      <c r="O329" s="1">
        <v>9.8159999999999997E-2</v>
      </c>
      <c r="P329" s="1">
        <v>0.1013</v>
      </c>
      <c r="Q329" s="1">
        <v>6.3350000000000004E-2</v>
      </c>
      <c r="R329" s="1">
        <v>2.2179999999999998E-2</v>
      </c>
      <c r="S329" s="1">
        <v>0.1925</v>
      </c>
      <c r="T329" s="1">
        <v>6.9150000000000003E-2</v>
      </c>
      <c r="U329" s="1">
        <v>0.3276</v>
      </c>
      <c r="V329" s="1">
        <v>1.127</v>
      </c>
      <c r="W329" s="1">
        <v>2.5640000000000001</v>
      </c>
      <c r="X329" s="1">
        <v>20.77</v>
      </c>
      <c r="Y329" s="1">
        <v>7.3639999999999999E-3</v>
      </c>
      <c r="Z329" s="1">
        <v>3.8670000000000003E-2</v>
      </c>
      <c r="AA329" s="1">
        <v>5.2630000000000003E-2</v>
      </c>
      <c r="AB329" s="1">
        <v>1.264E-2</v>
      </c>
      <c r="AC329" s="1">
        <v>2.1610000000000001E-2</v>
      </c>
      <c r="AD329" s="1">
        <v>4.8300000000000001E-3</v>
      </c>
      <c r="AE329" s="1">
        <v>12.13</v>
      </c>
      <c r="AF329" s="1">
        <v>21.57</v>
      </c>
      <c r="AG329" s="1">
        <v>81.41</v>
      </c>
      <c r="AH329" s="1">
        <v>440.4</v>
      </c>
      <c r="AI329" s="1">
        <v>0.13270000000000001</v>
      </c>
      <c r="AJ329" s="1">
        <v>0.29959999999999998</v>
      </c>
      <c r="AK329" s="1">
        <v>0.29389999999999999</v>
      </c>
      <c r="AL329" s="1">
        <v>9.3100000000000002E-2</v>
      </c>
      <c r="AM329" s="1">
        <v>0.30199999999999999</v>
      </c>
      <c r="AN329" s="1">
        <v>9.6460000000000004E-2</v>
      </c>
    </row>
    <row r="330" spans="1:40" s="1" customFormat="1" ht="15" x14ac:dyDescent="0.25">
      <c r="A330" s="1">
        <v>90745</v>
      </c>
      <c r="B330" s="1" t="s">
        <v>37</v>
      </c>
      <c r="C330" s="1">
        <v>10.8</v>
      </c>
      <c r="D330" s="1">
        <v>21.98</v>
      </c>
      <c r="E330" s="2"/>
      <c r="F330" s="2"/>
      <c r="G330" s="2"/>
      <c r="H330" s="2"/>
      <c r="I330" s="2"/>
      <c r="J330" s="2"/>
      <c r="K330" s="2"/>
      <c r="L330" s="2"/>
      <c r="M330" s="1">
        <v>68.790000000000006</v>
      </c>
      <c r="N330" s="1">
        <v>359.9</v>
      </c>
      <c r="O330" s="1">
        <v>8.8010000000000005E-2</v>
      </c>
      <c r="P330" s="1">
        <v>5.7430000000000002E-2</v>
      </c>
      <c r="Q330" s="1">
        <v>3.6139999999999999E-2</v>
      </c>
      <c r="R330" s="1">
        <v>1.404E-2</v>
      </c>
      <c r="S330" s="1">
        <v>0.2016</v>
      </c>
      <c r="T330" s="1">
        <v>5.9769999999999997E-2</v>
      </c>
      <c r="U330" s="1">
        <v>0.30769999999999997</v>
      </c>
      <c r="V330" s="1">
        <v>1.621</v>
      </c>
      <c r="W330" s="1">
        <v>2.2400000000000002</v>
      </c>
      <c r="X330" s="1">
        <v>20.2</v>
      </c>
      <c r="Y330" s="1">
        <v>6.5430000000000002E-3</v>
      </c>
      <c r="Z330" s="1">
        <v>2.1479999999999999E-2</v>
      </c>
      <c r="AA330" s="1">
        <v>2.9909999999999999E-2</v>
      </c>
      <c r="AB330" s="1">
        <v>1.0449999999999999E-2</v>
      </c>
      <c r="AC330" s="1">
        <v>1.8440000000000002E-2</v>
      </c>
      <c r="AD330" s="1">
        <v>2.6900000000000001E-3</v>
      </c>
      <c r="AE330" s="1">
        <v>12.76</v>
      </c>
      <c r="AF330" s="1">
        <v>32.04</v>
      </c>
      <c r="AG330" s="1">
        <v>83.69</v>
      </c>
      <c r="AH330" s="1">
        <v>489.5</v>
      </c>
      <c r="AI330" s="1">
        <v>0.1303</v>
      </c>
      <c r="AJ330" s="1">
        <v>0.1696</v>
      </c>
      <c r="AK330" s="1">
        <v>0.19270000000000001</v>
      </c>
      <c r="AL330" s="1">
        <v>7.485E-2</v>
      </c>
      <c r="AM330" s="1">
        <v>0.29649999999999999</v>
      </c>
      <c r="AN330" s="1">
        <v>7.6619999999999994E-2</v>
      </c>
    </row>
    <row r="331" spans="1:40" s="1" customFormat="1" ht="15" x14ac:dyDescent="0.25">
      <c r="A331" s="1">
        <v>90769601</v>
      </c>
      <c r="B331" s="1" t="s">
        <v>37</v>
      </c>
      <c r="C331" s="1">
        <v>11.13</v>
      </c>
      <c r="D331" s="1">
        <v>16.62</v>
      </c>
      <c r="E331" s="2"/>
      <c r="F331" s="2"/>
      <c r="G331" s="2"/>
      <c r="H331" s="2"/>
      <c r="I331" s="2"/>
      <c r="J331" s="2"/>
      <c r="K331" s="2"/>
      <c r="L331" s="2"/>
      <c r="M331" s="1">
        <v>70.47</v>
      </c>
      <c r="N331" s="1">
        <v>381.1</v>
      </c>
      <c r="O331" s="1">
        <v>8.1509999999999999E-2</v>
      </c>
      <c r="P331" s="1">
        <v>3.8339999999999999E-2</v>
      </c>
      <c r="Q331" s="1">
        <v>1.3690000000000001E-2</v>
      </c>
      <c r="R331" s="1">
        <v>1.37E-2</v>
      </c>
      <c r="S331" s="1">
        <v>0.15110000000000001</v>
      </c>
      <c r="T331" s="1">
        <v>6.148E-2</v>
      </c>
      <c r="U331" s="1">
        <v>0.14149999999999999</v>
      </c>
      <c r="V331" s="1">
        <v>0.96709999999999996</v>
      </c>
      <c r="W331" s="1">
        <v>0.96799999999999997</v>
      </c>
      <c r="X331" s="1">
        <v>9.7040000000000006</v>
      </c>
      <c r="Y331" s="1">
        <v>5.8830000000000002E-3</v>
      </c>
      <c r="Z331" s="1">
        <v>6.2630000000000003E-3</v>
      </c>
      <c r="AA331" s="1">
        <v>9.3980000000000001E-3</v>
      </c>
      <c r="AB331" s="1">
        <v>6.1890000000000001E-3</v>
      </c>
      <c r="AC331" s="1">
        <v>2.009E-2</v>
      </c>
      <c r="AD331" s="1">
        <v>2.3770000000000002E-3</v>
      </c>
      <c r="AE331" s="1">
        <v>11.68</v>
      </c>
      <c r="AF331" s="1">
        <v>20.29</v>
      </c>
      <c r="AG331" s="1">
        <v>74.349999999999994</v>
      </c>
      <c r="AH331" s="1">
        <v>421.1</v>
      </c>
      <c r="AI331" s="1">
        <v>0.10299999999999999</v>
      </c>
      <c r="AJ331" s="1">
        <v>6.2190000000000002E-2</v>
      </c>
      <c r="AK331" s="1">
        <v>4.58E-2</v>
      </c>
      <c r="AL331" s="1">
        <v>4.0439999999999997E-2</v>
      </c>
      <c r="AM331" s="1">
        <v>0.23830000000000001</v>
      </c>
      <c r="AN331" s="1">
        <v>7.0830000000000004E-2</v>
      </c>
    </row>
    <row r="332" spans="1:40" s="1" customFormat="1" ht="15" x14ac:dyDescent="0.25">
      <c r="A332" s="1">
        <v>90769602</v>
      </c>
      <c r="B332" s="1" t="s">
        <v>37</v>
      </c>
      <c r="C332" s="1">
        <v>12.72</v>
      </c>
      <c r="D332" s="1">
        <v>17.670000000000002</v>
      </c>
      <c r="E332" s="2"/>
      <c r="F332" s="2"/>
      <c r="G332" s="2"/>
      <c r="H332" s="2"/>
      <c r="I332" s="2"/>
      <c r="J332" s="2"/>
      <c r="K332" s="2"/>
      <c r="L332" s="2"/>
      <c r="M332" s="1">
        <v>80.98</v>
      </c>
      <c r="N332" s="1">
        <v>501.3</v>
      </c>
      <c r="O332" s="1">
        <v>7.8960000000000002E-2</v>
      </c>
      <c r="P332" s="1">
        <v>4.5220000000000003E-2</v>
      </c>
      <c r="Q332" s="1">
        <v>1.4019999999999999E-2</v>
      </c>
      <c r="R332" s="1">
        <v>1.8350000000000002E-2</v>
      </c>
      <c r="S332" s="1">
        <v>0.1459</v>
      </c>
      <c r="T332" s="1">
        <v>5.5440000000000003E-2</v>
      </c>
      <c r="U332" s="1">
        <v>0.2954</v>
      </c>
      <c r="V332" s="1">
        <v>0.88360000000000005</v>
      </c>
      <c r="W332" s="1">
        <v>2.109</v>
      </c>
      <c r="X332" s="1">
        <v>23.24</v>
      </c>
      <c r="Y332" s="1">
        <v>7.3369999999999998E-3</v>
      </c>
      <c r="Z332" s="1">
        <v>1.174E-2</v>
      </c>
      <c r="AA332" s="1">
        <v>5.3829999999999998E-3</v>
      </c>
      <c r="AB332" s="1">
        <v>5.6230000000000004E-3</v>
      </c>
      <c r="AC332" s="1">
        <v>1.9400000000000001E-2</v>
      </c>
      <c r="AD332" s="1">
        <v>1.1800000000000001E-3</v>
      </c>
      <c r="AE332" s="1">
        <v>13.82</v>
      </c>
      <c r="AF332" s="1">
        <v>20.96</v>
      </c>
      <c r="AG332" s="1">
        <v>88.87</v>
      </c>
      <c r="AH332" s="1">
        <v>586.79999999999995</v>
      </c>
      <c r="AI332" s="1">
        <v>0.10680000000000001</v>
      </c>
      <c r="AJ332" s="1">
        <v>9.6049999999999996E-2</v>
      </c>
      <c r="AK332" s="1">
        <v>3.4689999999999999E-2</v>
      </c>
      <c r="AL332" s="1">
        <v>3.6119999999999999E-2</v>
      </c>
      <c r="AM332" s="1">
        <v>0.2165</v>
      </c>
      <c r="AN332" s="1">
        <v>6.0249999999999998E-2</v>
      </c>
    </row>
    <row r="333" spans="1:40" s="1" customFormat="1" ht="15" x14ac:dyDescent="0.25">
      <c r="A333" s="1">
        <v>907914</v>
      </c>
      <c r="B333" s="1" t="s">
        <v>36</v>
      </c>
      <c r="C333" s="1">
        <v>14.9</v>
      </c>
      <c r="D333" s="1">
        <v>22.53</v>
      </c>
      <c r="E333" s="2"/>
      <c r="F333" s="2"/>
      <c r="G333" s="2"/>
      <c r="H333" s="2"/>
      <c r="I333" s="2"/>
      <c r="J333" s="2"/>
      <c r="K333" s="2"/>
      <c r="L333" s="2"/>
      <c r="M333" s="1">
        <v>102.1</v>
      </c>
      <c r="N333" s="1">
        <v>685</v>
      </c>
      <c r="O333" s="1">
        <v>9.9470000000000003E-2</v>
      </c>
      <c r="P333" s="1">
        <v>0.2225</v>
      </c>
      <c r="Q333" s="1">
        <v>0.27329999999999999</v>
      </c>
      <c r="R333" s="1">
        <v>9.7110000000000002E-2</v>
      </c>
      <c r="S333" s="1">
        <v>0.2041</v>
      </c>
      <c r="T333" s="1">
        <v>6.898E-2</v>
      </c>
      <c r="U333" s="1">
        <v>0.253</v>
      </c>
      <c r="V333" s="1">
        <v>0.87490000000000001</v>
      </c>
      <c r="W333" s="1">
        <v>3.4660000000000002</v>
      </c>
      <c r="X333" s="1">
        <v>24.19</v>
      </c>
      <c r="Y333" s="1">
        <v>6.9649999999999998E-3</v>
      </c>
      <c r="Z333" s="1">
        <v>6.2129999999999998E-2</v>
      </c>
      <c r="AA333" s="1">
        <v>7.9259999999999997E-2</v>
      </c>
      <c r="AB333" s="1">
        <v>2.2339999999999999E-2</v>
      </c>
      <c r="AC333" s="1">
        <v>1.499E-2</v>
      </c>
      <c r="AD333" s="1">
        <v>5.7840000000000001E-3</v>
      </c>
      <c r="AE333" s="1">
        <v>16.350000000000001</v>
      </c>
      <c r="AF333" s="1">
        <v>27.57</v>
      </c>
      <c r="AG333" s="1">
        <v>125.4</v>
      </c>
      <c r="AH333" s="1">
        <v>832.7</v>
      </c>
      <c r="AI333" s="1">
        <v>0.1419</v>
      </c>
      <c r="AJ333" s="1">
        <v>0.70899999999999996</v>
      </c>
      <c r="AK333" s="1">
        <v>0.90190000000000003</v>
      </c>
      <c r="AL333" s="1">
        <v>0.2475</v>
      </c>
      <c r="AM333" s="1">
        <v>0.28660000000000002</v>
      </c>
      <c r="AN333" s="1">
        <v>0.11550000000000001</v>
      </c>
    </row>
    <row r="334" spans="1:40" s="1" customFormat="1" ht="15" x14ac:dyDescent="0.25">
      <c r="A334" s="1">
        <v>907915</v>
      </c>
      <c r="B334" s="1" t="s">
        <v>37</v>
      </c>
      <c r="C334" s="1">
        <v>12.4</v>
      </c>
      <c r="D334" s="1">
        <v>17.68</v>
      </c>
      <c r="E334" s="2"/>
      <c r="F334" s="2"/>
      <c r="G334" s="2"/>
      <c r="H334" s="2"/>
      <c r="I334" s="2"/>
      <c r="J334" s="2"/>
      <c r="K334" s="2"/>
      <c r="L334" s="2"/>
      <c r="M334" s="1">
        <v>81.47</v>
      </c>
      <c r="N334" s="1">
        <v>467.8</v>
      </c>
      <c r="O334" s="1">
        <v>0.10539999999999999</v>
      </c>
      <c r="P334" s="1">
        <v>0.13159999999999999</v>
      </c>
      <c r="Q334" s="1">
        <v>7.7410000000000007E-2</v>
      </c>
      <c r="R334" s="1">
        <v>2.7990000000000001E-2</v>
      </c>
      <c r="S334" s="1">
        <v>0.18110000000000001</v>
      </c>
      <c r="T334" s="1">
        <v>7.102E-2</v>
      </c>
      <c r="U334" s="1">
        <v>0.1767</v>
      </c>
      <c r="V334" s="1">
        <v>1.46</v>
      </c>
      <c r="W334" s="1">
        <v>2.2040000000000002</v>
      </c>
      <c r="X334" s="1">
        <v>15.43</v>
      </c>
      <c r="Y334" s="1">
        <v>0.01</v>
      </c>
      <c r="Z334" s="1">
        <v>3.295E-2</v>
      </c>
      <c r="AA334" s="1">
        <v>4.861E-2</v>
      </c>
      <c r="AB334" s="1">
        <v>1.167E-2</v>
      </c>
      <c r="AC334" s="1">
        <v>2.1870000000000001E-2</v>
      </c>
      <c r="AD334" s="1">
        <v>6.0049999999999999E-3</v>
      </c>
      <c r="AE334" s="1">
        <v>12.88</v>
      </c>
      <c r="AF334" s="1">
        <v>22.91</v>
      </c>
      <c r="AG334" s="1">
        <v>89.61</v>
      </c>
      <c r="AH334" s="1">
        <v>515.79999999999995</v>
      </c>
      <c r="AI334" s="1">
        <v>0.14499999999999999</v>
      </c>
      <c r="AJ334" s="1">
        <v>0.26290000000000002</v>
      </c>
      <c r="AK334" s="1">
        <v>0.24030000000000001</v>
      </c>
      <c r="AL334" s="1">
        <v>7.3700000000000002E-2</v>
      </c>
      <c r="AM334" s="1">
        <v>0.25559999999999999</v>
      </c>
      <c r="AN334" s="1">
        <v>9.3590000000000007E-2</v>
      </c>
    </row>
    <row r="335" spans="1:40" s="1" customFormat="1" ht="15" x14ac:dyDescent="0.25">
      <c r="A335" s="1">
        <v>908194</v>
      </c>
      <c r="B335" s="1" t="s">
        <v>36</v>
      </c>
      <c r="C335" s="1">
        <v>20.18</v>
      </c>
      <c r="D335" s="1">
        <v>19.54</v>
      </c>
      <c r="E335" s="2"/>
      <c r="F335" s="2"/>
      <c r="G335" s="2"/>
      <c r="H335" s="2"/>
      <c r="I335" s="2"/>
      <c r="J335" s="2"/>
      <c r="K335" s="2"/>
      <c r="L335" s="2"/>
      <c r="M335" s="1">
        <v>133.80000000000001</v>
      </c>
      <c r="N335" s="1">
        <v>1250</v>
      </c>
      <c r="O335" s="1">
        <v>0.1133</v>
      </c>
      <c r="P335" s="1">
        <v>0.1489</v>
      </c>
      <c r="Q335" s="1">
        <v>0.21329999999999999</v>
      </c>
      <c r="R335" s="1">
        <v>0.12590000000000001</v>
      </c>
      <c r="S335" s="1">
        <v>0.1724</v>
      </c>
      <c r="T335" s="1">
        <v>6.053E-2</v>
      </c>
      <c r="U335" s="1">
        <v>0.43309999999999998</v>
      </c>
      <c r="V335" s="1">
        <v>1.0009999999999999</v>
      </c>
      <c r="W335" s="1">
        <v>3.008</v>
      </c>
      <c r="X335" s="1">
        <v>52.49</v>
      </c>
      <c r="Y335" s="1">
        <v>9.0869999999999996E-3</v>
      </c>
      <c r="Z335" s="1">
        <v>2.7150000000000001E-2</v>
      </c>
      <c r="AA335" s="1">
        <v>5.5460000000000002E-2</v>
      </c>
      <c r="AB335" s="1">
        <v>1.9099999999999999E-2</v>
      </c>
      <c r="AC335" s="1">
        <v>2.4510000000000001E-2</v>
      </c>
      <c r="AD335" s="1">
        <v>4.0049999999999999E-3</v>
      </c>
      <c r="AE335" s="1">
        <v>22.03</v>
      </c>
      <c r="AF335" s="1">
        <v>25.07</v>
      </c>
      <c r="AG335" s="1">
        <v>146</v>
      </c>
      <c r="AH335" s="1">
        <v>1479</v>
      </c>
      <c r="AI335" s="1">
        <v>0.16650000000000001</v>
      </c>
      <c r="AJ335" s="1">
        <v>0.29420000000000002</v>
      </c>
      <c r="AK335" s="1">
        <v>0.53080000000000005</v>
      </c>
      <c r="AL335" s="1">
        <v>0.21729999999999999</v>
      </c>
      <c r="AM335" s="1">
        <v>0.30320000000000003</v>
      </c>
      <c r="AN335" s="1">
        <v>8.0750000000000002E-2</v>
      </c>
    </row>
    <row r="336" spans="1:40" s="1" customFormat="1" ht="15" x14ac:dyDescent="0.25">
      <c r="A336" s="1">
        <v>908445</v>
      </c>
      <c r="B336" s="1" t="s">
        <v>36</v>
      </c>
      <c r="C336" s="1">
        <v>18.82</v>
      </c>
      <c r="D336" s="1">
        <v>21.97</v>
      </c>
      <c r="E336" s="2"/>
      <c r="F336" s="2"/>
      <c r="G336" s="2"/>
      <c r="H336" s="2"/>
      <c r="I336" s="2"/>
      <c r="J336" s="2"/>
      <c r="K336" s="2"/>
      <c r="L336" s="2"/>
      <c r="M336" s="1">
        <v>123.7</v>
      </c>
      <c r="N336" s="1">
        <v>1110</v>
      </c>
      <c r="O336" s="1">
        <v>0.1018</v>
      </c>
      <c r="P336" s="1">
        <v>0.1389</v>
      </c>
      <c r="Q336" s="1">
        <v>0.15939999999999999</v>
      </c>
      <c r="R336" s="1">
        <v>8.7440000000000004E-2</v>
      </c>
      <c r="S336" s="1">
        <v>0.1943</v>
      </c>
      <c r="T336" s="1">
        <v>6.132E-2</v>
      </c>
      <c r="U336" s="1">
        <v>0.81910000000000005</v>
      </c>
      <c r="V336" s="1">
        <v>1.931</v>
      </c>
      <c r="W336" s="1">
        <v>4.4930000000000003</v>
      </c>
      <c r="X336" s="1">
        <v>103.9</v>
      </c>
      <c r="Y336" s="1">
        <v>8.0739999999999996E-3</v>
      </c>
      <c r="Z336" s="1">
        <v>4.088E-2</v>
      </c>
      <c r="AA336" s="1">
        <v>5.321E-2</v>
      </c>
      <c r="AB336" s="1">
        <v>1.8339999999999999E-2</v>
      </c>
      <c r="AC336" s="1">
        <v>2.383E-2</v>
      </c>
      <c r="AD336" s="1">
        <v>4.5149999999999999E-3</v>
      </c>
      <c r="AE336" s="1">
        <v>22.66</v>
      </c>
      <c r="AF336" s="1">
        <v>30.93</v>
      </c>
      <c r="AG336" s="1">
        <v>145.30000000000001</v>
      </c>
      <c r="AH336" s="1">
        <v>1603</v>
      </c>
      <c r="AI336" s="1">
        <v>0.13900000000000001</v>
      </c>
      <c r="AJ336" s="1">
        <v>0.3463</v>
      </c>
      <c r="AK336" s="1">
        <v>0.39119999999999999</v>
      </c>
      <c r="AL336" s="1">
        <v>0.17080000000000001</v>
      </c>
      <c r="AM336" s="1">
        <v>0.30070000000000002</v>
      </c>
      <c r="AN336" s="1">
        <v>8.3140000000000006E-2</v>
      </c>
    </row>
    <row r="337" spans="1:40" s="1" customFormat="1" ht="15" x14ac:dyDescent="0.25">
      <c r="A337" s="1">
        <v>908469</v>
      </c>
      <c r="B337" s="1" t="s">
        <v>37</v>
      </c>
      <c r="C337" s="1">
        <v>14.86</v>
      </c>
      <c r="D337" s="1">
        <v>16.940000000000001</v>
      </c>
      <c r="E337" s="2"/>
      <c r="F337" s="2"/>
      <c r="G337" s="2"/>
      <c r="H337" s="2"/>
      <c r="I337" s="2"/>
      <c r="J337" s="2"/>
      <c r="K337" s="2"/>
      <c r="L337" s="2"/>
      <c r="M337" s="1">
        <v>94.89</v>
      </c>
      <c r="N337" s="1">
        <v>673.7</v>
      </c>
      <c r="O337" s="1">
        <v>8.924E-2</v>
      </c>
      <c r="P337" s="1">
        <v>7.0739999999999997E-2</v>
      </c>
      <c r="Q337" s="1">
        <v>3.3459999999999997E-2</v>
      </c>
      <c r="R337" s="1">
        <v>2.877E-2</v>
      </c>
      <c r="S337" s="1">
        <v>0.1573</v>
      </c>
      <c r="T337" s="1">
        <v>5.7029999999999997E-2</v>
      </c>
      <c r="U337" s="1">
        <v>0.30280000000000001</v>
      </c>
      <c r="V337" s="1">
        <v>0.66830000000000001</v>
      </c>
      <c r="W337" s="1">
        <v>1.6120000000000001</v>
      </c>
      <c r="X337" s="1">
        <v>23.92</v>
      </c>
      <c r="Y337" s="1">
        <v>5.7559999999999998E-3</v>
      </c>
      <c r="Z337" s="1">
        <v>1.6650000000000002E-2</v>
      </c>
      <c r="AA337" s="1">
        <v>1.461E-2</v>
      </c>
      <c r="AB337" s="1">
        <v>8.2810000000000002E-3</v>
      </c>
      <c r="AC337" s="1">
        <v>1.5509999999999999E-2</v>
      </c>
      <c r="AD337" s="1">
        <v>2.1679999999999998E-3</v>
      </c>
      <c r="AE337" s="1">
        <v>16.309999999999999</v>
      </c>
      <c r="AF337" s="1">
        <v>20.54</v>
      </c>
      <c r="AG337" s="1">
        <v>102.3</v>
      </c>
      <c r="AH337" s="1">
        <v>777.5</v>
      </c>
      <c r="AI337" s="1">
        <v>0.12180000000000001</v>
      </c>
      <c r="AJ337" s="1">
        <v>0.155</v>
      </c>
      <c r="AK337" s="1">
        <v>0.122</v>
      </c>
      <c r="AL337" s="1">
        <v>7.9710000000000003E-2</v>
      </c>
      <c r="AM337" s="1">
        <v>0.2525</v>
      </c>
      <c r="AN337" s="1">
        <v>6.8269999999999997E-2</v>
      </c>
    </row>
    <row r="338" spans="1:40" s="1" customFormat="1" ht="15" x14ac:dyDescent="0.25">
      <c r="A338" s="1">
        <v>908489</v>
      </c>
      <c r="B338" s="1" t="s">
        <v>36</v>
      </c>
      <c r="C338" s="1">
        <v>13.98</v>
      </c>
      <c r="D338" s="1">
        <v>19.62</v>
      </c>
      <c r="E338" s="2"/>
      <c r="F338" s="2"/>
      <c r="G338" s="2"/>
      <c r="H338" s="2"/>
      <c r="I338" s="2"/>
      <c r="J338" s="2"/>
      <c r="K338" s="2"/>
      <c r="L338" s="2"/>
      <c r="M338" s="1">
        <v>91.12</v>
      </c>
      <c r="N338" s="1">
        <v>599.5</v>
      </c>
      <c r="O338" s="1">
        <v>0.106</v>
      </c>
      <c r="P338" s="1">
        <v>0.1133</v>
      </c>
      <c r="Q338" s="1">
        <v>0.11260000000000001</v>
      </c>
      <c r="R338" s="1">
        <v>6.4630000000000007E-2</v>
      </c>
      <c r="S338" s="1">
        <v>0.16689999999999999</v>
      </c>
      <c r="T338" s="1">
        <v>6.5439999999999998E-2</v>
      </c>
      <c r="U338" s="1">
        <v>0.2208</v>
      </c>
      <c r="V338" s="1">
        <v>0.95330000000000004</v>
      </c>
      <c r="W338" s="1">
        <v>1.6020000000000001</v>
      </c>
      <c r="X338" s="1">
        <v>18.850000000000001</v>
      </c>
      <c r="Y338" s="1">
        <v>5.3140000000000001E-3</v>
      </c>
      <c r="Z338" s="1">
        <v>1.7909999999999999E-2</v>
      </c>
      <c r="AA338" s="1">
        <v>2.1850000000000001E-2</v>
      </c>
      <c r="AB338" s="1">
        <v>9.5670000000000009E-3</v>
      </c>
      <c r="AC338" s="1">
        <v>1.223E-2</v>
      </c>
      <c r="AD338" s="1">
        <v>2.846E-3</v>
      </c>
      <c r="AE338" s="1">
        <v>17.04</v>
      </c>
      <c r="AF338" s="1">
        <v>30.8</v>
      </c>
      <c r="AG338" s="1">
        <v>113.9</v>
      </c>
      <c r="AH338" s="1">
        <v>869.3</v>
      </c>
      <c r="AI338" s="1">
        <v>0.1613</v>
      </c>
      <c r="AJ338" s="1">
        <v>0.35680000000000001</v>
      </c>
      <c r="AK338" s="1">
        <v>0.40689999999999998</v>
      </c>
      <c r="AL338" s="1">
        <v>0.1827</v>
      </c>
      <c r="AM338" s="1">
        <v>0.31790000000000002</v>
      </c>
      <c r="AN338" s="1">
        <v>0.1055</v>
      </c>
    </row>
    <row r="339" spans="1:40" s="1" customFormat="1" ht="15" x14ac:dyDescent="0.25">
      <c r="A339" s="1">
        <v>908916</v>
      </c>
      <c r="B339" s="1" t="s">
        <v>37</v>
      </c>
      <c r="C339" s="1">
        <v>12.87</v>
      </c>
      <c r="D339" s="1">
        <v>19.54</v>
      </c>
      <c r="E339" s="2"/>
      <c r="F339" s="2"/>
      <c r="G339" s="2"/>
      <c r="H339" s="2"/>
      <c r="I339" s="2"/>
      <c r="J339" s="2"/>
      <c r="K339" s="2"/>
      <c r="L339" s="2"/>
      <c r="M339" s="1">
        <v>82.67</v>
      </c>
      <c r="N339" s="1">
        <v>509.2</v>
      </c>
      <c r="O339" s="1">
        <v>9.1359999999999997E-2</v>
      </c>
      <c r="P339" s="1">
        <v>7.8829999999999997E-2</v>
      </c>
      <c r="Q339" s="1">
        <v>1.797E-2</v>
      </c>
      <c r="R339" s="1">
        <v>2.0899999999999998E-2</v>
      </c>
      <c r="S339" s="1">
        <v>0.18609999999999999</v>
      </c>
      <c r="T339" s="1">
        <v>6.3469999999999999E-2</v>
      </c>
      <c r="U339" s="1">
        <v>0.36649999999999999</v>
      </c>
      <c r="V339" s="1">
        <v>0.76929999999999998</v>
      </c>
      <c r="W339" s="1">
        <v>2.597</v>
      </c>
      <c r="X339" s="1">
        <v>26.5</v>
      </c>
      <c r="Y339" s="1">
        <v>5.9100000000000003E-3</v>
      </c>
      <c r="Z339" s="1">
        <v>1.362E-2</v>
      </c>
      <c r="AA339" s="1">
        <v>7.0660000000000002E-3</v>
      </c>
      <c r="AB339" s="1">
        <v>6.502E-3</v>
      </c>
      <c r="AC339" s="1">
        <v>2.223E-2</v>
      </c>
      <c r="AD339" s="1">
        <v>2.3779999999999999E-3</v>
      </c>
      <c r="AE339" s="1">
        <v>14.45</v>
      </c>
      <c r="AF339" s="1">
        <v>24.38</v>
      </c>
      <c r="AG339" s="1">
        <v>95.14</v>
      </c>
      <c r="AH339" s="1">
        <v>626.9</v>
      </c>
      <c r="AI339" s="1">
        <v>0.12139999999999999</v>
      </c>
      <c r="AJ339" s="1">
        <v>0.16520000000000001</v>
      </c>
      <c r="AK339" s="1">
        <v>7.127E-2</v>
      </c>
      <c r="AL339" s="1">
        <v>6.3839999999999994E-2</v>
      </c>
      <c r="AM339" s="1">
        <v>0.33129999999999998</v>
      </c>
      <c r="AN339" s="1">
        <v>7.7350000000000002E-2</v>
      </c>
    </row>
    <row r="340" spans="1:40" s="1" customFormat="1" ht="15" x14ac:dyDescent="0.25">
      <c r="A340" s="1">
        <v>909220</v>
      </c>
      <c r="B340" s="1" t="s">
        <v>37</v>
      </c>
      <c r="C340" s="1">
        <v>14.04</v>
      </c>
      <c r="D340" s="1">
        <v>15.98</v>
      </c>
      <c r="E340" s="2"/>
      <c r="F340" s="2"/>
      <c r="G340" s="2"/>
      <c r="H340" s="2"/>
      <c r="I340" s="2"/>
      <c r="J340" s="2"/>
      <c r="K340" s="2"/>
      <c r="L340" s="2"/>
      <c r="M340" s="1">
        <v>89.78</v>
      </c>
      <c r="N340" s="1">
        <v>611.20000000000005</v>
      </c>
      <c r="O340" s="1">
        <v>8.4580000000000002E-2</v>
      </c>
      <c r="P340" s="1">
        <v>5.8950000000000002E-2</v>
      </c>
      <c r="Q340" s="1">
        <v>3.5340000000000003E-2</v>
      </c>
      <c r="R340" s="1">
        <v>2.9440000000000001E-2</v>
      </c>
      <c r="S340" s="1">
        <v>0.1714</v>
      </c>
      <c r="T340" s="1">
        <v>5.8979999999999998E-2</v>
      </c>
      <c r="U340" s="1">
        <v>0.38919999999999999</v>
      </c>
      <c r="V340" s="1">
        <v>1.046</v>
      </c>
      <c r="W340" s="1">
        <v>2.6440000000000001</v>
      </c>
      <c r="X340" s="1">
        <v>32.74</v>
      </c>
      <c r="Y340" s="1">
        <v>7.9760000000000005E-3</v>
      </c>
      <c r="Z340" s="1">
        <v>1.295E-2</v>
      </c>
      <c r="AA340" s="1">
        <v>1.6080000000000001E-2</v>
      </c>
      <c r="AB340" s="1">
        <v>9.0460000000000002E-3</v>
      </c>
      <c r="AC340" s="1">
        <v>2.0049999999999998E-2</v>
      </c>
      <c r="AD340" s="1">
        <v>2.8300000000000001E-3</v>
      </c>
      <c r="AE340" s="1">
        <v>15.66</v>
      </c>
      <c r="AF340" s="1">
        <v>21.58</v>
      </c>
      <c r="AG340" s="1">
        <v>101.2</v>
      </c>
      <c r="AH340" s="1">
        <v>750</v>
      </c>
      <c r="AI340" s="1">
        <v>0.1195</v>
      </c>
      <c r="AJ340" s="1">
        <v>0.12520000000000001</v>
      </c>
      <c r="AK340" s="1">
        <v>0.11169999999999999</v>
      </c>
      <c r="AL340" s="1">
        <v>7.4529999999999999E-2</v>
      </c>
      <c r="AM340" s="1">
        <v>0.27250000000000002</v>
      </c>
      <c r="AN340" s="1">
        <v>7.2340000000000002E-2</v>
      </c>
    </row>
    <row r="341" spans="1:40" s="1" customFormat="1" ht="15" x14ac:dyDescent="0.25">
      <c r="A341" s="1">
        <v>909231</v>
      </c>
      <c r="B341" s="1" t="s">
        <v>37</v>
      </c>
      <c r="C341" s="1">
        <v>13.85</v>
      </c>
      <c r="D341" s="1">
        <v>19.600000000000001</v>
      </c>
      <c r="E341" s="2"/>
      <c r="F341" s="2"/>
      <c r="G341" s="2"/>
      <c r="H341" s="2"/>
      <c r="I341" s="2"/>
      <c r="J341" s="2"/>
      <c r="K341" s="2"/>
      <c r="L341" s="2"/>
      <c r="M341" s="1">
        <v>88.68</v>
      </c>
      <c r="N341" s="1">
        <v>592.6</v>
      </c>
      <c r="O341" s="1">
        <v>8.6840000000000001E-2</v>
      </c>
      <c r="P341" s="1">
        <v>6.3299999999999995E-2</v>
      </c>
      <c r="Q341" s="1">
        <v>1.342E-2</v>
      </c>
      <c r="R341" s="1">
        <v>2.2929999999999999E-2</v>
      </c>
      <c r="S341" s="1">
        <v>0.1555</v>
      </c>
      <c r="T341" s="1">
        <v>5.6730000000000003E-2</v>
      </c>
      <c r="U341" s="1">
        <v>0.34189999999999998</v>
      </c>
      <c r="V341" s="1">
        <v>1.6779999999999999</v>
      </c>
      <c r="W341" s="1">
        <v>2.331</v>
      </c>
      <c r="X341" s="1">
        <v>29.63</v>
      </c>
      <c r="Y341" s="1">
        <v>5.836E-3</v>
      </c>
      <c r="Z341" s="1">
        <v>1.095E-2</v>
      </c>
      <c r="AA341" s="1">
        <v>5.8120000000000003E-3</v>
      </c>
      <c r="AB341" s="1">
        <v>7.0390000000000001E-3</v>
      </c>
      <c r="AC341" s="1">
        <v>2.0140000000000002E-2</v>
      </c>
      <c r="AD341" s="1">
        <v>2.3259999999999999E-3</v>
      </c>
      <c r="AE341" s="1">
        <v>15.63</v>
      </c>
      <c r="AF341" s="1">
        <v>28.01</v>
      </c>
      <c r="AG341" s="1">
        <v>100.9</v>
      </c>
      <c r="AH341" s="1">
        <v>749.1</v>
      </c>
      <c r="AI341" s="1">
        <v>0.1118</v>
      </c>
      <c r="AJ341" s="1">
        <v>0.11409999999999999</v>
      </c>
      <c r="AK341" s="1">
        <v>4.7530000000000003E-2</v>
      </c>
      <c r="AL341" s="1">
        <v>5.8900000000000001E-2</v>
      </c>
      <c r="AM341" s="1">
        <v>0.25130000000000002</v>
      </c>
      <c r="AN341" s="1">
        <v>6.9110000000000005E-2</v>
      </c>
    </row>
    <row r="342" spans="1:40" s="1" customFormat="1" ht="15" x14ac:dyDescent="0.25">
      <c r="A342" s="1">
        <v>909410</v>
      </c>
      <c r="B342" s="1" t="s">
        <v>37</v>
      </c>
      <c r="C342" s="1">
        <v>14.02</v>
      </c>
      <c r="D342" s="1">
        <v>15.66</v>
      </c>
      <c r="E342" s="2"/>
      <c r="F342" s="2"/>
      <c r="G342" s="2"/>
      <c r="H342" s="2"/>
      <c r="I342" s="2"/>
      <c r="J342" s="2"/>
      <c r="K342" s="2"/>
      <c r="L342" s="2"/>
      <c r="M342" s="1">
        <v>89.59</v>
      </c>
      <c r="N342" s="1">
        <v>606.5</v>
      </c>
      <c r="O342" s="1">
        <v>7.9659999999999995E-2</v>
      </c>
      <c r="P342" s="1">
        <v>5.5809999999999998E-2</v>
      </c>
      <c r="Q342" s="1">
        <v>2.087E-2</v>
      </c>
      <c r="R342" s="1">
        <v>2.6519999999999998E-2</v>
      </c>
      <c r="S342" s="1">
        <v>0.15890000000000001</v>
      </c>
      <c r="T342" s="1">
        <v>5.586E-2</v>
      </c>
      <c r="U342" s="1">
        <v>0.2142</v>
      </c>
      <c r="V342" s="1">
        <v>0.65490000000000004</v>
      </c>
      <c r="W342" s="1">
        <v>1.6060000000000001</v>
      </c>
      <c r="X342" s="1">
        <v>19.25</v>
      </c>
      <c r="Y342" s="1">
        <v>4.8370000000000002E-3</v>
      </c>
      <c r="Z342" s="1">
        <v>9.2379999999999997E-3</v>
      </c>
      <c r="AA342" s="1">
        <v>9.2130000000000007E-3</v>
      </c>
      <c r="AB342" s="1">
        <v>1.076E-2</v>
      </c>
      <c r="AC342" s="1">
        <v>1.171E-2</v>
      </c>
      <c r="AD342" s="1">
        <v>2.104E-3</v>
      </c>
      <c r="AE342" s="1">
        <v>14.91</v>
      </c>
      <c r="AF342" s="1">
        <v>19.309999999999999</v>
      </c>
      <c r="AG342" s="1">
        <v>96.53</v>
      </c>
      <c r="AH342" s="1">
        <v>688.9</v>
      </c>
      <c r="AI342" s="1">
        <v>0.10340000000000001</v>
      </c>
      <c r="AJ342" s="1">
        <v>0.1017</v>
      </c>
      <c r="AK342" s="1">
        <v>6.2600000000000003E-2</v>
      </c>
      <c r="AL342" s="1">
        <v>8.2159999999999997E-2</v>
      </c>
      <c r="AM342" s="1">
        <v>0.21360000000000001</v>
      </c>
      <c r="AN342" s="1">
        <v>6.7100000000000007E-2</v>
      </c>
    </row>
    <row r="343" spans="1:40" s="1" customFormat="1" ht="15" x14ac:dyDescent="0.25">
      <c r="A343" s="1">
        <v>909411</v>
      </c>
      <c r="B343" s="1" t="s">
        <v>37</v>
      </c>
      <c r="C343" s="1">
        <v>10.97</v>
      </c>
      <c r="D343" s="1">
        <v>17.2</v>
      </c>
      <c r="E343" s="2"/>
      <c r="F343" s="2"/>
      <c r="G343" s="2"/>
      <c r="H343" s="2"/>
      <c r="I343" s="2"/>
      <c r="J343" s="2"/>
      <c r="K343" s="2"/>
      <c r="L343" s="2"/>
      <c r="M343" s="1">
        <v>71.73</v>
      </c>
      <c r="N343" s="1">
        <v>371.5</v>
      </c>
      <c r="O343" s="1">
        <v>8.9149999999999993E-2</v>
      </c>
      <c r="P343" s="1">
        <v>0.1113</v>
      </c>
      <c r="Q343" s="1">
        <v>9.4570000000000001E-2</v>
      </c>
      <c r="R343" s="1">
        <v>3.6130000000000002E-2</v>
      </c>
      <c r="S343" s="1">
        <v>0.1489</v>
      </c>
      <c r="T343" s="1">
        <v>6.6400000000000001E-2</v>
      </c>
      <c r="U343" s="1">
        <v>0.25740000000000002</v>
      </c>
      <c r="V343" s="1">
        <v>1.3759999999999999</v>
      </c>
      <c r="W343" s="1">
        <v>2.806</v>
      </c>
      <c r="X343" s="1">
        <v>18.149999999999999</v>
      </c>
      <c r="Y343" s="1">
        <v>8.5649999999999997E-3</v>
      </c>
      <c r="Z343" s="1">
        <v>4.6379999999999998E-2</v>
      </c>
      <c r="AA343" s="1">
        <v>6.4299999999999996E-2</v>
      </c>
      <c r="AB343" s="1">
        <v>1.7680000000000001E-2</v>
      </c>
      <c r="AC343" s="1">
        <v>1.516E-2</v>
      </c>
      <c r="AD343" s="1">
        <v>4.9760000000000004E-3</v>
      </c>
      <c r="AE343" s="1">
        <v>12.36</v>
      </c>
      <c r="AF343" s="1">
        <v>26.87</v>
      </c>
      <c r="AG343" s="1">
        <v>90.14</v>
      </c>
      <c r="AH343" s="1">
        <v>476.4</v>
      </c>
      <c r="AI343" s="1">
        <v>0.1391</v>
      </c>
      <c r="AJ343" s="1">
        <v>0.40820000000000001</v>
      </c>
      <c r="AK343" s="1">
        <v>0.47789999999999999</v>
      </c>
      <c r="AL343" s="1">
        <v>0.1555</v>
      </c>
      <c r="AM343" s="1">
        <v>0.254</v>
      </c>
      <c r="AN343" s="1">
        <v>9.5320000000000002E-2</v>
      </c>
    </row>
    <row r="344" spans="1:40" s="1" customFormat="1" ht="15" x14ac:dyDescent="0.25">
      <c r="A344" s="1">
        <v>909445</v>
      </c>
      <c r="B344" s="1" t="s">
        <v>36</v>
      </c>
      <c r="C344" s="1">
        <v>17.27</v>
      </c>
      <c r="D344" s="1">
        <v>25.42</v>
      </c>
      <c r="E344" s="2"/>
      <c r="F344" s="2"/>
      <c r="G344" s="2"/>
      <c r="H344" s="2"/>
      <c r="I344" s="2"/>
      <c r="J344" s="2"/>
      <c r="K344" s="2"/>
      <c r="L344" s="2"/>
      <c r="M344" s="1">
        <v>112.4</v>
      </c>
      <c r="N344" s="1">
        <v>928.8</v>
      </c>
      <c r="O344" s="1">
        <v>8.3309999999999995E-2</v>
      </c>
      <c r="P344" s="1">
        <v>0.1109</v>
      </c>
      <c r="Q344" s="1">
        <v>0.12039999999999999</v>
      </c>
      <c r="R344" s="1">
        <v>5.7360000000000001E-2</v>
      </c>
      <c r="S344" s="1">
        <v>0.1467</v>
      </c>
      <c r="T344" s="1">
        <v>5.407E-2</v>
      </c>
      <c r="U344" s="1">
        <v>0.51</v>
      </c>
      <c r="V344" s="1">
        <v>1.679</v>
      </c>
      <c r="W344" s="1">
        <v>3.2829999999999999</v>
      </c>
      <c r="X344" s="1">
        <v>58.38</v>
      </c>
      <c r="Y344" s="1">
        <v>8.1089999999999999E-3</v>
      </c>
      <c r="Z344" s="1">
        <v>4.308E-2</v>
      </c>
      <c r="AA344" s="1">
        <v>4.9419999999999999E-2</v>
      </c>
      <c r="AB344" s="1">
        <v>1.7420000000000001E-2</v>
      </c>
      <c r="AC344" s="1">
        <v>1.5939999999999999E-2</v>
      </c>
      <c r="AD344" s="1">
        <v>3.7390000000000001E-3</v>
      </c>
      <c r="AE344" s="1">
        <v>20.38</v>
      </c>
      <c r="AF344" s="1">
        <v>35.46</v>
      </c>
      <c r="AG344" s="1">
        <v>132.80000000000001</v>
      </c>
      <c r="AH344" s="1">
        <v>1284</v>
      </c>
      <c r="AI344" s="1">
        <v>0.14360000000000001</v>
      </c>
      <c r="AJ344" s="1">
        <v>0.41220000000000001</v>
      </c>
      <c r="AK344" s="1">
        <v>0.50360000000000005</v>
      </c>
      <c r="AL344" s="1">
        <v>0.1739</v>
      </c>
      <c r="AM344" s="1">
        <v>0.25</v>
      </c>
      <c r="AN344" s="1">
        <v>7.9439999999999997E-2</v>
      </c>
    </row>
    <row r="345" spans="1:40" s="1" customFormat="1" ht="15" x14ac:dyDescent="0.25">
      <c r="A345" s="1">
        <v>90944601</v>
      </c>
      <c r="B345" s="1" t="s">
        <v>37</v>
      </c>
      <c r="C345" s="1">
        <v>13.78</v>
      </c>
      <c r="D345" s="1">
        <v>15.79</v>
      </c>
      <c r="E345" s="2"/>
      <c r="F345" s="2"/>
      <c r="G345" s="2"/>
      <c r="H345" s="2"/>
      <c r="I345" s="2"/>
      <c r="J345" s="2"/>
      <c r="K345" s="2"/>
      <c r="L345" s="2"/>
      <c r="M345" s="1">
        <v>88.37</v>
      </c>
      <c r="N345" s="1">
        <v>585.9</v>
      </c>
      <c r="O345" s="1">
        <v>8.8169999999999998E-2</v>
      </c>
      <c r="P345" s="1">
        <v>6.7180000000000004E-2</v>
      </c>
      <c r="Q345" s="1">
        <v>1.055E-2</v>
      </c>
      <c r="R345" s="1">
        <v>9.9369999999999997E-3</v>
      </c>
      <c r="S345" s="1">
        <v>0.14050000000000001</v>
      </c>
      <c r="T345" s="1">
        <v>5.8479999999999997E-2</v>
      </c>
      <c r="U345" s="1">
        <v>0.35630000000000001</v>
      </c>
      <c r="V345" s="1">
        <v>0.48330000000000001</v>
      </c>
      <c r="W345" s="1">
        <v>2.2349999999999999</v>
      </c>
      <c r="X345" s="1">
        <v>29.34</v>
      </c>
      <c r="Y345" s="1">
        <v>6.4320000000000002E-3</v>
      </c>
      <c r="Z345" s="1">
        <v>1.1560000000000001E-2</v>
      </c>
      <c r="AA345" s="1">
        <v>7.7409999999999996E-3</v>
      </c>
      <c r="AB345" s="1">
        <v>5.6569999999999997E-3</v>
      </c>
      <c r="AC345" s="1">
        <v>1.227E-2</v>
      </c>
      <c r="AD345" s="1">
        <v>2.5639999999999999E-3</v>
      </c>
      <c r="AE345" s="1">
        <v>15.27</v>
      </c>
      <c r="AF345" s="1">
        <v>17.5</v>
      </c>
      <c r="AG345" s="1">
        <v>97.9</v>
      </c>
      <c r="AH345" s="1">
        <v>706.6</v>
      </c>
      <c r="AI345" s="1">
        <v>0.1072</v>
      </c>
      <c r="AJ345" s="1">
        <v>0.1071</v>
      </c>
      <c r="AK345" s="1">
        <v>3.517E-2</v>
      </c>
      <c r="AL345" s="1">
        <v>3.3119999999999997E-2</v>
      </c>
      <c r="AM345" s="1">
        <v>0.18590000000000001</v>
      </c>
      <c r="AN345" s="1">
        <v>6.8099999999999994E-2</v>
      </c>
    </row>
    <row r="346" spans="1:40" s="1" customFormat="1" ht="15" x14ac:dyDescent="0.25">
      <c r="A346" s="1">
        <v>909777</v>
      </c>
      <c r="B346" s="1" t="s">
        <v>37</v>
      </c>
      <c r="C346" s="1">
        <v>10.57</v>
      </c>
      <c r="D346" s="1">
        <v>18.32</v>
      </c>
      <c r="E346" s="2"/>
      <c r="F346" s="2"/>
      <c r="G346" s="2"/>
      <c r="H346" s="2"/>
      <c r="I346" s="2"/>
      <c r="J346" s="2"/>
      <c r="K346" s="2"/>
      <c r="L346" s="2"/>
      <c r="M346" s="1">
        <v>66.819999999999993</v>
      </c>
      <c r="N346" s="1">
        <v>340.9</v>
      </c>
      <c r="O346" s="1">
        <v>8.1420000000000006E-2</v>
      </c>
      <c r="P346" s="1">
        <v>4.462E-2</v>
      </c>
      <c r="Q346" s="1">
        <v>1.993E-2</v>
      </c>
      <c r="R346" s="1">
        <v>1.111E-2</v>
      </c>
      <c r="S346" s="1">
        <v>0.23719999999999999</v>
      </c>
      <c r="T346" s="1">
        <v>5.7680000000000002E-2</v>
      </c>
      <c r="U346" s="1">
        <v>0.18179999999999999</v>
      </c>
      <c r="V346" s="1">
        <v>2.5419999999999998</v>
      </c>
      <c r="W346" s="1">
        <v>1.2769999999999999</v>
      </c>
      <c r="X346" s="1">
        <v>13.12</v>
      </c>
      <c r="Y346" s="1">
        <v>1.072E-2</v>
      </c>
      <c r="Z346" s="1">
        <v>1.3310000000000001E-2</v>
      </c>
      <c r="AA346" s="1">
        <v>1.993E-2</v>
      </c>
      <c r="AB346" s="1">
        <v>1.111E-2</v>
      </c>
      <c r="AC346" s="1">
        <v>1.7170000000000001E-2</v>
      </c>
      <c r="AD346" s="1">
        <v>4.4920000000000003E-3</v>
      </c>
      <c r="AE346" s="1">
        <v>10.94</v>
      </c>
      <c r="AF346" s="1">
        <v>23.31</v>
      </c>
      <c r="AG346" s="1">
        <v>69.349999999999994</v>
      </c>
      <c r="AH346" s="1">
        <v>366.3</v>
      </c>
      <c r="AI346" s="1">
        <v>9.7939999999999999E-2</v>
      </c>
      <c r="AJ346" s="1">
        <v>6.5420000000000006E-2</v>
      </c>
      <c r="AK346" s="1">
        <v>3.986E-2</v>
      </c>
      <c r="AL346" s="1">
        <v>2.222E-2</v>
      </c>
      <c r="AM346" s="1">
        <v>0.26989999999999997</v>
      </c>
      <c r="AN346" s="1">
        <v>6.7360000000000003E-2</v>
      </c>
    </row>
    <row r="347" spans="1:40" s="1" customFormat="1" ht="15" x14ac:dyDescent="0.25">
      <c r="A347" s="1">
        <v>9110127</v>
      </c>
      <c r="B347" s="1" t="s">
        <v>36</v>
      </c>
      <c r="C347" s="1">
        <v>18.03</v>
      </c>
      <c r="D347" s="1">
        <v>16.850000000000001</v>
      </c>
      <c r="E347" s="2"/>
      <c r="F347" s="2"/>
      <c r="G347" s="2"/>
      <c r="H347" s="2"/>
      <c r="I347" s="2"/>
      <c r="J347" s="2"/>
      <c r="K347" s="2"/>
      <c r="L347" s="2"/>
      <c r="M347" s="1">
        <v>117.5</v>
      </c>
      <c r="N347" s="1">
        <v>990</v>
      </c>
      <c r="O347" s="1">
        <v>8.9469999999999994E-2</v>
      </c>
      <c r="P347" s="1">
        <v>0.1232</v>
      </c>
      <c r="Q347" s="1">
        <v>0.109</v>
      </c>
      <c r="R347" s="1">
        <v>6.2539999999999998E-2</v>
      </c>
      <c r="S347" s="1">
        <v>0.17199999999999999</v>
      </c>
      <c r="T347" s="1">
        <v>5.7799999999999997E-2</v>
      </c>
      <c r="U347" s="1">
        <v>0.29859999999999998</v>
      </c>
      <c r="V347" s="1">
        <v>0.59060000000000001</v>
      </c>
      <c r="W347" s="1">
        <v>1.921</v>
      </c>
      <c r="X347" s="1">
        <v>35.770000000000003</v>
      </c>
      <c r="Y347" s="1">
        <v>4.117E-3</v>
      </c>
      <c r="Z347" s="1">
        <v>1.5599999999999999E-2</v>
      </c>
      <c r="AA347" s="1">
        <v>2.9749999999999999E-2</v>
      </c>
      <c r="AB347" s="1">
        <v>9.7529999999999995E-3</v>
      </c>
      <c r="AC347" s="1">
        <v>1.295E-2</v>
      </c>
      <c r="AD347" s="1">
        <v>2.4359999999999998E-3</v>
      </c>
      <c r="AE347" s="1">
        <v>20.38</v>
      </c>
      <c r="AF347" s="1">
        <v>22.02</v>
      </c>
      <c r="AG347" s="1">
        <v>133.30000000000001</v>
      </c>
      <c r="AH347" s="1">
        <v>1292</v>
      </c>
      <c r="AI347" s="1">
        <v>0.1263</v>
      </c>
      <c r="AJ347" s="1">
        <v>0.2666</v>
      </c>
      <c r="AK347" s="1">
        <v>0.42899999999999999</v>
      </c>
      <c r="AL347" s="1">
        <v>0.1535</v>
      </c>
      <c r="AM347" s="1">
        <v>0.28420000000000001</v>
      </c>
      <c r="AN347" s="1">
        <v>8.2250000000000004E-2</v>
      </c>
    </row>
    <row r="348" spans="1:40" s="1" customFormat="1" ht="15" x14ac:dyDescent="0.25">
      <c r="A348" s="1">
        <v>9110720</v>
      </c>
      <c r="B348" s="1" t="s">
        <v>37</v>
      </c>
      <c r="C348" s="1">
        <v>11.99</v>
      </c>
      <c r="D348" s="1">
        <v>24.89</v>
      </c>
      <c r="E348" s="2"/>
      <c r="F348" s="2"/>
      <c r="G348" s="2"/>
      <c r="H348" s="2"/>
      <c r="I348" s="2"/>
      <c r="J348" s="2"/>
      <c r="K348" s="2"/>
      <c r="L348" s="2"/>
      <c r="M348" s="1">
        <v>77.61</v>
      </c>
      <c r="N348" s="1">
        <v>441.3</v>
      </c>
      <c r="O348" s="1">
        <v>0.10299999999999999</v>
      </c>
      <c r="P348" s="1">
        <v>9.2179999999999998E-2</v>
      </c>
      <c r="Q348" s="1">
        <v>5.441E-2</v>
      </c>
      <c r="R348" s="1">
        <v>4.274E-2</v>
      </c>
      <c r="S348" s="1">
        <v>0.182</v>
      </c>
      <c r="T348" s="1">
        <v>6.8500000000000005E-2</v>
      </c>
      <c r="U348" s="1">
        <v>0.26229999999999998</v>
      </c>
      <c r="V348" s="1">
        <v>1.204</v>
      </c>
      <c r="W348" s="1">
        <v>1.865</v>
      </c>
      <c r="X348" s="1">
        <v>19.39</v>
      </c>
      <c r="Y348" s="1">
        <v>8.3199999999999993E-3</v>
      </c>
      <c r="Z348" s="1">
        <v>2.0250000000000001E-2</v>
      </c>
      <c r="AA348" s="1">
        <v>2.334E-2</v>
      </c>
      <c r="AB348" s="1">
        <v>1.6650000000000002E-2</v>
      </c>
      <c r="AC348" s="1">
        <v>2.094E-2</v>
      </c>
      <c r="AD348" s="1">
        <v>3.6740000000000002E-3</v>
      </c>
      <c r="AE348" s="1">
        <v>12.98</v>
      </c>
      <c r="AF348" s="1">
        <v>30.36</v>
      </c>
      <c r="AG348" s="1">
        <v>84.48</v>
      </c>
      <c r="AH348" s="1">
        <v>513.9</v>
      </c>
      <c r="AI348" s="1">
        <v>0.13109999999999999</v>
      </c>
      <c r="AJ348" s="1">
        <v>0.1822</v>
      </c>
      <c r="AK348" s="1">
        <v>0.16089999999999999</v>
      </c>
      <c r="AL348" s="1">
        <v>0.1202</v>
      </c>
      <c r="AM348" s="1">
        <v>0.25990000000000002</v>
      </c>
      <c r="AN348" s="1">
        <v>8.251E-2</v>
      </c>
    </row>
    <row r="349" spans="1:40" s="1" customFormat="1" ht="15" x14ac:dyDescent="0.25">
      <c r="A349" s="1">
        <v>9110732</v>
      </c>
      <c r="B349" s="1" t="s">
        <v>36</v>
      </c>
      <c r="C349" s="1">
        <v>17.75</v>
      </c>
      <c r="D349" s="1">
        <v>28.03</v>
      </c>
      <c r="E349" s="2"/>
      <c r="F349" s="2"/>
      <c r="G349" s="2"/>
      <c r="H349" s="2"/>
      <c r="I349" s="2"/>
      <c r="J349" s="2"/>
      <c r="K349" s="2"/>
      <c r="L349" s="2"/>
      <c r="M349" s="1">
        <v>117.3</v>
      </c>
      <c r="N349" s="1">
        <v>981.6</v>
      </c>
      <c r="O349" s="1">
        <v>9.9970000000000003E-2</v>
      </c>
      <c r="P349" s="1">
        <v>0.13139999999999999</v>
      </c>
      <c r="Q349" s="1">
        <v>0.16980000000000001</v>
      </c>
      <c r="R349" s="1">
        <v>8.2930000000000004E-2</v>
      </c>
      <c r="S349" s="1">
        <v>0.17130000000000001</v>
      </c>
      <c r="T349" s="1">
        <v>5.9159999999999997E-2</v>
      </c>
      <c r="U349" s="1">
        <v>0.38969999999999999</v>
      </c>
      <c r="V349" s="1">
        <v>1.077</v>
      </c>
      <c r="W349" s="1">
        <v>2.8730000000000002</v>
      </c>
      <c r="X349" s="1">
        <v>43.95</v>
      </c>
      <c r="Y349" s="1">
        <v>4.7140000000000003E-3</v>
      </c>
      <c r="Z349" s="1">
        <v>2.0150000000000001E-2</v>
      </c>
      <c r="AA349" s="1">
        <v>3.6970000000000003E-2</v>
      </c>
      <c r="AB349" s="1">
        <v>1.11E-2</v>
      </c>
      <c r="AC349" s="1">
        <v>1.2370000000000001E-2</v>
      </c>
      <c r="AD349" s="1">
        <v>2.5560000000000001E-3</v>
      </c>
      <c r="AE349" s="1">
        <v>21.53</v>
      </c>
      <c r="AF349" s="1">
        <v>38.54</v>
      </c>
      <c r="AG349" s="1">
        <v>145.4</v>
      </c>
      <c r="AH349" s="1">
        <v>1437</v>
      </c>
      <c r="AI349" s="1">
        <v>0.1401</v>
      </c>
      <c r="AJ349" s="1">
        <v>0.37619999999999998</v>
      </c>
      <c r="AK349" s="1">
        <v>0.63990000000000002</v>
      </c>
      <c r="AL349" s="1">
        <v>0.19700000000000001</v>
      </c>
      <c r="AM349" s="1">
        <v>0.29720000000000002</v>
      </c>
      <c r="AN349" s="1">
        <v>9.0749999999999997E-2</v>
      </c>
    </row>
    <row r="350" spans="1:40" s="1" customFormat="1" ht="15" x14ac:dyDescent="0.25">
      <c r="A350" s="1">
        <v>9110944</v>
      </c>
      <c r="B350" s="1" t="s">
        <v>37</v>
      </c>
      <c r="C350" s="1">
        <v>14.8</v>
      </c>
      <c r="D350" s="1">
        <v>17.66</v>
      </c>
      <c r="E350" s="2"/>
      <c r="F350" s="2"/>
      <c r="G350" s="2"/>
      <c r="H350" s="2"/>
      <c r="I350" s="2"/>
      <c r="J350" s="2"/>
      <c r="K350" s="2"/>
      <c r="L350" s="2"/>
      <c r="M350" s="1">
        <v>95.88</v>
      </c>
      <c r="N350" s="1">
        <v>674.8</v>
      </c>
      <c r="O350" s="1">
        <v>9.1789999999999997E-2</v>
      </c>
      <c r="P350" s="1">
        <v>8.8900000000000007E-2</v>
      </c>
      <c r="Q350" s="1">
        <v>4.0689999999999997E-2</v>
      </c>
      <c r="R350" s="1">
        <v>2.2599999999999999E-2</v>
      </c>
      <c r="S350" s="1">
        <v>0.1893</v>
      </c>
      <c r="T350" s="1">
        <v>5.8860000000000003E-2</v>
      </c>
      <c r="U350" s="1">
        <v>0.22040000000000001</v>
      </c>
      <c r="V350" s="1">
        <v>0.62209999999999999</v>
      </c>
      <c r="W350" s="1">
        <v>1.482</v>
      </c>
      <c r="X350" s="1">
        <v>19.75</v>
      </c>
      <c r="Y350" s="1">
        <v>4.7959999999999999E-3</v>
      </c>
      <c r="Z350" s="1">
        <v>1.171E-2</v>
      </c>
      <c r="AA350" s="1">
        <v>1.7579999999999998E-2</v>
      </c>
      <c r="AB350" s="1">
        <v>6.8970000000000004E-3</v>
      </c>
      <c r="AC350" s="1">
        <v>2.2540000000000001E-2</v>
      </c>
      <c r="AD350" s="1">
        <v>1.9710000000000001E-3</v>
      </c>
      <c r="AE350" s="1">
        <v>16.43</v>
      </c>
      <c r="AF350" s="1">
        <v>22.74</v>
      </c>
      <c r="AG350" s="1">
        <v>105.9</v>
      </c>
      <c r="AH350" s="1">
        <v>829.5</v>
      </c>
      <c r="AI350" s="1">
        <v>0.1226</v>
      </c>
      <c r="AJ350" s="1">
        <v>0.18809999999999999</v>
      </c>
      <c r="AK350" s="1">
        <v>0.20599999999999999</v>
      </c>
      <c r="AL350" s="1">
        <v>8.3080000000000001E-2</v>
      </c>
      <c r="AM350" s="1">
        <v>0.36</v>
      </c>
      <c r="AN350" s="1">
        <v>7.2849999999999998E-2</v>
      </c>
    </row>
    <row r="351" spans="1:40" s="1" customFormat="1" ht="15" x14ac:dyDescent="0.25">
      <c r="A351" s="1">
        <v>911150</v>
      </c>
      <c r="B351" s="1" t="s">
        <v>37</v>
      </c>
      <c r="C351" s="1">
        <v>14.53</v>
      </c>
      <c r="D351" s="1">
        <v>19.34</v>
      </c>
      <c r="E351" s="2"/>
      <c r="F351" s="2"/>
      <c r="G351" s="2"/>
      <c r="H351" s="2"/>
      <c r="I351" s="2"/>
      <c r="J351" s="2"/>
      <c r="K351" s="2"/>
      <c r="L351" s="2"/>
      <c r="M351" s="1">
        <v>94.25</v>
      </c>
      <c r="N351" s="1">
        <v>659.7</v>
      </c>
      <c r="O351" s="1">
        <v>8.3879999999999996E-2</v>
      </c>
      <c r="P351" s="1">
        <v>7.8E-2</v>
      </c>
      <c r="Q351" s="1">
        <v>8.8169999999999998E-2</v>
      </c>
      <c r="R351" s="1">
        <v>2.9250000000000002E-2</v>
      </c>
      <c r="S351" s="1">
        <v>0.14729999999999999</v>
      </c>
      <c r="T351" s="1">
        <v>5.7459999999999997E-2</v>
      </c>
      <c r="U351" s="1">
        <v>0.2535</v>
      </c>
      <c r="V351" s="1">
        <v>1.3540000000000001</v>
      </c>
      <c r="W351" s="1">
        <v>1.994</v>
      </c>
      <c r="X351" s="1">
        <v>23.04</v>
      </c>
      <c r="Y351" s="1">
        <v>4.1469999999999996E-3</v>
      </c>
      <c r="Z351" s="1">
        <v>2.0480000000000002E-2</v>
      </c>
      <c r="AA351" s="1">
        <v>3.3790000000000001E-2</v>
      </c>
      <c r="AB351" s="1">
        <v>8.848E-3</v>
      </c>
      <c r="AC351" s="1">
        <v>1.3939999999999999E-2</v>
      </c>
      <c r="AD351" s="1">
        <v>2.3270000000000001E-3</v>
      </c>
      <c r="AE351" s="1">
        <v>16.3</v>
      </c>
      <c r="AF351" s="1">
        <v>28.39</v>
      </c>
      <c r="AG351" s="1">
        <v>108.1</v>
      </c>
      <c r="AH351" s="1">
        <v>830.5</v>
      </c>
      <c r="AI351" s="1">
        <v>0.1089</v>
      </c>
      <c r="AJ351" s="1">
        <v>0.26490000000000002</v>
      </c>
      <c r="AK351" s="1">
        <v>0.37790000000000001</v>
      </c>
      <c r="AL351" s="1">
        <v>9.5939999999999998E-2</v>
      </c>
      <c r="AM351" s="1">
        <v>0.24709999999999999</v>
      </c>
      <c r="AN351" s="1">
        <v>7.4630000000000002E-2</v>
      </c>
    </row>
    <row r="352" spans="1:40" s="1" customFormat="1" ht="15" x14ac:dyDescent="0.25">
      <c r="A352" s="1">
        <v>911157302</v>
      </c>
      <c r="B352" s="1" t="s">
        <v>36</v>
      </c>
      <c r="C352" s="1">
        <v>21.1</v>
      </c>
      <c r="D352" s="1">
        <v>20.52</v>
      </c>
      <c r="E352" s="2"/>
      <c r="F352" s="2"/>
      <c r="G352" s="2"/>
      <c r="H352" s="2"/>
      <c r="I352" s="2"/>
      <c r="J352" s="2"/>
      <c r="K352" s="2"/>
      <c r="L352" s="2"/>
      <c r="M352" s="1">
        <v>138.1</v>
      </c>
      <c r="N352" s="1">
        <v>1384</v>
      </c>
      <c r="O352" s="1">
        <v>9.6839999999999996E-2</v>
      </c>
      <c r="P352" s="1">
        <v>0.11749999999999999</v>
      </c>
      <c r="Q352" s="1">
        <v>0.15720000000000001</v>
      </c>
      <c r="R352" s="1">
        <v>0.11550000000000001</v>
      </c>
      <c r="S352" s="1">
        <v>0.15540000000000001</v>
      </c>
      <c r="T352" s="1">
        <v>5.6610000000000001E-2</v>
      </c>
      <c r="U352" s="1">
        <v>0.6643</v>
      </c>
      <c r="V352" s="1">
        <v>1.361</v>
      </c>
      <c r="W352" s="1">
        <v>4.5419999999999998</v>
      </c>
      <c r="X352" s="1">
        <v>81.89</v>
      </c>
      <c r="Y352" s="1">
        <v>5.4669999999999996E-3</v>
      </c>
      <c r="Z352" s="1">
        <v>2.0750000000000001E-2</v>
      </c>
      <c r="AA352" s="1">
        <v>3.1850000000000003E-2</v>
      </c>
      <c r="AB352" s="1">
        <v>1.4659999999999999E-2</v>
      </c>
      <c r="AC352" s="1">
        <v>1.0290000000000001E-2</v>
      </c>
      <c r="AD352" s="1">
        <v>2.2049999999999999E-3</v>
      </c>
      <c r="AE352" s="1">
        <v>25.68</v>
      </c>
      <c r="AF352" s="1">
        <v>32.07</v>
      </c>
      <c r="AG352" s="1">
        <v>168.2</v>
      </c>
      <c r="AH352" s="1">
        <v>2022</v>
      </c>
      <c r="AI352" s="1">
        <v>0.1368</v>
      </c>
      <c r="AJ352" s="1">
        <v>0.31009999999999999</v>
      </c>
      <c r="AK352" s="1">
        <v>0.43990000000000001</v>
      </c>
      <c r="AL352" s="1">
        <v>0.22800000000000001</v>
      </c>
      <c r="AM352" s="1">
        <v>0.2268</v>
      </c>
      <c r="AN352" s="1">
        <v>7.4249999999999997E-2</v>
      </c>
    </row>
    <row r="353" spans="1:40" s="1" customFormat="1" ht="15" x14ac:dyDescent="0.25">
      <c r="A353" s="1">
        <v>9111596</v>
      </c>
      <c r="B353" s="1" t="s">
        <v>37</v>
      </c>
      <c r="C353" s="1">
        <v>11.87</v>
      </c>
      <c r="D353" s="1">
        <v>21.54</v>
      </c>
      <c r="E353" s="2"/>
      <c r="F353" s="2"/>
      <c r="G353" s="2"/>
      <c r="H353" s="2"/>
      <c r="I353" s="2"/>
      <c r="J353" s="2"/>
      <c r="K353" s="2"/>
      <c r="L353" s="2"/>
      <c r="M353" s="1">
        <v>76.83</v>
      </c>
      <c r="N353" s="1">
        <v>432</v>
      </c>
      <c r="O353" s="1">
        <v>6.6129999999999994E-2</v>
      </c>
      <c r="P353" s="1">
        <v>0.10639999999999999</v>
      </c>
      <c r="Q353" s="1">
        <v>8.7770000000000001E-2</v>
      </c>
      <c r="R353" s="1">
        <v>2.3859999999999999E-2</v>
      </c>
      <c r="S353" s="1">
        <v>0.13489999999999999</v>
      </c>
      <c r="T353" s="1">
        <v>6.6119999999999998E-2</v>
      </c>
      <c r="U353" s="1">
        <v>0.25600000000000001</v>
      </c>
      <c r="V353" s="1">
        <v>1.554</v>
      </c>
      <c r="W353" s="1">
        <v>1.9550000000000001</v>
      </c>
      <c r="X353" s="1">
        <v>20.239999999999998</v>
      </c>
      <c r="Y353" s="1">
        <v>6.8539999999999998E-3</v>
      </c>
      <c r="Z353" s="1">
        <v>6.0630000000000003E-2</v>
      </c>
      <c r="AA353" s="1">
        <v>6.6629999999999995E-2</v>
      </c>
      <c r="AB353" s="1">
        <v>1.553E-2</v>
      </c>
      <c r="AC353" s="1">
        <v>2.3539999999999998E-2</v>
      </c>
      <c r="AD353" s="1">
        <v>8.9250000000000006E-3</v>
      </c>
      <c r="AE353" s="1">
        <v>12.79</v>
      </c>
      <c r="AF353" s="1">
        <v>28.18</v>
      </c>
      <c r="AG353" s="1">
        <v>83.51</v>
      </c>
      <c r="AH353" s="1">
        <v>507.2</v>
      </c>
      <c r="AI353" s="1">
        <v>9.4570000000000001E-2</v>
      </c>
      <c r="AJ353" s="1">
        <v>0.33989999999999998</v>
      </c>
      <c r="AK353" s="1">
        <v>0.32179999999999997</v>
      </c>
      <c r="AL353" s="1">
        <v>8.7499999999999994E-2</v>
      </c>
      <c r="AM353" s="1">
        <v>0.23050000000000001</v>
      </c>
      <c r="AN353" s="1">
        <v>9.9519999999999997E-2</v>
      </c>
    </row>
    <row r="354" spans="1:40" s="1" customFormat="1" ht="15" x14ac:dyDescent="0.25">
      <c r="A354" s="1">
        <v>9111805</v>
      </c>
      <c r="B354" s="1" t="s">
        <v>36</v>
      </c>
      <c r="C354" s="1">
        <v>19.59</v>
      </c>
      <c r="D354" s="1">
        <v>25</v>
      </c>
      <c r="E354" s="2"/>
      <c r="F354" s="2"/>
      <c r="G354" s="2"/>
      <c r="H354" s="2"/>
      <c r="I354" s="2"/>
      <c r="J354" s="2"/>
      <c r="K354" s="2"/>
      <c r="L354" s="2"/>
      <c r="M354" s="1">
        <v>127.7</v>
      </c>
      <c r="N354" s="1">
        <v>1191</v>
      </c>
      <c r="O354" s="1">
        <v>0.1032</v>
      </c>
      <c r="P354" s="1">
        <v>9.8710000000000006E-2</v>
      </c>
      <c r="Q354" s="1">
        <v>0.16550000000000001</v>
      </c>
      <c r="R354" s="1">
        <v>9.0630000000000002E-2</v>
      </c>
      <c r="S354" s="1">
        <v>0.1663</v>
      </c>
      <c r="T354" s="1">
        <v>5.391E-2</v>
      </c>
      <c r="U354" s="1">
        <v>0.46739999999999998</v>
      </c>
      <c r="V354" s="1">
        <v>1.375</v>
      </c>
      <c r="W354" s="1">
        <v>2.9159999999999999</v>
      </c>
      <c r="X354" s="1">
        <v>56.18</v>
      </c>
      <c r="Y354" s="1">
        <v>1.1900000000000001E-2</v>
      </c>
      <c r="Z354" s="1">
        <v>1.9290000000000002E-2</v>
      </c>
      <c r="AA354" s="1">
        <v>4.9070000000000003E-2</v>
      </c>
      <c r="AB354" s="1">
        <v>1.499E-2</v>
      </c>
      <c r="AC354" s="1">
        <v>1.6410000000000001E-2</v>
      </c>
      <c r="AD354" s="1">
        <v>1.807E-3</v>
      </c>
      <c r="AE354" s="1">
        <v>21.44</v>
      </c>
      <c r="AF354" s="1">
        <v>30.96</v>
      </c>
      <c r="AG354" s="1">
        <v>139.80000000000001</v>
      </c>
      <c r="AH354" s="1">
        <v>1421</v>
      </c>
      <c r="AI354" s="1">
        <v>0.15279999999999999</v>
      </c>
      <c r="AJ354" s="1">
        <v>0.1845</v>
      </c>
      <c r="AK354" s="1">
        <v>0.3977</v>
      </c>
      <c r="AL354" s="1">
        <v>0.14660000000000001</v>
      </c>
      <c r="AM354" s="1">
        <v>0.2293</v>
      </c>
      <c r="AN354" s="1">
        <v>6.0909999999999999E-2</v>
      </c>
    </row>
    <row r="355" spans="1:40" s="1" customFormat="1" ht="15" x14ac:dyDescent="0.25">
      <c r="A355" s="1">
        <v>9111843</v>
      </c>
      <c r="B355" s="1" t="s">
        <v>37</v>
      </c>
      <c r="C355" s="1">
        <v>12</v>
      </c>
      <c r="D355" s="1">
        <v>28.23</v>
      </c>
      <c r="E355" s="2"/>
      <c r="F355" s="2"/>
      <c r="G355" s="2"/>
      <c r="H355" s="2"/>
      <c r="I355" s="2"/>
      <c r="J355" s="2"/>
      <c r="K355" s="2"/>
      <c r="L355" s="2"/>
      <c r="M355" s="1">
        <v>76.77</v>
      </c>
      <c r="N355" s="1">
        <v>442.5</v>
      </c>
      <c r="O355" s="1">
        <v>8.4370000000000001E-2</v>
      </c>
      <c r="P355" s="1">
        <v>6.4500000000000002E-2</v>
      </c>
      <c r="Q355" s="1">
        <v>4.0550000000000003E-2</v>
      </c>
      <c r="R355" s="1">
        <v>1.9449999999999999E-2</v>
      </c>
      <c r="S355" s="1">
        <v>0.1615</v>
      </c>
      <c r="T355" s="1">
        <v>6.1039999999999997E-2</v>
      </c>
      <c r="U355" s="1">
        <v>0.19120000000000001</v>
      </c>
      <c r="V355" s="1">
        <v>1.7050000000000001</v>
      </c>
      <c r="W355" s="1">
        <v>1.516</v>
      </c>
      <c r="X355" s="1">
        <v>13.86</v>
      </c>
      <c r="Y355" s="1">
        <v>7.3340000000000002E-3</v>
      </c>
      <c r="Z355" s="1">
        <v>2.589E-2</v>
      </c>
      <c r="AA355" s="1">
        <v>2.9409999999999999E-2</v>
      </c>
      <c r="AB355" s="1">
        <v>9.1660000000000005E-3</v>
      </c>
      <c r="AC355" s="1">
        <v>1.745E-2</v>
      </c>
      <c r="AD355" s="1">
        <v>4.3020000000000003E-3</v>
      </c>
      <c r="AE355" s="1">
        <v>13.09</v>
      </c>
      <c r="AF355" s="1">
        <v>37.880000000000003</v>
      </c>
      <c r="AG355" s="1">
        <v>85.07</v>
      </c>
      <c r="AH355" s="1">
        <v>523.70000000000005</v>
      </c>
      <c r="AI355" s="1">
        <v>0.1208</v>
      </c>
      <c r="AJ355" s="1">
        <v>0.18559999999999999</v>
      </c>
      <c r="AK355" s="1">
        <v>0.18110000000000001</v>
      </c>
      <c r="AL355" s="1">
        <v>7.1160000000000001E-2</v>
      </c>
      <c r="AM355" s="1">
        <v>0.2447</v>
      </c>
      <c r="AN355" s="1">
        <v>8.1939999999999999E-2</v>
      </c>
    </row>
    <row r="356" spans="1:40" s="1" customFormat="1" ht="15" x14ac:dyDescent="0.25">
      <c r="A356" s="1">
        <v>911201</v>
      </c>
      <c r="B356" s="1" t="s">
        <v>37</v>
      </c>
      <c r="C356" s="1">
        <v>14.53</v>
      </c>
      <c r="D356" s="1">
        <v>13.98</v>
      </c>
      <c r="E356" s="2"/>
      <c r="F356" s="2"/>
      <c r="G356" s="2"/>
      <c r="H356" s="2"/>
      <c r="I356" s="2"/>
      <c r="J356" s="2"/>
      <c r="K356" s="2"/>
      <c r="L356" s="2"/>
      <c r="M356" s="1">
        <v>93.86</v>
      </c>
      <c r="N356" s="1">
        <v>644.20000000000005</v>
      </c>
      <c r="O356" s="1">
        <v>0.1099</v>
      </c>
      <c r="P356" s="1">
        <v>9.2420000000000002E-2</v>
      </c>
      <c r="Q356" s="1">
        <v>6.8949999999999997E-2</v>
      </c>
      <c r="R356" s="1">
        <v>6.4949999999999994E-2</v>
      </c>
      <c r="S356" s="1">
        <v>0.16500000000000001</v>
      </c>
      <c r="T356" s="1">
        <v>6.1210000000000001E-2</v>
      </c>
      <c r="U356" s="1">
        <v>0.30599999999999999</v>
      </c>
      <c r="V356" s="1">
        <v>0.72130000000000005</v>
      </c>
      <c r="W356" s="1">
        <v>2.1429999999999998</v>
      </c>
      <c r="X356" s="1">
        <v>25.7</v>
      </c>
      <c r="Y356" s="1">
        <v>6.1330000000000004E-3</v>
      </c>
      <c r="Z356" s="1">
        <v>1.251E-2</v>
      </c>
      <c r="AA356" s="1">
        <v>1.6150000000000001E-2</v>
      </c>
      <c r="AB356" s="1">
        <v>1.136E-2</v>
      </c>
      <c r="AC356" s="1">
        <v>2.2069999999999999E-2</v>
      </c>
      <c r="AD356" s="1">
        <v>3.5630000000000002E-3</v>
      </c>
      <c r="AE356" s="1">
        <v>15.8</v>
      </c>
      <c r="AF356" s="1">
        <v>16.93</v>
      </c>
      <c r="AG356" s="1">
        <v>103.1</v>
      </c>
      <c r="AH356" s="1">
        <v>749.9</v>
      </c>
      <c r="AI356" s="1">
        <v>0.13469999999999999</v>
      </c>
      <c r="AJ356" s="1">
        <v>0.14779999999999999</v>
      </c>
      <c r="AK356" s="1">
        <v>0.13730000000000001</v>
      </c>
      <c r="AL356" s="1">
        <v>0.1069</v>
      </c>
      <c r="AM356" s="1">
        <v>0.2606</v>
      </c>
      <c r="AN356" s="1">
        <v>7.8100000000000003E-2</v>
      </c>
    </row>
    <row r="357" spans="1:40" s="1" customFormat="1" ht="15" x14ac:dyDescent="0.25">
      <c r="A357" s="1">
        <v>911202</v>
      </c>
      <c r="B357" s="1" t="s">
        <v>37</v>
      </c>
      <c r="C357" s="1">
        <v>12.62</v>
      </c>
      <c r="D357" s="1">
        <v>17.149999999999999</v>
      </c>
      <c r="E357" s="2"/>
      <c r="F357" s="2"/>
      <c r="G357" s="2"/>
      <c r="H357" s="2"/>
      <c r="I357" s="2"/>
      <c r="J357" s="2"/>
      <c r="K357" s="2"/>
      <c r="L357" s="2"/>
      <c r="M357" s="1">
        <v>80.62</v>
      </c>
      <c r="N357" s="1">
        <v>492.9</v>
      </c>
      <c r="O357" s="1">
        <v>8.5830000000000004E-2</v>
      </c>
      <c r="P357" s="1">
        <v>5.4300000000000001E-2</v>
      </c>
      <c r="Q357" s="1">
        <v>2.9659999999999999E-2</v>
      </c>
      <c r="R357" s="1">
        <v>2.2720000000000001E-2</v>
      </c>
      <c r="S357" s="1">
        <v>0.1799</v>
      </c>
      <c r="T357" s="1">
        <v>5.8259999999999999E-2</v>
      </c>
      <c r="U357" s="1">
        <v>0.16919999999999999</v>
      </c>
      <c r="V357" s="1">
        <v>0.66739999999999999</v>
      </c>
      <c r="W357" s="1">
        <v>1.1160000000000001</v>
      </c>
      <c r="X357" s="1">
        <v>13.32</v>
      </c>
      <c r="Y357" s="1">
        <v>3.888E-3</v>
      </c>
      <c r="Z357" s="1">
        <v>8.5389999999999997E-3</v>
      </c>
      <c r="AA357" s="1">
        <v>1.256E-2</v>
      </c>
      <c r="AB357" s="1">
        <v>6.888E-3</v>
      </c>
      <c r="AC357" s="1">
        <v>1.6080000000000001E-2</v>
      </c>
      <c r="AD357" s="1">
        <v>1.6379999999999999E-3</v>
      </c>
      <c r="AE357" s="1">
        <v>14.34</v>
      </c>
      <c r="AF357" s="1">
        <v>22.15</v>
      </c>
      <c r="AG357" s="1">
        <v>91.62</v>
      </c>
      <c r="AH357" s="1">
        <v>633.5</v>
      </c>
      <c r="AI357" s="1">
        <v>0.1225</v>
      </c>
      <c r="AJ357" s="1">
        <v>0.1517</v>
      </c>
      <c r="AK357" s="1">
        <v>0.18870000000000001</v>
      </c>
      <c r="AL357" s="1">
        <v>9.851E-2</v>
      </c>
      <c r="AM357" s="1">
        <v>0.32700000000000001</v>
      </c>
      <c r="AN357" s="1">
        <v>7.3300000000000004E-2</v>
      </c>
    </row>
    <row r="358" spans="1:40" s="1" customFormat="1" ht="15" x14ac:dyDescent="0.25">
      <c r="A358" s="1">
        <v>9112085</v>
      </c>
      <c r="B358" s="1" t="s">
        <v>37</v>
      </c>
      <c r="C358" s="1">
        <v>13.38</v>
      </c>
      <c r="D358" s="1">
        <v>30.72</v>
      </c>
      <c r="E358" s="2"/>
      <c r="F358" s="2"/>
      <c r="G358" s="2"/>
      <c r="H358" s="2"/>
      <c r="I358" s="2"/>
      <c r="J358" s="2"/>
      <c r="K358" s="2"/>
      <c r="L358" s="2"/>
      <c r="M358" s="1">
        <v>86.34</v>
      </c>
      <c r="N358" s="1">
        <v>557.20000000000005</v>
      </c>
      <c r="O358" s="1">
        <v>9.2450000000000004E-2</v>
      </c>
      <c r="P358" s="1">
        <v>7.4260000000000007E-2</v>
      </c>
      <c r="Q358" s="1">
        <v>2.819E-2</v>
      </c>
      <c r="R358" s="1">
        <v>3.2640000000000002E-2</v>
      </c>
      <c r="S358" s="1">
        <v>0.13750000000000001</v>
      </c>
      <c r="T358" s="1">
        <v>6.0159999999999998E-2</v>
      </c>
      <c r="U358" s="1">
        <v>0.34079999999999999</v>
      </c>
      <c r="V358" s="1">
        <v>1.9239999999999999</v>
      </c>
      <c r="W358" s="1">
        <v>2.2869999999999999</v>
      </c>
      <c r="X358" s="1">
        <v>28.93</v>
      </c>
      <c r="Y358" s="1">
        <v>5.8409999999999998E-3</v>
      </c>
      <c r="Z358" s="1">
        <v>1.2460000000000001E-2</v>
      </c>
      <c r="AA358" s="1">
        <v>7.9360000000000003E-3</v>
      </c>
      <c r="AB358" s="1">
        <v>9.1280000000000007E-3</v>
      </c>
      <c r="AC358" s="1">
        <v>1.5640000000000001E-2</v>
      </c>
      <c r="AD358" s="1">
        <v>2.9849999999999998E-3</v>
      </c>
      <c r="AE358" s="1">
        <v>15.05</v>
      </c>
      <c r="AF358" s="1">
        <v>41.61</v>
      </c>
      <c r="AG358" s="1">
        <v>96.69</v>
      </c>
      <c r="AH358" s="1">
        <v>705.6</v>
      </c>
      <c r="AI358" s="1">
        <v>0.1172</v>
      </c>
      <c r="AJ358" s="1">
        <v>0.1421</v>
      </c>
      <c r="AK358" s="1">
        <v>7.0029999999999995E-2</v>
      </c>
      <c r="AL358" s="1">
        <v>7.7630000000000005E-2</v>
      </c>
      <c r="AM358" s="1">
        <v>0.21959999999999999</v>
      </c>
      <c r="AN358" s="1">
        <v>7.6749999999999999E-2</v>
      </c>
    </row>
    <row r="359" spans="1:40" s="1" customFormat="1" ht="15" x14ac:dyDescent="0.25">
      <c r="A359" s="1">
        <v>9112366</v>
      </c>
      <c r="B359" s="1" t="s">
        <v>37</v>
      </c>
      <c r="C359" s="1">
        <v>11.63</v>
      </c>
      <c r="D359" s="1">
        <v>29.29</v>
      </c>
      <c r="E359" s="2"/>
      <c r="F359" s="2"/>
      <c r="G359" s="2"/>
      <c r="H359" s="2"/>
      <c r="I359" s="2"/>
      <c r="J359" s="2"/>
      <c r="K359" s="2"/>
      <c r="L359" s="2"/>
      <c r="M359" s="1">
        <v>74.87</v>
      </c>
      <c r="N359" s="1">
        <v>415.1</v>
      </c>
      <c r="O359" s="1">
        <v>9.357E-2</v>
      </c>
      <c r="P359" s="1">
        <v>8.5739999999999997E-2</v>
      </c>
      <c r="Q359" s="1">
        <v>7.1599999999999997E-2</v>
      </c>
      <c r="R359" s="1">
        <v>2.017E-2</v>
      </c>
      <c r="S359" s="1">
        <v>0.1799</v>
      </c>
      <c r="T359" s="1">
        <v>6.166E-2</v>
      </c>
      <c r="U359" s="1">
        <v>0.3135</v>
      </c>
      <c r="V359" s="1">
        <v>2.4260000000000002</v>
      </c>
      <c r="W359" s="1">
        <v>2.15</v>
      </c>
      <c r="X359" s="1">
        <v>23.13</v>
      </c>
      <c r="Y359" s="1">
        <v>9.861E-3</v>
      </c>
      <c r="Z359" s="1">
        <v>2.418E-2</v>
      </c>
      <c r="AA359" s="1">
        <v>4.2750000000000003E-2</v>
      </c>
      <c r="AB359" s="1">
        <v>9.2149999999999992E-3</v>
      </c>
      <c r="AC359" s="1">
        <v>2.4750000000000001E-2</v>
      </c>
      <c r="AD359" s="1">
        <v>2.1280000000000001E-3</v>
      </c>
      <c r="AE359" s="1">
        <v>13.12</v>
      </c>
      <c r="AF359" s="1">
        <v>38.81</v>
      </c>
      <c r="AG359" s="1">
        <v>86.04</v>
      </c>
      <c r="AH359" s="1">
        <v>527.79999999999995</v>
      </c>
      <c r="AI359" s="1">
        <v>0.1406</v>
      </c>
      <c r="AJ359" s="1">
        <v>0.2031</v>
      </c>
      <c r="AK359" s="1">
        <v>0.2923</v>
      </c>
      <c r="AL359" s="1">
        <v>6.8349999999999994E-2</v>
      </c>
      <c r="AM359" s="1">
        <v>0.28839999999999999</v>
      </c>
      <c r="AN359" s="1">
        <v>7.22E-2</v>
      </c>
    </row>
    <row r="360" spans="1:40" s="1" customFormat="1" ht="15" x14ac:dyDescent="0.25">
      <c r="A360" s="1">
        <v>9112367</v>
      </c>
      <c r="B360" s="1" t="s">
        <v>37</v>
      </c>
      <c r="C360" s="1">
        <v>13.21</v>
      </c>
      <c r="D360" s="1">
        <v>25.25</v>
      </c>
      <c r="E360" s="2"/>
      <c r="F360" s="2"/>
      <c r="G360" s="2"/>
      <c r="H360" s="2"/>
      <c r="I360" s="2"/>
      <c r="J360" s="2"/>
      <c r="K360" s="2"/>
      <c r="L360" s="2"/>
      <c r="M360" s="1">
        <v>84.1</v>
      </c>
      <c r="N360" s="1">
        <v>537.9</v>
      </c>
      <c r="O360" s="1">
        <v>8.7910000000000002E-2</v>
      </c>
      <c r="P360" s="1">
        <v>5.2049999999999999E-2</v>
      </c>
      <c r="Q360" s="1">
        <v>2.7720000000000002E-2</v>
      </c>
      <c r="R360" s="1">
        <v>2.068E-2</v>
      </c>
      <c r="S360" s="1">
        <v>0.16189999999999999</v>
      </c>
      <c r="T360" s="1">
        <v>5.5840000000000001E-2</v>
      </c>
      <c r="U360" s="1">
        <v>0.2084</v>
      </c>
      <c r="V360" s="1">
        <v>1.35</v>
      </c>
      <c r="W360" s="1">
        <v>1.3140000000000001</v>
      </c>
      <c r="X360" s="1">
        <v>17.579999999999998</v>
      </c>
      <c r="Y360" s="1">
        <v>5.7679999999999997E-3</v>
      </c>
      <c r="Z360" s="1">
        <v>8.0820000000000006E-3</v>
      </c>
      <c r="AA360" s="1">
        <v>1.5100000000000001E-2</v>
      </c>
      <c r="AB360" s="1">
        <v>6.4510000000000001E-3</v>
      </c>
      <c r="AC360" s="1">
        <v>1.3469999999999999E-2</v>
      </c>
      <c r="AD360" s="1">
        <v>1.828E-3</v>
      </c>
      <c r="AE360" s="1">
        <v>14.35</v>
      </c>
      <c r="AF360" s="1">
        <v>34.229999999999997</v>
      </c>
      <c r="AG360" s="1">
        <v>91.29</v>
      </c>
      <c r="AH360" s="1">
        <v>632.9</v>
      </c>
      <c r="AI360" s="1">
        <v>0.12889999999999999</v>
      </c>
      <c r="AJ360" s="1">
        <v>0.10630000000000001</v>
      </c>
      <c r="AK360" s="1">
        <v>0.13900000000000001</v>
      </c>
      <c r="AL360" s="1">
        <v>6.0049999999999999E-2</v>
      </c>
      <c r="AM360" s="1">
        <v>0.24440000000000001</v>
      </c>
      <c r="AN360" s="1">
        <v>6.7879999999999996E-2</v>
      </c>
    </row>
    <row r="361" spans="1:40" s="1" customFormat="1" ht="15" x14ac:dyDescent="0.25">
      <c r="A361" s="1">
        <v>9112594</v>
      </c>
      <c r="B361" s="1" t="s">
        <v>37</v>
      </c>
      <c r="C361" s="1">
        <v>13</v>
      </c>
      <c r="D361" s="1">
        <v>25.13</v>
      </c>
      <c r="E361" s="2"/>
      <c r="F361" s="2"/>
      <c r="G361" s="2"/>
      <c r="H361" s="2"/>
      <c r="I361" s="2"/>
      <c r="J361" s="2"/>
      <c r="K361" s="2"/>
      <c r="L361" s="2"/>
      <c r="M361" s="1">
        <v>82.61</v>
      </c>
      <c r="N361" s="1">
        <v>520.20000000000005</v>
      </c>
      <c r="O361" s="1">
        <v>8.3690000000000001E-2</v>
      </c>
      <c r="P361" s="1">
        <v>5.0729999999999997E-2</v>
      </c>
      <c r="Q361" s="1">
        <v>1.206E-2</v>
      </c>
      <c r="R361" s="1">
        <v>1.762E-2</v>
      </c>
      <c r="S361" s="1">
        <v>0.16669999999999999</v>
      </c>
      <c r="T361" s="1">
        <v>5.4489999999999997E-2</v>
      </c>
      <c r="U361" s="1">
        <v>0.2621</v>
      </c>
      <c r="V361" s="1">
        <v>1.232</v>
      </c>
      <c r="W361" s="1">
        <v>1.657</v>
      </c>
      <c r="X361" s="1">
        <v>21.19</v>
      </c>
      <c r="Y361" s="1">
        <v>6.0540000000000004E-3</v>
      </c>
      <c r="Z361" s="1">
        <v>8.9739999999999993E-3</v>
      </c>
      <c r="AA361" s="1">
        <v>5.6810000000000003E-3</v>
      </c>
      <c r="AB361" s="1">
        <v>6.3359999999999996E-3</v>
      </c>
      <c r="AC361" s="1">
        <v>1.2149999999999999E-2</v>
      </c>
      <c r="AD361" s="1">
        <v>1.5139999999999999E-3</v>
      </c>
      <c r="AE361" s="1">
        <v>14.34</v>
      </c>
      <c r="AF361" s="1">
        <v>31.88</v>
      </c>
      <c r="AG361" s="1">
        <v>91.06</v>
      </c>
      <c r="AH361" s="1">
        <v>628.5</v>
      </c>
      <c r="AI361" s="1">
        <v>0.12180000000000001</v>
      </c>
      <c r="AJ361" s="1">
        <v>0.10929999999999999</v>
      </c>
      <c r="AK361" s="1">
        <v>4.462E-2</v>
      </c>
      <c r="AL361" s="1">
        <v>5.9209999999999999E-2</v>
      </c>
      <c r="AM361" s="1">
        <v>0.2306</v>
      </c>
      <c r="AN361" s="1">
        <v>6.2909999999999994E-2</v>
      </c>
    </row>
    <row r="362" spans="1:40" s="1" customFormat="1" ht="15" x14ac:dyDescent="0.25">
      <c r="A362" s="1">
        <v>9112712</v>
      </c>
      <c r="B362" s="1" t="s">
        <v>37</v>
      </c>
      <c r="C362" s="1">
        <v>9.7550000000000008</v>
      </c>
      <c r="D362" s="1">
        <v>28.2</v>
      </c>
      <c r="E362" s="2"/>
      <c r="F362" s="2"/>
      <c r="G362" s="2"/>
      <c r="H362" s="2"/>
      <c r="I362" s="2"/>
      <c r="J362" s="2"/>
      <c r="K362" s="2"/>
      <c r="L362" s="2"/>
      <c r="M362" s="1">
        <v>61.68</v>
      </c>
      <c r="N362" s="1">
        <v>290.89999999999998</v>
      </c>
      <c r="O362" s="1">
        <v>7.9839999999999994E-2</v>
      </c>
      <c r="P362" s="1">
        <v>4.6260000000000003E-2</v>
      </c>
      <c r="Q362" s="1">
        <v>1.541E-2</v>
      </c>
      <c r="R362" s="1">
        <v>1.043E-2</v>
      </c>
      <c r="S362" s="1">
        <v>0.16209999999999999</v>
      </c>
      <c r="T362" s="1">
        <v>5.9520000000000003E-2</v>
      </c>
      <c r="U362" s="1">
        <v>0.17810000000000001</v>
      </c>
      <c r="V362" s="1">
        <v>1.6870000000000001</v>
      </c>
      <c r="W362" s="1">
        <v>1.2430000000000001</v>
      </c>
      <c r="X362" s="1">
        <v>11.28</v>
      </c>
      <c r="Y362" s="1">
        <v>6.5880000000000001E-3</v>
      </c>
      <c r="Z362" s="1">
        <v>1.2699999999999999E-2</v>
      </c>
      <c r="AA362" s="1">
        <v>1.4500000000000001E-2</v>
      </c>
      <c r="AB362" s="1">
        <v>6.1040000000000001E-3</v>
      </c>
      <c r="AC362" s="1">
        <v>1.5740000000000001E-2</v>
      </c>
      <c r="AD362" s="1">
        <v>2.2680000000000001E-3</v>
      </c>
      <c r="AE362" s="1">
        <v>10.67</v>
      </c>
      <c r="AF362" s="1">
        <v>36.92</v>
      </c>
      <c r="AG362" s="1">
        <v>68.03</v>
      </c>
      <c r="AH362" s="1">
        <v>349.9</v>
      </c>
      <c r="AI362" s="1">
        <v>0.111</v>
      </c>
      <c r="AJ362" s="1">
        <v>0.1109</v>
      </c>
      <c r="AK362" s="1">
        <v>7.1900000000000006E-2</v>
      </c>
      <c r="AL362" s="1">
        <v>4.8660000000000002E-2</v>
      </c>
      <c r="AM362" s="1">
        <v>0.2321</v>
      </c>
      <c r="AN362" s="1">
        <v>7.2109999999999994E-2</v>
      </c>
    </row>
    <row r="363" spans="1:40" s="1" customFormat="1" ht="15" x14ac:dyDescent="0.25">
      <c r="A363" s="1">
        <v>911296201</v>
      </c>
      <c r="B363" s="1" t="s">
        <v>36</v>
      </c>
      <c r="C363" s="1">
        <v>17.079999999999998</v>
      </c>
      <c r="D363" s="1">
        <v>27.15</v>
      </c>
      <c r="E363" s="2"/>
      <c r="F363" s="2"/>
      <c r="G363" s="2"/>
      <c r="H363" s="2"/>
      <c r="I363" s="2"/>
      <c r="J363" s="2"/>
      <c r="K363" s="2"/>
      <c r="L363" s="2"/>
      <c r="M363" s="1">
        <v>111.2</v>
      </c>
      <c r="N363" s="1">
        <v>930.9</v>
      </c>
      <c r="O363" s="1">
        <v>9.8979999999999999E-2</v>
      </c>
      <c r="P363" s="1">
        <v>0.111</v>
      </c>
      <c r="Q363" s="1">
        <v>0.1007</v>
      </c>
      <c r="R363" s="1">
        <v>6.4310000000000006E-2</v>
      </c>
      <c r="S363" s="1">
        <v>0.17929999999999999</v>
      </c>
      <c r="T363" s="1">
        <v>6.2810000000000005E-2</v>
      </c>
      <c r="U363" s="1">
        <v>0.92910000000000004</v>
      </c>
      <c r="V363" s="1">
        <v>1.1519999999999999</v>
      </c>
      <c r="W363" s="1">
        <v>6.0510000000000002</v>
      </c>
      <c r="X363" s="1">
        <v>115.2</v>
      </c>
      <c r="Y363" s="1">
        <v>8.7399999999999995E-3</v>
      </c>
      <c r="Z363" s="1">
        <v>2.2190000000000001E-2</v>
      </c>
      <c r="AA363" s="1">
        <v>2.7210000000000002E-2</v>
      </c>
      <c r="AB363" s="1">
        <v>1.4579999999999999E-2</v>
      </c>
      <c r="AC363" s="1">
        <v>2.0449999999999999E-2</v>
      </c>
      <c r="AD363" s="1">
        <v>4.4169999999999999E-3</v>
      </c>
      <c r="AE363" s="1">
        <v>22.96</v>
      </c>
      <c r="AF363" s="1">
        <v>34.49</v>
      </c>
      <c r="AG363" s="1">
        <v>152.1</v>
      </c>
      <c r="AH363" s="1">
        <v>1648</v>
      </c>
      <c r="AI363" s="1">
        <v>0.16</v>
      </c>
      <c r="AJ363" s="1">
        <v>0.24440000000000001</v>
      </c>
      <c r="AK363" s="1">
        <v>0.26390000000000002</v>
      </c>
      <c r="AL363" s="1">
        <v>0.1555</v>
      </c>
      <c r="AM363" s="1">
        <v>0.30099999999999999</v>
      </c>
      <c r="AN363" s="1">
        <v>9.06E-2</v>
      </c>
    </row>
    <row r="364" spans="1:40" s="1" customFormat="1" ht="15" x14ac:dyDescent="0.25">
      <c r="A364" s="1">
        <v>911296202</v>
      </c>
      <c r="B364" s="1" t="s">
        <v>36</v>
      </c>
      <c r="C364" s="1">
        <v>27.42</v>
      </c>
      <c r="D364" s="1">
        <v>26.27</v>
      </c>
      <c r="E364" s="2"/>
      <c r="F364" s="2"/>
      <c r="G364" s="2"/>
      <c r="H364" s="2"/>
      <c r="I364" s="2"/>
      <c r="J364" s="2"/>
      <c r="K364" s="2"/>
      <c r="L364" s="2"/>
      <c r="M364" s="1">
        <v>186.9</v>
      </c>
      <c r="N364" s="1">
        <v>2501</v>
      </c>
      <c r="O364" s="1">
        <v>0.1084</v>
      </c>
      <c r="P364" s="1">
        <v>0.1988</v>
      </c>
      <c r="Q364" s="1">
        <v>0.36349999999999999</v>
      </c>
      <c r="R364" s="1">
        <v>0.16889999999999999</v>
      </c>
      <c r="S364" s="1">
        <v>0.20610000000000001</v>
      </c>
      <c r="T364" s="1">
        <v>5.6230000000000002E-2</v>
      </c>
      <c r="U364" s="1">
        <v>2.5470000000000002</v>
      </c>
      <c r="V364" s="1">
        <v>1.306</v>
      </c>
      <c r="W364" s="1">
        <v>18.649999999999999</v>
      </c>
      <c r="X364" s="1">
        <v>542.20000000000005</v>
      </c>
      <c r="Y364" s="1">
        <v>7.6499999999999997E-3</v>
      </c>
      <c r="Z364" s="1">
        <v>5.3740000000000003E-2</v>
      </c>
      <c r="AA364" s="1">
        <v>8.0549999999999997E-2</v>
      </c>
      <c r="AB364" s="1">
        <v>2.598E-2</v>
      </c>
      <c r="AC364" s="1">
        <v>1.6969999999999999E-2</v>
      </c>
      <c r="AD364" s="1">
        <v>4.5580000000000004E-3</v>
      </c>
      <c r="AE364" s="1">
        <v>36.04</v>
      </c>
      <c r="AF364" s="1">
        <v>31.37</v>
      </c>
      <c r="AG364" s="1">
        <v>251.2</v>
      </c>
      <c r="AH364" s="1">
        <v>4254</v>
      </c>
      <c r="AI364" s="1">
        <v>0.13569999999999999</v>
      </c>
      <c r="AJ364" s="1">
        <v>0.42559999999999998</v>
      </c>
      <c r="AK364" s="1">
        <v>0.68330000000000002</v>
      </c>
      <c r="AL364" s="1">
        <v>0.26250000000000001</v>
      </c>
      <c r="AM364" s="1">
        <v>0.2641</v>
      </c>
      <c r="AN364" s="1">
        <v>7.4270000000000003E-2</v>
      </c>
    </row>
    <row r="365" spans="1:40" s="1" customFormat="1" ht="15" x14ac:dyDescent="0.25">
      <c r="A365" s="1">
        <v>9113156</v>
      </c>
      <c r="B365" s="1" t="s">
        <v>37</v>
      </c>
      <c r="C365" s="1">
        <v>14.4</v>
      </c>
      <c r="D365" s="1">
        <v>26.99</v>
      </c>
      <c r="E365" s="2"/>
      <c r="F365" s="2"/>
      <c r="G365" s="2"/>
      <c r="H365" s="2"/>
      <c r="I365" s="2"/>
      <c r="J365" s="2"/>
      <c r="K365" s="2"/>
      <c r="L365" s="2"/>
      <c r="M365" s="1">
        <v>92.25</v>
      </c>
      <c r="N365" s="1">
        <v>646.1</v>
      </c>
      <c r="O365" s="1">
        <v>6.9949999999999998E-2</v>
      </c>
      <c r="P365" s="1">
        <v>5.2229999999999999E-2</v>
      </c>
      <c r="Q365" s="1">
        <v>3.4759999999999999E-2</v>
      </c>
      <c r="R365" s="1">
        <v>1.737E-2</v>
      </c>
      <c r="S365" s="1">
        <v>0.17069999999999999</v>
      </c>
      <c r="T365" s="1">
        <v>5.4330000000000003E-2</v>
      </c>
      <c r="U365" s="1">
        <v>0.23150000000000001</v>
      </c>
      <c r="V365" s="1">
        <v>0.91120000000000001</v>
      </c>
      <c r="W365" s="1">
        <v>1.7270000000000001</v>
      </c>
      <c r="X365" s="1">
        <v>20.52</v>
      </c>
      <c r="Y365" s="1">
        <v>5.3559999999999997E-3</v>
      </c>
      <c r="Z365" s="1">
        <v>1.6789999999999999E-2</v>
      </c>
      <c r="AA365" s="1">
        <v>1.9709999999999998E-2</v>
      </c>
      <c r="AB365" s="1">
        <v>6.3699999999999998E-3</v>
      </c>
      <c r="AC365" s="1">
        <v>1.414E-2</v>
      </c>
      <c r="AD365" s="1">
        <v>1.892E-3</v>
      </c>
      <c r="AE365" s="1">
        <v>15.4</v>
      </c>
      <c r="AF365" s="1">
        <v>31.98</v>
      </c>
      <c r="AG365" s="1">
        <v>100.4</v>
      </c>
      <c r="AH365" s="1">
        <v>734.6</v>
      </c>
      <c r="AI365" s="1">
        <v>0.1017</v>
      </c>
      <c r="AJ365" s="1">
        <v>0.14599999999999999</v>
      </c>
      <c r="AK365" s="1">
        <v>0.1472</v>
      </c>
      <c r="AL365" s="1">
        <v>5.5629999999999999E-2</v>
      </c>
      <c r="AM365" s="1">
        <v>0.23449999999999999</v>
      </c>
      <c r="AN365" s="1">
        <v>6.4640000000000003E-2</v>
      </c>
    </row>
    <row r="366" spans="1:40" s="1" customFormat="1" ht="15" x14ac:dyDescent="0.25">
      <c r="A366" s="1">
        <v>911320501</v>
      </c>
      <c r="B366" s="1" t="s">
        <v>37</v>
      </c>
      <c r="C366" s="1">
        <v>11.6</v>
      </c>
      <c r="D366" s="1">
        <v>18.36</v>
      </c>
      <c r="E366" s="2"/>
      <c r="F366" s="2"/>
      <c r="G366" s="2"/>
      <c r="H366" s="2"/>
      <c r="I366" s="2"/>
      <c r="J366" s="2"/>
      <c r="K366" s="2"/>
      <c r="L366" s="2"/>
      <c r="M366" s="1">
        <v>73.88</v>
      </c>
      <c r="N366" s="1">
        <v>412.7</v>
      </c>
      <c r="O366" s="1">
        <v>8.5080000000000003E-2</v>
      </c>
      <c r="P366" s="1">
        <v>5.8549999999999998E-2</v>
      </c>
      <c r="Q366" s="1">
        <v>3.3669999999999999E-2</v>
      </c>
      <c r="R366" s="1">
        <v>1.7770000000000001E-2</v>
      </c>
      <c r="S366" s="1">
        <v>0.15160000000000001</v>
      </c>
      <c r="T366" s="1">
        <v>5.8590000000000003E-2</v>
      </c>
      <c r="U366" s="1">
        <v>0.18160000000000001</v>
      </c>
      <c r="V366" s="1">
        <v>0.76559999999999995</v>
      </c>
      <c r="W366" s="1">
        <v>1.3029999999999999</v>
      </c>
      <c r="X366" s="1">
        <v>12.89</v>
      </c>
      <c r="Y366" s="1">
        <v>6.7089999999999997E-3</v>
      </c>
      <c r="Z366" s="1">
        <v>1.7010000000000001E-2</v>
      </c>
      <c r="AA366" s="1">
        <v>2.0799999999999999E-2</v>
      </c>
      <c r="AB366" s="1">
        <v>7.4970000000000002E-3</v>
      </c>
      <c r="AC366" s="1">
        <v>2.1239999999999998E-2</v>
      </c>
      <c r="AD366" s="1">
        <v>2.7680000000000001E-3</v>
      </c>
      <c r="AE366" s="1">
        <v>12.77</v>
      </c>
      <c r="AF366" s="1">
        <v>24.02</v>
      </c>
      <c r="AG366" s="1">
        <v>82.68</v>
      </c>
      <c r="AH366" s="1">
        <v>495.1</v>
      </c>
      <c r="AI366" s="1">
        <v>0.13420000000000001</v>
      </c>
      <c r="AJ366" s="1">
        <v>0.18079999999999999</v>
      </c>
      <c r="AK366" s="1">
        <v>0.186</v>
      </c>
      <c r="AL366" s="1">
        <v>8.2879999999999995E-2</v>
      </c>
      <c r="AM366" s="1">
        <v>0.32100000000000001</v>
      </c>
      <c r="AN366" s="1">
        <v>7.8630000000000005E-2</v>
      </c>
    </row>
    <row r="367" spans="1:40" s="1" customFormat="1" ht="15" x14ac:dyDescent="0.25">
      <c r="A367" s="1">
        <v>911320502</v>
      </c>
      <c r="B367" s="1" t="s">
        <v>37</v>
      </c>
      <c r="C367" s="1">
        <v>13.17</v>
      </c>
      <c r="D367" s="1">
        <v>18.22</v>
      </c>
      <c r="E367" s="2"/>
      <c r="F367" s="2"/>
      <c r="G367" s="2"/>
      <c r="H367" s="2"/>
      <c r="I367" s="2"/>
      <c r="J367" s="2"/>
      <c r="K367" s="2"/>
      <c r="L367" s="2"/>
      <c r="M367" s="1">
        <v>84.28</v>
      </c>
      <c r="N367" s="1">
        <v>537.29999999999995</v>
      </c>
      <c r="O367" s="1">
        <v>7.4660000000000004E-2</v>
      </c>
      <c r="P367" s="1">
        <v>5.994E-2</v>
      </c>
      <c r="Q367" s="1">
        <v>4.8590000000000001E-2</v>
      </c>
      <c r="R367" s="1">
        <v>2.87E-2</v>
      </c>
      <c r="S367" s="1">
        <v>0.1454</v>
      </c>
      <c r="T367" s="1">
        <v>5.5489999999999998E-2</v>
      </c>
      <c r="U367" s="1">
        <v>0.20230000000000001</v>
      </c>
      <c r="V367" s="1">
        <v>0.68500000000000005</v>
      </c>
      <c r="W367" s="1">
        <v>1.236</v>
      </c>
      <c r="X367" s="1">
        <v>16.89</v>
      </c>
      <c r="Y367" s="1">
        <v>5.9690000000000003E-3</v>
      </c>
      <c r="Z367" s="1">
        <v>1.4930000000000001E-2</v>
      </c>
      <c r="AA367" s="1">
        <v>1.5640000000000001E-2</v>
      </c>
      <c r="AB367" s="1">
        <v>8.463E-3</v>
      </c>
      <c r="AC367" s="1">
        <v>1.093E-2</v>
      </c>
      <c r="AD367" s="1">
        <v>1.6720000000000001E-3</v>
      </c>
      <c r="AE367" s="1">
        <v>14.9</v>
      </c>
      <c r="AF367" s="1">
        <v>23.89</v>
      </c>
      <c r="AG367" s="1">
        <v>95.1</v>
      </c>
      <c r="AH367" s="1">
        <v>687.6</v>
      </c>
      <c r="AI367" s="1">
        <v>0.12820000000000001</v>
      </c>
      <c r="AJ367" s="1">
        <v>0.19650000000000001</v>
      </c>
      <c r="AK367" s="1">
        <v>0.18759999999999999</v>
      </c>
      <c r="AL367" s="1">
        <v>0.1045</v>
      </c>
      <c r="AM367" s="1">
        <v>0.2235</v>
      </c>
      <c r="AN367" s="1">
        <v>6.9250000000000006E-2</v>
      </c>
    </row>
    <row r="368" spans="1:40" s="1" customFormat="1" ht="15" x14ac:dyDescent="0.25">
      <c r="A368" s="1">
        <v>9113239</v>
      </c>
      <c r="B368" s="1" t="s">
        <v>37</v>
      </c>
      <c r="C368" s="1">
        <v>13.24</v>
      </c>
      <c r="D368" s="1">
        <v>20.13</v>
      </c>
      <c r="E368" s="2"/>
      <c r="F368" s="2"/>
      <c r="G368" s="2"/>
      <c r="H368" s="2"/>
      <c r="I368" s="2"/>
      <c r="J368" s="2"/>
      <c r="K368" s="2"/>
      <c r="L368" s="2"/>
      <c r="M368" s="1">
        <v>86.87</v>
      </c>
      <c r="N368" s="1">
        <v>542.9</v>
      </c>
      <c r="O368" s="1">
        <v>8.2839999999999997E-2</v>
      </c>
      <c r="P368" s="1">
        <v>0.12230000000000001</v>
      </c>
      <c r="Q368" s="1">
        <v>0.10100000000000001</v>
      </c>
      <c r="R368" s="1">
        <v>2.8330000000000001E-2</v>
      </c>
      <c r="S368" s="1">
        <v>0.16009999999999999</v>
      </c>
      <c r="T368" s="1">
        <v>6.4320000000000002E-2</v>
      </c>
      <c r="U368" s="1">
        <v>0.28100000000000003</v>
      </c>
      <c r="V368" s="1">
        <v>0.8135</v>
      </c>
      <c r="W368" s="1">
        <v>3.3690000000000002</v>
      </c>
      <c r="X368" s="1">
        <v>23.81</v>
      </c>
      <c r="Y368" s="1">
        <v>4.9290000000000002E-3</v>
      </c>
      <c r="Z368" s="1">
        <v>6.6570000000000004E-2</v>
      </c>
      <c r="AA368" s="1">
        <v>7.6829999999999996E-2</v>
      </c>
      <c r="AB368" s="1">
        <v>1.3679999999999999E-2</v>
      </c>
      <c r="AC368" s="1">
        <v>1.5259999999999999E-2</v>
      </c>
      <c r="AD368" s="1">
        <v>8.1329999999999996E-3</v>
      </c>
      <c r="AE368" s="1">
        <v>15.44</v>
      </c>
      <c r="AF368" s="1">
        <v>25.5</v>
      </c>
      <c r="AG368" s="1">
        <v>115</v>
      </c>
      <c r="AH368" s="1">
        <v>733.5</v>
      </c>
      <c r="AI368" s="1">
        <v>0.1201</v>
      </c>
      <c r="AJ368" s="1">
        <v>0.56459999999999999</v>
      </c>
      <c r="AK368" s="1">
        <v>0.65559999999999996</v>
      </c>
      <c r="AL368" s="1">
        <v>0.13569999999999999</v>
      </c>
      <c r="AM368" s="1">
        <v>0.28449999999999998</v>
      </c>
      <c r="AN368" s="1">
        <v>0.1249</v>
      </c>
    </row>
    <row r="369" spans="1:40" s="1" customFormat="1" ht="15" x14ac:dyDescent="0.25">
      <c r="A369" s="1">
        <v>9113455</v>
      </c>
      <c r="B369" s="1" t="s">
        <v>37</v>
      </c>
      <c r="C369" s="1">
        <v>13.14</v>
      </c>
      <c r="D369" s="1">
        <v>20.74</v>
      </c>
      <c r="E369" s="2"/>
      <c r="F369" s="2"/>
      <c r="G369" s="2"/>
      <c r="H369" s="2"/>
      <c r="I369" s="2"/>
      <c r="J369" s="2"/>
      <c r="K369" s="2"/>
      <c r="L369" s="2"/>
      <c r="M369" s="1">
        <v>85.98</v>
      </c>
      <c r="N369" s="1">
        <v>536.9</v>
      </c>
      <c r="O369" s="1">
        <v>8.6749999999999994E-2</v>
      </c>
      <c r="P369" s="1">
        <v>0.1089</v>
      </c>
      <c r="Q369" s="1">
        <v>0.1085</v>
      </c>
      <c r="R369" s="1">
        <v>3.5099999999999999E-2</v>
      </c>
      <c r="S369" s="1">
        <v>0.15620000000000001</v>
      </c>
      <c r="T369" s="1">
        <v>6.0199999999999997E-2</v>
      </c>
      <c r="U369" s="1">
        <v>0.31519999999999998</v>
      </c>
      <c r="V369" s="1">
        <v>0.78839999999999999</v>
      </c>
      <c r="W369" s="1">
        <v>2.3119999999999998</v>
      </c>
      <c r="X369" s="1">
        <v>27.4</v>
      </c>
      <c r="Y369" s="1">
        <v>7.2950000000000003E-3</v>
      </c>
      <c r="Z369" s="1">
        <v>3.1789999999999999E-2</v>
      </c>
      <c r="AA369" s="1">
        <v>4.6149999999999997E-2</v>
      </c>
      <c r="AB369" s="1">
        <v>1.2540000000000001E-2</v>
      </c>
      <c r="AC369" s="1">
        <v>1.5610000000000001E-2</v>
      </c>
      <c r="AD369" s="1">
        <v>3.2299999999999998E-3</v>
      </c>
      <c r="AE369" s="1">
        <v>14.8</v>
      </c>
      <c r="AF369" s="1">
        <v>25.46</v>
      </c>
      <c r="AG369" s="1">
        <v>100.9</v>
      </c>
      <c r="AH369" s="1">
        <v>689.1</v>
      </c>
      <c r="AI369" s="1">
        <v>0.1351</v>
      </c>
      <c r="AJ369" s="1">
        <v>0.35489999999999999</v>
      </c>
      <c r="AK369" s="1">
        <v>0.45040000000000002</v>
      </c>
      <c r="AL369" s="1">
        <v>0.1181</v>
      </c>
      <c r="AM369" s="1">
        <v>0.25629999999999997</v>
      </c>
      <c r="AN369" s="1">
        <v>8.1739999999999993E-2</v>
      </c>
    </row>
    <row r="370" spans="1:40" s="1" customFormat="1" ht="15" x14ac:dyDescent="0.25">
      <c r="A370" s="1">
        <v>9113514</v>
      </c>
      <c r="B370" s="1" t="s">
        <v>37</v>
      </c>
      <c r="C370" s="1">
        <v>9.6679999999999993</v>
      </c>
      <c r="D370" s="1">
        <v>18.100000000000001</v>
      </c>
      <c r="E370" s="2"/>
      <c r="F370" s="2"/>
      <c r="G370" s="2"/>
      <c r="H370" s="2"/>
      <c r="I370" s="2"/>
      <c r="J370" s="2"/>
      <c r="K370" s="2"/>
      <c r="L370" s="2"/>
      <c r="M370" s="1">
        <v>61.06</v>
      </c>
      <c r="N370" s="1">
        <v>286.3</v>
      </c>
      <c r="O370" s="1">
        <v>8.3110000000000003E-2</v>
      </c>
      <c r="P370" s="1">
        <v>5.4280000000000002E-2</v>
      </c>
      <c r="Q370" s="1">
        <v>1.4789999999999999E-2</v>
      </c>
      <c r="R370" s="1">
        <v>5.7689999999999998E-3</v>
      </c>
      <c r="S370" s="1">
        <v>0.16800000000000001</v>
      </c>
      <c r="T370" s="1">
        <v>6.4119999999999996E-2</v>
      </c>
      <c r="U370" s="1">
        <v>0.34160000000000001</v>
      </c>
      <c r="V370" s="1">
        <v>1.3120000000000001</v>
      </c>
      <c r="W370" s="1">
        <v>2.2749999999999999</v>
      </c>
      <c r="X370" s="1">
        <v>20.98</v>
      </c>
      <c r="Y370" s="1">
        <v>1.098E-2</v>
      </c>
      <c r="Z370" s="1">
        <v>1.257E-2</v>
      </c>
      <c r="AA370" s="1">
        <v>1.031E-2</v>
      </c>
      <c r="AB370" s="1">
        <v>3.934E-3</v>
      </c>
      <c r="AC370" s="1">
        <v>2.6929999999999999E-2</v>
      </c>
      <c r="AD370" s="1">
        <v>2.9789999999999999E-3</v>
      </c>
      <c r="AE370" s="1">
        <v>11.15</v>
      </c>
      <c r="AF370" s="1">
        <v>24.62</v>
      </c>
      <c r="AG370" s="1">
        <v>71.11</v>
      </c>
      <c r="AH370" s="1">
        <v>380.2</v>
      </c>
      <c r="AI370" s="1">
        <v>0.13880000000000001</v>
      </c>
      <c r="AJ370" s="1">
        <v>0.1255</v>
      </c>
      <c r="AK370" s="1">
        <v>6.4089999999999994E-2</v>
      </c>
      <c r="AL370" s="1">
        <v>2.5000000000000001E-2</v>
      </c>
      <c r="AM370" s="1">
        <v>0.30570000000000003</v>
      </c>
      <c r="AN370" s="1">
        <v>7.8750000000000001E-2</v>
      </c>
    </row>
    <row r="371" spans="1:40" s="1" customFormat="1" ht="15" x14ac:dyDescent="0.25">
      <c r="A371" s="1">
        <v>9113538</v>
      </c>
      <c r="B371" s="1" t="s">
        <v>36</v>
      </c>
      <c r="C371" s="1">
        <v>17.600000000000001</v>
      </c>
      <c r="D371" s="1">
        <v>23.33</v>
      </c>
      <c r="E371" s="2"/>
      <c r="F371" s="2"/>
      <c r="G371" s="2"/>
      <c r="H371" s="2"/>
      <c r="I371" s="2"/>
      <c r="J371" s="2"/>
      <c r="K371" s="2"/>
      <c r="L371" s="2"/>
      <c r="M371" s="1">
        <v>119</v>
      </c>
      <c r="N371" s="1">
        <v>980.5</v>
      </c>
      <c r="O371" s="1">
        <v>9.289E-2</v>
      </c>
      <c r="P371" s="1">
        <v>0.20039999999999999</v>
      </c>
      <c r="Q371" s="1">
        <v>0.21360000000000001</v>
      </c>
      <c r="R371" s="1">
        <v>0.1002</v>
      </c>
      <c r="S371" s="1">
        <v>0.1696</v>
      </c>
      <c r="T371" s="1">
        <v>7.3690000000000005E-2</v>
      </c>
      <c r="U371" s="1">
        <v>0.92889999999999995</v>
      </c>
      <c r="V371" s="1">
        <v>1.4650000000000001</v>
      </c>
      <c r="W371" s="1">
        <v>5.8010000000000002</v>
      </c>
      <c r="X371" s="1">
        <v>104.9</v>
      </c>
      <c r="Y371" s="1">
        <v>6.7660000000000003E-3</v>
      </c>
      <c r="Z371" s="1">
        <v>7.0250000000000007E-2</v>
      </c>
      <c r="AA371" s="1">
        <v>6.5909999999999996E-2</v>
      </c>
      <c r="AB371" s="1">
        <v>2.3109999999999999E-2</v>
      </c>
      <c r="AC371" s="1">
        <v>1.6729999999999998E-2</v>
      </c>
      <c r="AD371" s="1">
        <v>1.1299999999999999E-2</v>
      </c>
      <c r="AE371" s="1">
        <v>21.57</v>
      </c>
      <c r="AF371" s="1">
        <v>28.87</v>
      </c>
      <c r="AG371" s="1">
        <v>143.6</v>
      </c>
      <c r="AH371" s="1">
        <v>1437</v>
      </c>
      <c r="AI371" s="1">
        <v>0.1207</v>
      </c>
      <c r="AJ371" s="1">
        <v>0.47849999999999998</v>
      </c>
      <c r="AK371" s="1">
        <v>0.51649999999999996</v>
      </c>
      <c r="AL371" s="1">
        <v>0.1996</v>
      </c>
      <c r="AM371" s="1">
        <v>0.2301</v>
      </c>
      <c r="AN371" s="1">
        <v>0.12239999999999999</v>
      </c>
    </row>
    <row r="372" spans="1:40" s="1" customFormat="1" ht="15" x14ac:dyDescent="0.25">
      <c r="A372" s="1">
        <v>911366</v>
      </c>
      <c r="B372" s="1" t="s">
        <v>37</v>
      </c>
      <c r="C372" s="1">
        <v>11.62</v>
      </c>
      <c r="D372" s="1">
        <v>18.18</v>
      </c>
      <c r="E372" s="2"/>
      <c r="F372" s="2"/>
      <c r="G372" s="2"/>
      <c r="H372" s="2"/>
      <c r="I372" s="2"/>
      <c r="J372" s="2"/>
      <c r="K372" s="2"/>
      <c r="L372" s="2"/>
      <c r="M372" s="1">
        <v>76.38</v>
      </c>
      <c r="N372" s="1">
        <v>408.8</v>
      </c>
      <c r="O372" s="1">
        <v>0.11749999999999999</v>
      </c>
      <c r="P372" s="1">
        <v>0.14829999999999999</v>
      </c>
      <c r="Q372" s="1">
        <v>0.10199999999999999</v>
      </c>
      <c r="R372" s="1">
        <v>5.5640000000000002E-2</v>
      </c>
      <c r="S372" s="1">
        <v>0.19570000000000001</v>
      </c>
      <c r="T372" s="1">
        <v>7.2550000000000003E-2</v>
      </c>
      <c r="U372" s="1">
        <v>0.41010000000000002</v>
      </c>
      <c r="V372" s="1">
        <v>1.74</v>
      </c>
      <c r="W372" s="1">
        <v>3.0270000000000001</v>
      </c>
      <c r="X372" s="1">
        <v>27.85</v>
      </c>
      <c r="Y372" s="1">
        <v>1.4590000000000001E-2</v>
      </c>
      <c r="Z372" s="1">
        <v>3.2059999999999998E-2</v>
      </c>
      <c r="AA372" s="1">
        <v>4.9610000000000001E-2</v>
      </c>
      <c r="AB372" s="1">
        <v>1.8409999999999999E-2</v>
      </c>
      <c r="AC372" s="1">
        <v>1.8069999999999999E-2</v>
      </c>
      <c r="AD372" s="1">
        <v>5.2170000000000003E-3</v>
      </c>
      <c r="AE372" s="1">
        <v>13.36</v>
      </c>
      <c r="AF372" s="1">
        <v>25.4</v>
      </c>
      <c r="AG372" s="1">
        <v>88.14</v>
      </c>
      <c r="AH372" s="1">
        <v>528.1</v>
      </c>
      <c r="AI372" s="1">
        <v>0.17799999999999999</v>
      </c>
      <c r="AJ372" s="1">
        <v>0.2878</v>
      </c>
      <c r="AK372" s="1">
        <v>0.31859999999999999</v>
      </c>
      <c r="AL372" s="1">
        <v>0.1416</v>
      </c>
      <c r="AM372" s="1">
        <v>0.26600000000000001</v>
      </c>
      <c r="AN372" s="1">
        <v>9.2700000000000005E-2</v>
      </c>
    </row>
    <row r="373" spans="1:40" s="1" customFormat="1" ht="15" x14ac:dyDescent="0.25">
      <c r="A373" s="1">
        <v>9113778</v>
      </c>
      <c r="B373" s="1" t="s">
        <v>37</v>
      </c>
      <c r="C373" s="1">
        <v>9.6669999999999998</v>
      </c>
      <c r="D373" s="1">
        <v>18.489999999999998</v>
      </c>
      <c r="E373" s="2"/>
      <c r="F373" s="2"/>
      <c r="G373" s="2"/>
      <c r="H373" s="2"/>
      <c r="I373" s="2"/>
      <c r="J373" s="2"/>
      <c r="K373" s="2"/>
      <c r="L373" s="2"/>
      <c r="M373" s="1">
        <v>61.49</v>
      </c>
      <c r="N373" s="1">
        <v>289.10000000000002</v>
      </c>
      <c r="O373" s="1">
        <v>8.9459999999999998E-2</v>
      </c>
      <c r="P373" s="1">
        <v>6.2579999999999997E-2</v>
      </c>
      <c r="Q373" s="1">
        <v>2.9479999999999999E-2</v>
      </c>
      <c r="R373" s="1">
        <v>1.5140000000000001E-2</v>
      </c>
      <c r="S373" s="1">
        <v>0.2238</v>
      </c>
      <c r="T373" s="1">
        <v>6.4130000000000006E-2</v>
      </c>
      <c r="U373" s="1">
        <v>0.37759999999999999</v>
      </c>
      <c r="V373" s="1">
        <v>1.35</v>
      </c>
      <c r="W373" s="1">
        <v>2.569</v>
      </c>
      <c r="X373" s="1">
        <v>22.73</v>
      </c>
      <c r="Y373" s="1">
        <v>7.5009999999999999E-3</v>
      </c>
      <c r="Z373" s="1">
        <v>1.9890000000000001E-2</v>
      </c>
      <c r="AA373" s="1">
        <v>2.7140000000000001E-2</v>
      </c>
      <c r="AB373" s="1">
        <v>9.8829999999999994E-3</v>
      </c>
      <c r="AC373" s="1">
        <v>1.9599999999999999E-2</v>
      </c>
      <c r="AD373" s="1">
        <v>3.9129999999999998E-3</v>
      </c>
      <c r="AE373" s="1">
        <v>11.14</v>
      </c>
      <c r="AF373" s="1">
        <v>25.62</v>
      </c>
      <c r="AG373" s="1">
        <v>70.88</v>
      </c>
      <c r="AH373" s="1">
        <v>385.2</v>
      </c>
      <c r="AI373" s="1">
        <v>0.1234</v>
      </c>
      <c r="AJ373" s="1">
        <v>0.1542</v>
      </c>
      <c r="AK373" s="1">
        <v>0.12770000000000001</v>
      </c>
      <c r="AL373" s="1">
        <v>6.5600000000000006E-2</v>
      </c>
      <c r="AM373" s="1">
        <v>0.31740000000000002</v>
      </c>
      <c r="AN373" s="1">
        <v>8.5239999999999996E-2</v>
      </c>
    </row>
    <row r="374" spans="1:40" s="1" customFormat="1" ht="15" x14ac:dyDescent="0.25">
      <c r="A374" s="1">
        <v>9113816</v>
      </c>
      <c r="B374" s="1" t="s">
        <v>37</v>
      </c>
      <c r="C374" s="1">
        <v>12.04</v>
      </c>
      <c r="D374" s="1">
        <v>28.14</v>
      </c>
      <c r="E374" s="2"/>
      <c r="F374" s="2"/>
      <c r="G374" s="2"/>
      <c r="H374" s="2"/>
      <c r="I374" s="2"/>
      <c r="J374" s="2"/>
      <c r="K374" s="2"/>
      <c r="L374" s="2"/>
      <c r="M374" s="1">
        <v>76.849999999999994</v>
      </c>
      <c r="N374" s="1">
        <v>449.9</v>
      </c>
      <c r="O374" s="1">
        <v>8.7520000000000001E-2</v>
      </c>
      <c r="P374" s="1">
        <v>0.06</v>
      </c>
      <c r="Q374" s="1">
        <v>2.367E-2</v>
      </c>
      <c r="R374" s="1">
        <v>2.3769999999999999E-2</v>
      </c>
      <c r="S374" s="1">
        <v>0.18540000000000001</v>
      </c>
      <c r="T374" s="1">
        <v>5.6980000000000003E-2</v>
      </c>
      <c r="U374" s="1">
        <v>0.60609999999999997</v>
      </c>
      <c r="V374" s="1">
        <v>2.6429999999999998</v>
      </c>
      <c r="W374" s="1">
        <v>4.0990000000000002</v>
      </c>
      <c r="X374" s="1">
        <v>44.96</v>
      </c>
      <c r="Y374" s="1">
        <v>7.5170000000000002E-3</v>
      </c>
      <c r="Z374" s="1">
        <v>1.555E-2</v>
      </c>
      <c r="AA374" s="1">
        <v>1.465E-2</v>
      </c>
      <c r="AB374" s="1">
        <v>1.183E-2</v>
      </c>
      <c r="AC374" s="1">
        <v>2.0469999999999999E-2</v>
      </c>
      <c r="AD374" s="1">
        <v>3.8830000000000002E-3</v>
      </c>
      <c r="AE374" s="1">
        <v>13.6</v>
      </c>
      <c r="AF374" s="1">
        <v>33.33</v>
      </c>
      <c r="AG374" s="1">
        <v>87.24</v>
      </c>
      <c r="AH374" s="1">
        <v>567.6</v>
      </c>
      <c r="AI374" s="1">
        <v>0.1041</v>
      </c>
      <c r="AJ374" s="1">
        <v>9.7259999999999999E-2</v>
      </c>
      <c r="AK374" s="1">
        <v>5.5239999999999997E-2</v>
      </c>
      <c r="AL374" s="1">
        <v>5.5469999999999998E-2</v>
      </c>
      <c r="AM374" s="1">
        <v>0.2404</v>
      </c>
      <c r="AN374" s="1">
        <v>6.6390000000000005E-2</v>
      </c>
    </row>
    <row r="375" spans="1:40" s="1" customFormat="1" ht="15" x14ac:dyDescent="0.25">
      <c r="A375" s="1">
        <v>911384</v>
      </c>
      <c r="B375" s="1" t="s">
        <v>37</v>
      </c>
      <c r="C375" s="1">
        <v>14.92</v>
      </c>
      <c r="D375" s="1">
        <v>14.93</v>
      </c>
      <c r="E375" s="2"/>
      <c r="F375" s="2"/>
      <c r="G375" s="2"/>
      <c r="H375" s="2"/>
      <c r="I375" s="2"/>
      <c r="J375" s="2"/>
      <c r="K375" s="2"/>
      <c r="L375" s="2"/>
      <c r="M375" s="1">
        <v>96.45</v>
      </c>
      <c r="N375" s="1">
        <v>686.9</v>
      </c>
      <c r="O375" s="1">
        <v>8.0979999999999996E-2</v>
      </c>
      <c r="P375" s="1">
        <v>8.5489999999999997E-2</v>
      </c>
      <c r="Q375" s="1">
        <v>5.5390000000000002E-2</v>
      </c>
      <c r="R375" s="1">
        <v>3.2210000000000003E-2</v>
      </c>
      <c r="S375" s="1">
        <v>0.16869999999999999</v>
      </c>
      <c r="T375" s="1">
        <v>5.6689999999999997E-2</v>
      </c>
      <c r="U375" s="1">
        <v>0.24460000000000001</v>
      </c>
      <c r="V375" s="1">
        <v>0.43340000000000001</v>
      </c>
      <c r="W375" s="1">
        <v>1.8260000000000001</v>
      </c>
      <c r="X375" s="1">
        <v>23.31</v>
      </c>
      <c r="Y375" s="1">
        <v>3.271E-3</v>
      </c>
      <c r="Z375" s="1">
        <v>1.77E-2</v>
      </c>
      <c r="AA375" s="1">
        <v>2.3099999999999999E-2</v>
      </c>
      <c r="AB375" s="1">
        <v>8.3990000000000002E-3</v>
      </c>
      <c r="AC375" s="1">
        <v>1.1480000000000001E-2</v>
      </c>
      <c r="AD375" s="1">
        <v>2.379E-3</v>
      </c>
      <c r="AE375" s="1">
        <v>17.18</v>
      </c>
      <c r="AF375" s="1">
        <v>18.22</v>
      </c>
      <c r="AG375" s="1">
        <v>112</v>
      </c>
      <c r="AH375" s="1">
        <v>906.6</v>
      </c>
      <c r="AI375" s="1">
        <v>0.1065</v>
      </c>
      <c r="AJ375" s="1">
        <v>0.27910000000000001</v>
      </c>
      <c r="AK375" s="1">
        <v>0.31509999999999999</v>
      </c>
      <c r="AL375" s="1">
        <v>0.1147</v>
      </c>
      <c r="AM375" s="1">
        <v>0.26879999999999998</v>
      </c>
      <c r="AN375" s="1">
        <v>8.2729999999999998E-2</v>
      </c>
    </row>
    <row r="376" spans="1:40" s="1" customFormat="1" ht="15" x14ac:dyDescent="0.25">
      <c r="A376" s="1">
        <v>9113846</v>
      </c>
      <c r="B376" s="1" t="s">
        <v>37</v>
      </c>
      <c r="C376" s="1">
        <v>12.27</v>
      </c>
      <c r="D376" s="1">
        <v>29.97</v>
      </c>
      <c r="E376" s="2"/>
      <c r="F376" s="2"/>
      <c r="G376" s="2"/>
      <c r="H376" s="2"/>
      <c r="I376" s="2"/>
      <c r="J376" s="2"/>
      <c r="K376" s="2"/>
      <c r="L376" s="2"/>
      <c r="M376" s="1">
        <v>77.42</v>
      </c>
      <c r="N376" s="1">
        <v>465.4</v>
      </c>
      <c r="O376" s="1">
        <v>7.6990000000000003E-2</v>
      </c>
      <c r="P376" s="1">
        <v>3.3980000000000003E-2</v>
      </c>
      <c r="Q376" s="1">
        <v>0</v>
      </c>
      <c r="R376" s="1">
        <v>0</v>
      </c>
      <c r="S376" s="1">
        <v>0.1701</v>
      </c>
      <c r="T376" s="1">
        <v>5.96E-2</v>
      </c>
      <c r="U376" s="1">
        <v>0.44550000000000001</v>
      </c>
      <c r="V376" s="1">
        <v>3.6469999999999998</v>
      </c>
      <c r="W376" s="1">
        <v>2.8839999999999999</v>
      </c>
      <c r="X376" s="1">
        <v>35.130000000000003</v>
      </c>
      <c r="Y376" s="1">
        <v>7.339E-3</v>
      </c>
      <c r="Z376" s="1">
        <v>8.2430000000000003E-3</v>
      </c>
      <c r="AA376" s="1">
        <v>0</v>
      </c>
      <c r="AB376" s="1">
        <v>0</v>
      </c>
      <c r="AC376" s="1">
        <v>3.141E-2</v>
      </c>
      <c r="AD376" s="1">
        <v>3.1359999999999999E-3</v>
      </c>
      <c r="AE376" s="1">
        <v>13.45</v>
      </c>
      <c r="AF376" s="1">
        <v>38.049999999999997</v>
      </c>
      <c r="AG376" s="1">
        <v>85.08</v>
      </c>
      <c r="AH376" s="1">
        <v>558.9</v>
      </c>
      <c r="AI376" s="1">
        <v>9.4219999999999998E-2</v>
      </c>
      <c r="AJ376" s="1">
        <v>5.2130000000000003E-2</v>
      </c>
      <c r="AK376" s="1">
        <v>0</v>
      </c>
      <c r="AL376" s="1">
        <v>0</v>
      </c>
      <c r="AM376" s="1">
        <v>0.2409</v>
      </c>
      <c r="AN376" s="1">
        <v>6.7430000000000004E-2</v>
      </c>
    </row>
    <row r="377" spans="1:40" s="1" customFormat="1" ht="15" x14ac:dyDescent="0.25">
      <c r="A377" s="1">
        <v>911391</v>
      </c>
      <c r="B377" s="1" t="s">
        <v>37</v>
      </c>
      <c r="C377" s="1">
        <v>10.88</v>
      </c>
      <c r="D377" s="1">
        <v>15.62</v>
      </c>
      <c r="E377" s="2"/>
      <c r="F377" s="2"/>
      <c r="G377" s="2"/>
      <c r="H377" s="2"/>
      <c r="I377" s="2"/>
      <c r="J377" s="2"/>
      <c r="K377" s="2"/>
      <c r="L377" s="2"/>
      <c r="M377" s="1">
        <v>70.41</v>
      </c>
      <c r="N377" s="1">
        <v>358.9</v>
      </c>
      <c r="O377" s="1">
        <v>0.1007</v>
      </c>
      <c r="P377" s="1">
        <v>0.1069</v>
      </c>
      <c r="Q377" s="1">
        <v>5.1150000000000001E-2</v>
      </c>
      <c r="R377" s="1">
        <v>1.5709999999999998E-2</v>
      </c>
      <c r="S377" s="1">
        <v>0.18609999999999999</v>
      </c>
      <c r="T377" s="1">
        <v>6.837E-2</v>
      </c>
      <c r="U377" s="1">
        <v>0.1482</v>
      </c>
      <c r="V377" s="1">
        <v>0.53800000000000003</v>
      </c>
      <c r="W377" s="1">
        <v>1.3009999999999999</v>
      </c>
      <c r="X377" s="1">
        <v>9.5969999999999995</v>
      </c>
      <c r="Y377" s="1">
        <v>4.4739999999999997E-3</v>
      </c>
      <c r="Z377" s="1">
        <v>3.0929999999999999E-2</v>
      </c>
      <c r="AA377" s="1">
        <v>2.7570000000000001E-2</v>
      </c>
      <c r="AB377" s="1">
        <v>6.6909999999999999E-3</v>
      </c>
      <c r="AC377" s="1">
        <v>1.2120000000000001E-2</v>
      </c>
      <c r="AD377" s="1">
        <v>4.6719999999999999E-3</v>
      </c>
      <c r="AE377" s="1">
        <v>11.94</v>
      </c>
      <c r="AF377" s="1">
        <v>19.350000000000001</v>
      </c>
      <c r="AG377" s="1">
        <v>80.78</v>
      </c>
      <c r="AH377" s="1">
        <v>433.1</v>
      </c>
      <c r="AI377" s="1">
        <v>0.13320000000000001</v>
      </c>
      <c r="AJ377" s="1">
        <v>0.38979999999999998</v>
      </c>
      <c r="AK377" s="1">
        <v>0.33650000000000002</v>
      </c>
      <c r="AL377" s="1">
        <v>7.9659999999999995E-2</v>
      </c>
      <c r="AM377" s="1">
        <v>0.2581</v>
      </c>
      <c r="AN377" s="1">
        <v>0.108</v>
      </c>
    </row>
    <row r="378" spans="1:40" s="1" customFormat="1" ht="15" x14ac:dyDescent="0.25">
      <c r="A378" s="1">
        <v>911408</v>
      </c>
      <c r="B378" s="1" t="s">
        <v>37</v>
      </c>
      <c r="C378" s="1">
        <v>12.83</v>
      </c>
      <c r="D378" s="1">
        <v>15.73</v>
      </c>
      <c r="E378" s="2"/>
      <c r="F378" s="2"/>
      <c r="G378" s="2"/>
      <c r="H378" s="2"/>
      <c r="I378" s="2"/>
      <c r="J378" s="2"/>
      <c r="K378" s="2"/>
      <c r="L378" s="2"/>
      <c r="M378" s="1">
        <v>82.89</v>
      </c>
      <c r="N378" s="1">
        <v>506.9</v>
      </c>
      <c r="O378" s="1">
        <v>9.0399999999999994E-2</v>
      </c>
      <c r="P378" s="1">
        <v>8.269E-2</v>
      </c>
      <c r="Q378" s="1">
        <v>5.8349999999999999E-2</v>
      </c>
      <c r="R378" s="1">
        <v>3.0779999999999998E-2</v>
      </c>
      <c r="S378" s="1">
        <v>0.17050000000000001</v>
      </c>
      <c r="T378" s="1">
        <v>5.9130000000000002E-2</v>
      </c>
      <c r="U378" s="1">
        <v>0.14990000000000001</v>
      </c>
      <c r="V378" s="1">
        <v>0.48749999999999999</v>
      </c>
      <c r="W378" s="1">
        <v>1.1950000000000001</v>
      </c>
      <c r="X378" s="1">
        <v>11.64</v>
      </c>
      <c r="Y378" s="1">
        <v>4.8729999999999997E-3</v>
      </c>
      <c r="Z378" s="1">
        <v>1.796E-2</v>
      </c>
      <c r="AA378" s="1">
        <v>3.3180000000000001E-2</v>
      </c>
      <c r="AB378" s="1">
        <v>8.3599999999999994E-3</v>
      </c>
      <c r="AC378" s="1">
        <v>1.601E-2</v>
      </c>
      <c r="AD378" s="1">
        <v>2.2889999999999998E-3</v>
      </c>
      <c r="AE378" s="1">
        <v>14.09</v>
      </c>
      <c r="AF378" s="1">
        <v>19.350000000000001</v>
      </c>
      <c r="AG378" s="1">
        <v>93.22</v>
      </c>
      <c r="AH378" s="1">
        <v>605.79999999999995</v>
      </c>
      <c r="AI378" s="1">
        <v>0.1326</v>
      </c>
      <c r="AJ378" s="1">
        <v>0.26100000000000001</v>
      </c>
      <c r="AK378" s="1">
        <v>0.34760000000000002</v>
      </c>
      <c r="AL378" s="1">
        <v>9.783E-2</v>
      </c>
      <c r="AM378" s="1">
        <v>0.30059999999999998</v>
      </c>
      <c r="AN378" s="1">
        <v>7.8020000000000006E-2</v>
      </c>
    </row>
    <row r="379" spans="1:40" s="1" customFormat="1" ht="15" x14ac:dyDescent="0.25">
      <c r="A379" s="1">
        <v>911654</v>
      </c>
      <c r="B379" s="1" t="s">
        <v>37</v>
      </c>
      <c r="C379" s="1">
        <v>14.2</v>
      </c>
      <c r="D379" s="1">
        <v>20.53</v>
      </c>
      <c r="E379" s="2"/>
      <c r="F379" s="2"/>
      <c r="G379" s="2"/>
      <c r="H379" s="2"/>
      <c r="I379" s="2"/>
      <c r="J379" s="2"/>
      <c r="K379" s="2"/>
      <c r="L379" s="2"/>
      <c r="M379" s="1">
        <v>92.41</v>
      </c>
      <c r="N379" s="1">
        <v>618.4</v>
      </c>
      <c r="O379" s="1">
        <v>8.931E-2</v>
      </c>
      <c r="P379" s="1">
        <v>0.1108</v>
      </c>
      <c r="Q379" s="1">
        <v>5.0630000000000001E-2</v>
      </c>
      <c r="R379" s="1">
        <v>3.058E-2</v>
      </c>
      <c r="S379" s="1">
        <v>0.15060000000000001</v>
      </c>
      <c r="T379" s="1">
        <v>6.0089999999999998E-2</v>
      </c>
      <c r="U379" s="1">
        <v>0.3478</v>
      </c>
      <c r="V379" s="1">
        <v>1.018</v>
      </c>
      <c r="W379" s="1">
        <v>2.7490000000000001</v>
      </c>
      <c r="X379" s="1">
        <v>31.01</v>
      </c>
      <c r="Y379" s="1">
        <v>4.1070000000000004E-3</v>
      </c>
      <c r="Z379" s="1">
        <v>3.288E-2</v>
      </c>
      <c r="AA379" s="1">
        <v>2.8209999999999999E-2</v>
      </c>
      <c r="AB379" s="1">
        <v>1.35E-2</v>
      </c>
      <c r="AC379" s="1">
        <v>1.61E-2</v>
      </c>
      <c r="AD379" s="1">
        <v>2.7439999999999999E-3</v>
      </c>
      <c r="AE379" s="1">
        <v>16.45</v>
      </c>
      <c r="AF379" s="1">
        <v>27.26</v>
      </c>
      <c r="AG379" s="1">
        <v>112.1</v>
      </c>
      <c r="AH379" s="1">
        <v>828.5</v>
      </c>
      <c r="AI379" s="1">
        <v>0.1153</v>
      </c>
      <c r="AJ379" s="1">
        <v>0.34289999999999998</v>
      </c>
      <c r="AK379" s="1">
        <v>0.25119999999999998</v>
      </c>
      <c r="AL379" s="1">
        <v>0.13389999999999999</v>
      </c>
      <c r="AM379" s="1">
        <v>0.25340000000000001</v>
      </c>
      <c r="AN379" s="1">
        <v>7.8579999999999997E-2</v>
      </c>
    </row>
    <row r="380" spans="1:40" s="1" customFormat="1" ht="15" x14ac:dyDescent="0.25">
      <c r="A380" s="1">
        <v>911673</v>
      </c>
      <c r="B380" s="1" t="s">
        <v>37</v>
      </c>
      <c r="C380" s="1">
        <v>13.9</v>
      </c>
      <c r="D380" s="1">
        <v>16.62</v>
      </c>
      <c r="E380" s="2"/>
      <c r="F380" s="2"/>
      <c r="G380" s="2"/>
      <c r="H380" s="2"/>
      <c r="I380" s="2"/>
      <c r="J380" s="2"/>
      <c r="K380" s="2"/>
      <c r="L380" s="2"/>
      <c r="M380" s="1">
        <v>88.97</v>
      </c>
      <c r="N380" s="1">
        <v>599.4</v>
      </c>
      <c r="O380" s="1">
        <v>6.8279999999999993E-2</v>
      </c>
      <c r="P380" s="1">
        <v>5.3190000000000001E-2</v>
      </c>
      <c r="Q380" s="1">
        <v>2.2239999999999999E-2</v>
      </c>
      <c r="R380" s="1">
        <v>1.3390000000000001E-2</v>
      </c>
      <c r="S380" s="1">
        <v>0.18129999999999999</v>
      </c>
      <c r="T380" s="1">
        <v>5.5359999999999999E-2</v>
      </c>
      <c r="U380" s="1">
        <v>0.1555</v>
      </c>
      <c r="V380" s="1">
        <v>0.57620000000000005</v>
      </c>
      <c r="W380" s="1">
        <v>1.3919999999999999</v>
      </c>
      <c r="X380" s="1">
        <v>14.03</v>
      </c>
      <c r="Y380" s="1">
        <v>3.3080000000000002E-3</v>
      </c>
      <c r="Z380" s="1">
        <v>1.315E-2</v>
      </c>
      <c r="AA380" s="1">
        <v>9.9039999999999996E-3</v>
      </c>
      <c r="AB380" s="1">
        <v>4.8320000000000004E-3</v>
      </c>
      <c r="AC380" s="1">
        <v>1.316E-2</v>
      </c>
      <c r="AD380" s="1">
        <v>2.0950000000000001E-3</v>
      </c>
      <c r="AE380" s="1">
        <v>15.14</v>
      </c>
      <c r="AF380" s="1">
        <v>21.8</v>
      </c>
      <c r="AG380" s="1">
        <v>101.2</v>
      </c>
      <c r="AH380" s="1">
        <v>718.9</v>
      </c>
      <c r="AI380" s="1">
        <v>9.3840000000000007E-2</v>
      </c>
      <c r="AJ380" s="1">
        <v>0.2006</v>
      </c>
      <c r="AK380" s="1">
        <v>0.1384</v>
      </c>
      <c r="AL380" s="1">
        <v>6.2219999999999998E-2</v>
      </c>
      <c r="AM380" s="1">
        <v>0.26790000000000003</v>
      </c>
      <c r="AN380" s="1">
        <v>7.6980000000000007E-2</v>
      </c>
    </row>
    <row r="381" spans="1:40" s="1" customFormat="1" ht="15" x14ac:dyDescent="0.25">
      <c r="A381" s="1">
        <v>911685</v>
      </c>
      <c r="B381" s="1" t="s">
        <v>37</v>
      </c>
      <c r="C381" s="1">
        <v>11.49</v>
      </c>
      <c r="D381" s="1">
        <v>14.59</v>
      </c>
      <c r="E381" s="2"/>
      <c r="F381" s="2"/>
      <c r="G381" s="2"/>
      <c r="H381" s="2"/>
      <c r="I381" s="2"/>
      <c r="J381" s="2"/>
      <c r="K381" s="2"/>
      <c r="L381" s="2"/>
      <c r="M381" s="1">
        <v>73.989999999999995</v>
      </c>
      <c r="N381" s="1">
        <v>404.9</v>
      </c>
      <c r="O381" s="1">
        <v>0.1046</v>
      </c>
      <c r="P381" s="1">
        <v>8.2280000000000006E-2</v>
      </c>
      <c r="Q381" s="1">
        <v>5.3080000000000002E-2</v>
      </c>
      <c r="R381" s="1">
        <v>1.9689999999999999E-2</v>
      </c>
      <c r="S381" s="1">
        <v>0.1779</v>
      </c>
      <c r="T381" s="1">
        <v>6.5740000000000007E-2</v>
      </c>
      <c r="U381" s="1">
        <v>0.2034</v>
      </c>
      <c r="V381" s="1">
        <v>1.1659999999999999</v>
      </c>
      <c r="W381" s="1">
        <v>1.5669999999999999</v>
      </c>
      <c r="X381" s="1">
        <v>14.34</v>
      </c>
      <c r="Y381" s="1">
        <v>4.9569999999999996E-3</v>
      </c>
      <c r="Z381" s="1">
        <v>2.1139999999999999E-2</v>
      </c>
      <c r="AA381" s="1">
        <v>4.156E-2</v>
      </c>
      <c r="AB381" s="1">
        <v>8.038E-3</v>
      </c>
      <c r="AC381" s="1">
        <v>1.8429999999999998E-2</v>
      </c>
      <c r="AD381" s="1">
        <v>3.614E-3</v>
      </c>
      <c r="AE381" s="1">
        <v>12.4</v>
      </c>
      <c r="AF381" s="1">
        <v>21.9</v>
      </c>
      <c r="AG381" s="1">
        <v>82.04</v>
      </c>
      <c r="AH381" s="1">
        <v>467.6</v>
      </c>
      <c r="AI381" s="1">
        <v>0.13519999999999999</v>
      </c>
      <c r="AJ381" s="1">
        <v>0.20100000000000001</v>
      </c>
      <c r="AK381" s="1">
        <v>0.2596</v>
      </c>
      <c r="AL381" s="1">
        <v>7.4310000000000001E-2</v>
      </c>
      <c r="AM381" s="1">
        <v>0.29409999999999997</v>
      </c>
      <c r="AN381" s="1">
        <v>9.1800000000000007E-2</v>
      </c>
    </row>
    <row r="382" spans="1:40" s="1" customFormat="1" ht="15" x14ac:dyDescent="0.25">
      <c r="A382" s="1">
        <v>911916</v>
      </c>
      <c r="B382" s="1" t="s">
        <v>36</v>
      </c>
      <c r="C382" s="1">
        <v>16.25</v>
      </c>
      <c r="D382" s="1">
        <v>19.510000000000002</v>
      </c>
      <c r="E382" s="2"/>
      <c r="F382" s="2"/>
      <c r="G382" s="2"/>
      <c r="H382" s="2"/>
      <c r="I382" s="2"/>
      <c r="J382" s="2"/>
      <c r="K382" s="2"/>
      <c r="L382" s="2"/>
      <c r="M382" s="1">
        <v>109.8</v>
      </c>
      <c r="N382" s="1">
        <v>815.8</v>
      </c>
      <c r="O382" s="1">
        <v>0.1026</v>
      </c>
      <c r="P382" s="1">
        <v>0.1893</v>
      </c>
      <c r="Q382" s="1">
        <v>0.22359999999999999</v>
      </c>
      <c r="R382" s="1">
        <v>9.1939999999999994E-2</v>
      </c>
      <c r="S382" s="1">
        <v>0.21510000000000001</v>
      </c>
      <c r="T382" s="1">
        <v>6.5780000000000005E-2</v>
      </c>
      <c r="U382" s="1">
        <v>0.31469999999999998</v>
      </c>
      <c r="V382" s="1">
        <v>0.98570000000000002</v>
      </c>
      <c r="W382" s="1">
        <v>3.07</v>
      </c>
      <c r="X382" s="1">
        <v>33.119999999999997</v>
      </c>
      <c r="Y382" s="1">
        <v>9.1970000000000003E-3</v>
      </c>
      <c r="Z382" s="1">
        <v>5.4699999999999999E-2</v>
      </c>
      <c r="AA382" s="1">
        <v>8.0790000000000001E-2</v>
      </c>
      <c r="AB382" s="1">
        <v>2.215E-2</v>
      </c>
      <c r="AC382" s="1">
        <v>2.7730000000000001E-2</v>
      </c>
      <c r="AD382" s="1">
        <v>6.3550000000000004E-3</v>
      </c>
      <c r="AE382" s="1">
        <v>17.39</v>
      </c>
      <c r="AF382" s="1">
        <v>23.05</v>
      </c>
      <c r="AG382" s="1">
        <v>122.1</v>
      </c>
      <c r="AH382" s="1">
        <v>939.7</v>
      </c>
      <c r="AI382" s="1">
        <v>0.13769999999999999</v>
      </c>
      <c r="AJ382" s="1">
        <v>0.44619999999999999</v>
      </c>
      <c r="AK382" s="1">
        <v>0.5897</v>
      </c>
      <c r="AL382" s="1">
        <v>0.17749999999999999</v>
      </c>
      <c r="AM382" s="1">
        <v>0.33179999999999998</v>
      </c>
      <c r="AN382" s="1">
        <v>9.1359999999999997E-2</v>
      </c>
    </row>
    <row r="383" spans="1:40" s="1" customFormat="1" ht="15" x14ac:dyDescent="0.25">
      <c r="A383" s="1">
        <v>912193</v>
      </c>
      <c r="B383" s="1" t="s">
        <v>37</v>
      </c>
      <c r="C383" s="1">
        <v>12.16</v>
      </c>
      <c r="D383" s="1">
        <v>18.03</v>
      </c>
      <c r="E383" s="2"/>
      <c r="F383" s="2"/>
      <c r="G383" s="2"/>
      <c r="H383" s="2"/>
      <c r="I383" s="2"/>
      <c r="J383" s="2"/>
      <c r="K383" s="2"/>
      <c r="L383" s="2"/>
      <c r="M383" s="1">
        <v>78.290000000000006</v>
      </c>
      <c r="N383" s="1">
        <v>455.3</v>
      </c>
      <c r="O383" s="1">
        <v>9.0870000000000006E-2</v>
      </c>
      <c r="P383" s="1">
        <v>7.8380000000000005E-2</v>
      </c>
      <c r="Q383" s="1">
        <v>2.9159999999999998E-2</v>
      </c>
      <c r="R383" s="1">
        <v>1.5270000000000001E-2</v>
      </c>
      <c r="S383" s="1">
        <v>0.1464</v>
      </c>
      <c r="T383" s="1">
        <v>6.2839999999999993E-2</v>
      </c>
      <c r="U383" s="1">
        <v>0.21940000000000001</v>
      </c>
      <c r="V383" s="1">
        <v>1.19</v>
      </c>
      <c r="W383" s="1">
        <v>1.6779999999999999</v>
      </c>
      <c r="X383" s="1">
        <v>16.260000000000002</v>
      </c>
      <c r="Y383" s="1">
        <v>4.9109999999999996E-3</v>
      </c>
      <c r="Z383" s="1">
        <v>1.6660000000000001E-2</v>
      </c>
      <c r="AA383" s="1">
        <v>1.397E-2</v>
      </c>
      <c r="AB383" s="1">
        <v>5.1609999999999998E-3</v>
      </c>
      <c r="AC383" s="1">
        <v>1.4540000000000001E-2</v>
      </c>
      <c r="AD383" s="1">
        <v>1.8580000000000001E-3</v>
      </c>
      <c r="AE383" s="1">
        <v>13.34</v>
      </c>
      <c r="AF383" s="1">
        <v>27.87</v>
      </c>
      <c r="AG383" s="1">
        <v>88.83</v>
      </c>
      <c r="AH383" s="1">
        <v>547.4</v>
      </c>
      <c r="AI383" s="1">
        <v>0.1208</v>
      </c>
      <c r="AJ383" s="1">
        <v>0.22789999999999999</v>
      </c>
      <c r="AK383" s="1">
        <v>0.16200000000000001</v>
      </c>
      <c r="AL383" s="1">
        <v>5.6899999999999999E-2</v>
      </c>
      <c r="AM383" s="1">
        <v>0.24060000000000001</v>
      </c>
      <c r="AN383" s="1">
        <v>7.7289999999999998E-2</v>
      </c>
    </row>
    <row r="384" spans="1:40" s="1" customFormat="1" ht="15" x14ac:dyDescent="0.25">
      <c r="A384" s="1">
        <v>91227</v>
      </c>
      <c r="B384" s="1" t="s">
        <v>37</v>
      </c>
      <c r="C384" s="1">
        <v>13.9</v>
      </c>
      <c r="D384" s="1">
        <v>19.239999999999998</v>
      </c>
      <c r="E384" s="2"/>
      <c r="F384" s="2"/>
      <c r="G384" s="2"/>
      <c r="H384" s="2"/>
      <c r="I384" s="2"/>
      <c r="J384" s="2"/>
      <c r="K384" s="2"/>
      <c r="L384" s="2"/>
      <c r="M384" s="1">
        <v>88.73</v>
      </c>
      <c r="N384" s="1">
        <v>602.9</v>
      </c>
      <c r="O384" s="1">
        <v>7.9909999999999995E-2</v>
      </c>
      <c r="P384" s="1">
        <v>5.3260000000000002E-2</v>
      </c>
      <c r="Q384" s="1">
        <v>2.9950000000000001E-2</v>
      </c>
      <c r="R384" s="1">
        <v>2.07E-2</v>
      </c>
      <c r="S384" s="1">
        <v>0.15790000000000001</v>
      </c>
      <c r="T384" s="1">
        <v>5.5939999999999997E-2</v>
      </c>
      <c r="U384" s="1">
        <v>0.33160000000000001</v>
      </c>
      <c r="V384" s="1">
        <v>0.9264</v>
      </c>
      <c r="W384" s="1">
        <v>2.056</v>
      </c>
      <c r="X384" s="1">
        <v>28.41</v>
      </c>
      <c r="Y384" s="1">
        <v>3.7039999999999998E-3</v>
      </c>
      <c r="Z384" s="1">
        <v>1.082E-2</v>
      </c>
      <c r="AA384" s="1">
        <v>1.5299999999999999E-2</v>
      </c>
      <c r="AB384" s="1">
        <v>6.2750000000000002E-3</v>
      </c>
      <c r="AC384" s="1">
        <v>1.0619999999999999E-2</v>
      </c>
      <c r="AD384" s="1">
        <v>2.2169999999999998E-3</v>
      </c>
      <c r="AE384" s="1">
        <v>16.41</v>
      </c>
      <c r="AF384" s="1">
        <v>26.42</v>
      </c>
      <c r="AG384" s="1">
        <v>104.4</v>
      </c>
      <c r="AH384" s="1">
        <v>830.5</v>
      </c>
      <c r="AI384" s="1">
        <v>0.10639999999999999</v>
      </c>
      <c r="AJ384" s="1">
        <v>0.14149999999999999</v>
      </c>
      <c r="AK384" s="1">
        <v>0.1673</v>
      </c>
      <c r="AL384" s="1">
        <v>8.1500000000000003E-2</v>
      </c>
      <c r="AM384" s="1">
        <v>0.2356</v>
      </c>
      <c r="AN384" s="1">
        <v>7.603E-2</v>
      </c>
    </row>
    <row r="385" spans="1:40" s="1" customFormat="1" ht="15" x14ac:dyDescent="0.25">
      <c r="A385" s="1">
        <v>912519</v>
      </c>
      <c r="B385" s="1" t="s">
        <v>37</v>
      </c>
      <c r="C385" s="1">
        <v>13.47</v>
      </c>
      <c r="D385" s="1">
        <v>14.06</v>
      </c>
      <c r="E385" s="2"/>
      <c r="F385" s="2"/>
      <c r="G385" s="2"/>
      <c r="H385" s="2"/>
      <c r="I385" s="2"/>
      <c r="J385" s="2"/>
      <c r="K385" s="2"/>
      <c r="L385" s="2"/>
      <c r="M385" s="1">
        <v>87.32</v>
      </c>
      <c r="N385" s="1">
        <v>546.29999999999995</v>
      </c>
      <c r="O385" s="1">
        <v>0.1071</v>
      </c>
      <c r="P385" s="1">
        <v>0.11550000000000001</v>
      </c>
      <c r="Q385" s="1">
        <v>5.7860000000000002E-2</v>
      </c>
      <c r="R385" s="1">
        <v>5.2659999999999998E-2</v>
      </c>
      <c r="S385" s="1">
        <v>0.1779</v>
      </c>
      <c r="T385" s="1">
        <v>6.6390000000000005E-2</v>
      </c>
      <c r="U385" s="1">
        <v>0.1588</v>
      </c>
      <c r="V385" s="1">
        <v>0.57330000000000003</v>
      </c>
      <c r="W385" s="1">
        <v>1.1020000000000001</v>
      </c>
      <c r="X385" s="1">
        <v>12.84</v>
      </c>
      <c r="Y385" s="1">
        <v>4.45E-3</v>
      </c>
      <c r="Z385" s="1">
        <v>1.452E-2</v>
      </c>
      <c r="AA385" s="1">
        <v>1.3339999999999999E-2</v>
      </c>
      <c r="AB385" s="1">
        <v>8.7910000000000002E-3</v>
      </c>
      <c r="AC385" s="1">
        <v>1.6979999999999999E-2</v>
      </c>
      <c r="AD385" s="1">
        <v>2.787E-3</v>
      </c>
      <c r="AE385" s="1">
        <v>14.83</v>
      </c>
      <c r="AF385" s="1">
        <v>18.32</v>
      </c>
      <c r="AG385" s="1">
        <v>94.94</v>
      </c>
      <c r="AH385" s="1">
        <v>660.2</v>
      </c>
      <c r="AI385" s="1">
        <v>0.13930000000000001</v>
      </c>
      <c r="AJ385" s="1">
        <v>0.24990000000000001</v>
      </c>
      <c r="AK385" s="1">
        <v>0.18479999999999999</v>
      </c>
      <c r="AL385" s="1">
        <v>0.13350000000000001</v>
      </c>
      <c r="AM385" s="1">
        <v>0.32269999999999999</v>
      </c>
      <c r="AN385" s="1">
        <v>9.3259999999999996E-2</v>
      </c>
    </row>
    <row r="386" spans="1:40" s="1" customFormat="1" ht="15" x14ac:dyDescent="0.25">
      <c r="A386" s="1">
        <v>912558</v>
      </c>
      <c r="B386" s="1" t="s">
        <v>37</v>
      </c>
      <c r="C386" s="1">
        <v>13.7</v>
      </c>
      <c r="D386" s="1">
        <v>17.64</v>
      </c>
      <c r="E386" s="2"/>
      <c r="F386" s="2"/>
      <c r="G386" s="2"/>
      <c r="H386" s="2"/>
      <c r="I386" s="2"/>
      <c r="J386" s="2"/>
      <c r="K386" s="2"/>
      <c r="L386" s="2"/>
      <c r="M386" s="1">
        <v>87.76</v>
      </c>
      <c r="N386" s="1">
        <v>571.1</v>
      </c>
      <c r="O386" s="1">
        <v>9.9500000000000005E-2</v>
      </c>
      <c r="P386" s="1">
        <v>7.9570000000000002E-2</v>
      </c>
      <c r="Q386" s="1">
        <v>4.548E-2</v>
      </c>
      <c r="R386" s="1">
        <v>3.1600000000000003E-2</v>
      </c>
      <c r="S386" s="1">
        <v>0.17319999999999999</v>
      </c>
      <c r="T386" s="1">
        <v>6.0879999999999997E-2</v>
      </c>
      <c r="U386" s="1">
        <v>0.24310000000000001</v>
      </c>
      <c r="V386" s="1">
        <v>0.94620000000000004</v>
      </c>
      <c r="W386" s="1">
        <v>1.5640000000000001</v>
      </c>
      <c r="X386" s="1">
        <v>20.64</v>
      </c>
      <c r="Y386" s="1">
        <v>3.2450000000000001E-3</v>
      </c>
      <c r="Z386" s="1">
        <v>8.1860000000000006E-3</v>
      </c>
      <c r="AA386" s="1">
        <v>1.6979999999999999E-2</v>
      </c>
      <c r="AB386" s="1">
        <v>9.2329999999999999E-3</v>
      </c>
      <c r="AC386" s="1">
        <v>1.285E-2</v>
      </c>
      <c r="AD386" s="1">
        <v>1.524E-3</v>
      </c>
      <c r="AE386" s="1">
        <v>14.96</v>
      </c>
      <c r="AF386" s="1">
        <v>23.53</v>
      </c>
      <c r="AG386" s="1">
        <v>95.78</v>
      </c>
      <c r="AH386" s="1">
        <v>686.5</v>
      </c>
      <c r="AI386" s="1">
        <v>0.11990000000000001</v>
      </c>
      <c r="AJ386" s="1">
        <v>0.1346</v>
      </c>
      <c r="AK386" s="1">
        <v>0.17419999999999999</v>
      </c>
      <c r="AL386" s="1">
        <v>9.0770000000000003E-2</v>
      </c>
      <c r="AM386" s="1">
        <v>0.25180000000000002</v>
      </c>
      <c r="AN386" s="1">
        <v>6.9599999999999995E-2</v>
      </c>
    </row>
    <row r="387" spans="1:40" s="1" customFormat="1" ht="15" x14ac:dyDescent="0.25">
      <c r="A387" s="1">
        <v>912600</v>
      </c>
      <c r="B387" s="1" t="s">
        <v>37</v>
      </c>
      <c r="C387" s="1">
        <v>15.73</v>
      </c>
      <c r="D387" s="1">
        <v>11.28</v>
      </c>
      <c r="E387" s="2"/>
      <c r="F387" s="2"/>
      <c r="G387" s="2"/>
      <c r="H387" s="2"/>
      <c r="I387" s="2"/>
      <c r="J387" s="2"/>
      <c r="K387" s="2"/>
      <c r="L387" s="2"/>
      <c r="M387" s="1">
        <v>102.8</v>
      </c>
      <c r="N387" s="1">
        <v>747.2</v>
      </c>
      <c r="O387" s="1">
        <v>0.1043</v>
      </c>
      <c r="P387" s="1">
        <v>0.12989999999999999</v>
      </c>
      <c r="Q387" s="1">
        <v>0.1191</v>
      </c>
      <c r="R387" s="1">
        <v>6.2109999999999999E-2</v>
      </c>
      <c r="S387" s="1">
        <v>0.1784</v>
      </c>
      <c r="T387" s="1">
        <v>6.2590000000000007E-2</v>
      </c>
      <c r="U387" s="1">
        <v>0.16300000000000001</v>
      </c>
      <c r="V387" s="1">
        <v>0.3871</v>
      </c>
      <c r="W387" s="1">
        <v>1.143</v>
      </c>
      <c r="X387" s="1">
        <v>13.87</v>
      </c>
      <c r="Y387" s="1">
        <v>6.0340000000000003E-3</v>
      </c>
      <c r="Z387" s="1">
        <v>1.8200000000000001E-2</v>
      </c>
      <c r="AA387" s="1">
        <v>3.3360000000000001E-2</v>
      </c>
      <c r="AB387" s="1">
        <v>1.0670000000000001E-2</v>
      </c>
      <c r="AC387" s="1">
        <v>1.175E-2</v>
      </c>
      <c r="AD387" s="1">
        <v>2.2560000000000002E-3</v>
      </c>
      <c r="AE387" s="1">
        <v>17.010000000000002</v>
      </c>
      <c r="AF387" s="1">
        <v>14.2</v>
      </c>
      <c r="AG387" s="1">
        <v>112.5</v>
      </c>
      <c r="AH387" s="1">
        <v>854.3</v>
      </c>
      <c r="AI387" s="1">
        <v>0.15409999999999999</v>
      </c>
      <c r="AJ387" s="1">
        <v>0.2979</v>
      </c>
      <c r="AK387" s="1">
        <v>0.40039999999999998</v>
      </c>
      <c r="AL387" s="1">
        <v>0.1452</v>
      </c>
      <c r="AM387" s="1">
        <v>0.25569999999999998</v>
      </c>
      <c r="AN387" s="1">
        <v>8.1809999999999994E-2</v>
      </c>
    </row>
    <row r="388" spans="1:40" s="1" customFormat="1" ht="15" x14ac:dyDescent="0.25">
      <c r="A388" s="1">
        <v>913063</v>
      </c>
      <c r="B388" s="1" t="s">
        <v>37</v>
      </c>
      <c r="C388" s="1">
        <v>12.45</v>
      </c>
      <c r="D388" s="1">
        <v>16.41</v>
      </c>
      <c r="E388" s="2"/>
      <c r="F388" s="2"/>
      <c r="G388" s="2"/>
      <c r="H388" s="2"/>
      <c r="I388" s="2"/>
      <c r="J388" s="2"/>
      <c r="K388" s="2"/>
      <c r="L388" s="2"/>
      <c r="M388" s="1">
        <v>82.85</v>
      </c>
      <c r="N388" s="1">
        <v>476.7</v>
      </c>
      <c r="O388" s="1">
        <v>9.5140000000000002E-2</v>
      </c>
      <c r="P388" s="1">
        <v>0.15110000000000001</v>
      </c>
      <c r="Q388" s="1">
        <v>0.15440000000000001</v>
      </c>
      <c r="R388" s="1">
        <v>4.8460000000000003E-2</v>
      </c>
      <c r="S388" s="1">
        <v>0.2082</v>
      </c>
      <c r="T388" s="1">
        <v>7.3249999999999996E-2</v>
      </c>
      <c r="U388" s="1">
        <v>0.3921</v>
      </c>
      <c r="V388" s="1">
        <v>1.2070000000000001</v>
      </c>
      <c r="W388" s="1">
        <v>5.0039999999999996</v>
      </c>
      <c r="X388" s="1">
        <v>30.19</v>
      </c>
      <c r="Y388" s="1">
        <v>7.234E-3</v>
      </c>
      <c r="Z388" s="1">
        <v>7.4709999999999999E-2</v>
      </c>
      <c r="AA388" s="1">
        <v>0.1114</v>
      </c>
      <c r="AB388" s="1">
        <v>2.7210000000000002E-2</v>
      </c>
      <c r="AC388" s="1">
        <v>3.2320000000000002E-2</v>
      </c>
      <c r="AD388" s="1">
        <v>9.6270000000000001E-3</v>
      </c>
      <c r="AE388" s="1">
        <v>13.78</v>
      </c>
      <c r="AF388" s="1">
        <v>21.03</v>
      </c>
      <c r="AG388" s="1">
        <v>97.82</v>
      </c>
      <c r="AH388" s="1">
        <v>580.6</v>
      </c>
      <c r="AI388" s="1">
        <v>0.11749999999999999</v>
      </c>
      <c r="AJ388" s="1">
        <v>0.40610000000000002</v>
      </c>
      <c r="AK388" s="1">
        <v>0.48959999999999998</v>
      </c>
      <c r="AL388" s="1">
        <v>0.13420000000000001</v>
      </c>
      <c r="AM388" s="1">
        <v>0.3231</v>
      </c>
      <c r="AN388" s="1">
        <v>0.10340000000000001</v>
      </c>
    </row>
    <row r="389" spans="1:40" s="1" customFormat="1" ht="15" x14ac:dyDescent="0.25">
      <c r="A389" s="1">
        <v>913102</v>
      </c>
      <c r="B389" s="1" t="s">
        <v>37</v>
      </c>
      <c r="C389" s="1">
        <v>14.64</v>
      </c>
      <c r="D389" s="1">
        <v>16.850000000000001</v>
      </c>
      <c r="E389" s="2"/>
      <c r="F389" s="2"/>
      <c r="G389" s="2"/>
      <c r="H389" s="2"/>
      <c r="I389" s="2"/>
      <c r="J389" s="2"/>
      <c r="K389" s="2"/>
      <c r="L389" s="2"/>
      <c r="M389" s="1">
        <v>94.21</v>
      </c>
      <c r="N389" s="1">
        <v>666</v>
      </c>
      <c r="O389" s="1">
        <v>8.6410000000000001E-2</v>
      </c>
      <c r="P389" s="1">
        <v>6.6979999999999998E-2</v>
      </c>
      <c r="Q389" s="1">
        <v>5.1920000000000001E-2</v>
      </c>
      <c r="R389" s="1">
        <v>2.7910000000000001E-2</v>
      </c>
      <c r="S389" s="1">
        <v>0.1409</v>
      </c>
      <c r="T389" s="1">
        <v>5.355E-2</v>
      </c>
      <c r="U389" s="1">
        <v>0.22040000000000001</v>
      </c>
      <c r="V389" s="1">
        <v>1.006</v>
      </c>
      <c r="W389" s="1">
        <v>1.4710000000000001</v>
      </c>
      <c r="X389" s="1">
        <v>19.98</v>
      </c>
      <c r="Y389" s="1">
        <v>3.5349999999999999E-3</v>
      </c>
      <c r="Z389" s="1">
        <v>1.393E-2</v>
      </c>
      <c r="AA389" s="1">
        <v>1.7999999999999999E-2</v>
      </c>
      <c r="AB389" s="1">
        <v>6.1440000000000002E-3</v>
      </c>
      <c r="AC389" s="1">
        <v>1.2540000000000001E-2</v>
      </c>
      <c r="AD389" s="1">
        <v>1.219E-3</v>
      </c>
      <c r="AE389" s="1">
        <v>16.46</v>
      </c>
      <c r="AF389" s="1">
        <v>25.44</v>
      </c>
      <c r="AG389" s="1">
        <v>106</v>
      </c>
      <c r="AH389" s="1">
        <v>831</v>
      </c>
      <c r="AI389" s="1">
        <v>0.1142</v>
      </c>
      <c r="AJ389" s="1">
        <v>0.20699999999999999</v>
      </c>
      <c r="AK389" s="1">
        <v>0.2437</v>
      </c>
      <c r="AL389" s="1">
        <v>7.8280000000000002E-2</v>
      </c>
      <c r="AM389" s="1">
        <v>0.2455</v>
      </c>
      <c r="AN389" s="1">
        <v>6.5960000000000005E-2</v>
      </c>
    </row>
    <row r="390" spans="1:40" s="1" customFormat="1" ht="15" x14ac:dyDescent="0.25">
      <c r="A390" s="1">
        <v>913505</v>
      </c>
      <c r="B390" s="1" t="s">
        <v>36</v>
      </c>
      <c r="C390" s="1">
        <v>19.440000000000001</v>
      </c>
      <c r="D390" s="1">
        <v>18.82</v>
      </c>
      <c r="E390" s="2"/>
      <c r="F390" s="2"/>
      <c r="G390" s="2"/>
      <c r="H390" s="2"/>
      <c r="I390" s="2"/>
      <c r="J390" s="2"/>
      <c r="K390" s="2"/>
      <c r="L390" s="2"/>
      <c r="M390" s="1">
        <v>128.1</v>
      </c>
      <c r="N390" s="1">
        <v>1167</v>
      </c>
      <c r="O390" s="1">
        <v>0.1089</v>
      </c>
      <c r="P390" s="1">
        <v>0.14480000000000001</v>
      </c>
      <c r="Q390" s="1">
        <v>0.22559999999999999</v>
      </c>
      <c r="R390" s="1">
        <v>0.11940000000000001</v>
      </c>
      <c r="S390" s="1">
        <v>0.18229999999999999</v>
      </c>
      <c r="T390" s="1">
        <v>6.1150000000000003E-2</v>
      </c>
      <c r="U390" s="1">
        <v>0.56589999999999996</v>
      </c>
      <c r="V390" s="1">
        <v>1.4079999999999999</v>
      </c>
      <c r="W390" s="1">
        <v>3.6309999999999998</v>
      </c>
      <c r="X390" s="1">
        <v>67.739999999999995</v>
      </c>
      <c r="Y390" s="1">
        <v>5.2880000000000002E-3</v>
      </c>
      <c r="Z390" s="1">
        <v>2.8330000000000001E-2</v>
      </c>
      <c r="AA390" s="1">
        <v>4.2560000000000001E-2</v>
      </c>
      <c r="AB390" s="1">
        <v>1.176E-2</v>
      </c>
      <c r="AC390" s="1">
        <v>1.7170000000000001E-2</v>
      </c>
      <c r="AD390" s="1">
        <v>3.2109999999999999E-3</v>
      </c>
      <c r="AE390" s="1">
        <v>23.96</v>
      </c>
      <c r="AF390" s="1">
        <v>30.39</v>
      </c>
      <c r="AG390" s="1">
        <v>153.9</v>
      </c>
      <c r="AH390" s="1">
        <v>1740</v>
      </c>
      <c r="AI390" s="1">
        <v>0.15140000000000001</v>
      </c>
      <c r="AJ390" s="1">
        <v>0.3725</v>
      </c>
      <c r="AK390" s="1">
        <v>0.59360000000000002</v>
      </c>
      <c r="AL390" s="1">
        <v>0.20599999999999999</v>
      </c>
      <c r="AM390" s="1">
        <v>0.3266</v>
      </c>
      <c r="AN390" s="1">
        <v>9.0090000000000003E-2</v>
      </c>
    </row>
    <row r="391" spans="1:40" s="1" customFormat="1" ht="15" x14ac:dyDescent="0.25">
      <c r="A391" s="1">
        <v>913512</v>
      </c>
      <c r="B391" s="1" t="s">
        <v>37</v>
      </c>
      <c r="C391" s="1">
        <v>11.68</v>
      </c>
      <c r="D391" s="1">
        <v>16.170000000000002</v>
      </c>
      <c r="E391" s="2"/>
      <c r="F391" s="2"/>
      <c r="G391" s="2"/>
      <c r="H391" s="2"/>
      <c r="I391" s="2"/>
      <c r="J391" s="2"/>
      <c r="K391" s="2"/>
      <c r="L391" s="2"/>
      <c r="M391" s="1">
        <v>75.489999999999995</v>
      </c>
      <c r="N391" s="1">
        <v>420.5</v>
      </c>
      <c r="O391" s="1">
        <v>0.1128</v>
      </c>
      <c r="P391" s="1">
        <v>9.2630000000000004E-2</v>
      </c>
      <c r="Q391" s="1">
        <v>4.2790000000000002E-2</v>
      </c>
      <c r="R391" s="1">
        <v>3.1320000000000001E-2</v>
      </c>
      <c r="S391" s="1">
        <v>0.18529999999999999</v>
      </c>
      <c r="T391" s="1">
        <v>6.4009999999999997E-2</v>
      </c>
      <c r="U391" s="1">
        <v>0.37130000000000002</v>
      </c>
      <c r="V391" s="1">
        <v>1.1539999999999999</v>
      </c>
      <c r="W391" s="1">
        <v>2.5539999999999998</v>
      </c>
      <c r="X391" s="1">
        <v>27.57</v>
      </c>
      <c r="Y391" s="1">
        <v>8.9980000000000008E-3</v>
      </c>
      <c r="Z391" s="1">
        <v>1.2919999999999999E-2</v>
      </c>
      <c r="AA391" s="1">
        <v>1.8509999999999999E-2</v>
      </c>
      <c r="AB391" s="1">
        <v>1.167E-2</v>
      </c>
      <c r="AC391" s="1">
        <v>2.1520000000000001E-2</v>
      </c>
      <c r="AD391" s="1">
        <v>3.2130000000000001E-3</v>
      </c>
      <c r="AE391" s="1">
        <v>13.32</v>
      </c>
      <c r="AF391" s="1">
        <v>21.59</v>
      </c>
      <c r="AG391" s="1">
        <v>86.57</v>
      </c>
      <c r="AH391" s="1">
        <v>549.79999999999995</v>
      </c>
      <c r="AI391" s="1">
        <v>0.15260000000000001</v>
      </c>
      <c r="AJ391" s="1">
        <v>0.1477</v>
      </c>
      <c r="AK391" s="1">
        <v>0.14899999999999999</v>
      </c>
      <c r="AL391" s="1">
        <v>9.8150000000000001E-2</v>
      </c>
      <c r="AM391" s="1">
        <v>0.28039999999999998</v>
      </c>
      <c r="AN391" s="1">
        <v>8.0240000000000006E-2</v>
      </c>
    </row>
    <row r="392" spans="1:40" s="1" customFormat="1" ht="15" x14ac:dyDescent="0.25">
      <c r="A392" s="1">
        <v>913535</v>
      </c>
      <c r="B392" s="1" t="s">
        <v>36</v>
      </c>
      <c r="C392" s="1">
        <v>16.690000000000001</v>
      </c>
      <c r="D392" s="1">
        <v>20.2</v>
      </c>
      <c r="E392" s="2"/>
      <c r="F392" s="2"/>
      <c r="G392" s="2"/>
      <c r="H392" s="2"/>
      <c r="I392" s="2"/>
      <c r="J392" s="2"/>
      <c r="K392" s="2"/>
      <c r="L392" s="2"/>
      <c r="M392" s="1">
        <v>107.1</v>
      </c>
      <c r="N392" s="1">
        <v>857.6</v>
      </c>
      <c r="O392" s="1">
        <v>7.4969999999999995E-2</v>
      </c>
      <c r="P392" s="1">
        <v>7.1120000000000003E-2</v>
      </c>
      <c r="Q392" s="1">
        <v>3.6490000000000002E-2</v>
      </c>
      <c r="R392" s="1">
        <v>2.307E-2</v>
      </c>
      <c r="S392" s="1">
        <v>0.18459999999999999</v>
      </c>
      <c r="T392" s="1">
        <v>5.3249999999999999E-2</v>
      </c>
      <c r="U392" s="1">
        <v>0.24729999999999999</v>
      </c>
      <c r="V392" s="1">
        <v>0.56789999999999996</v>
      </c>
      <c r="W392" s="1">
        <v>1.7749999999999999</v>
      </c>
      <c r="X392" s="1">
        <v>22.95</v>
      </c>
      <c r="Y392" s="1">
        <v>2.6670000000000001E-3</v>
      </c>
      <c r="Z392" s="1">
        <v>1.4460000000000001E-2</v>
      </c>
      <c r="AA392" s="1">
        <v>1.423E-2</v>
      </c>
      <c r="AB392" s="1">
        <v>5.2969999999999996E-3</v>
      </c>
      <c r="AC392" s="1">
        <v>1.9609999999999999E-2</v>
      </c>
      <c r="AD392" s="1">
        <v>1.6999999999999999E-3</v>
      </c>
      <c r="AE392" s="1">
        <v>19.18</v>
      </c>
      <c r="AF392" s="1">
        <v>26.56</v>
      </c>
      <c r="AG392" s="1">
        <v>127.3</v>
      </c>
      <c r="AH392" s="1">
        <v>1084</v>
      </c>
      <c r="AI392" s="1">
        <v>0.1009</v>
      </c>
      <c r="AJ392" s="1">
        <v>0.29199999999999998</v>
      </c>
      <c r="AK392" s="1">
        <v>0.2477</v>
      </c>
      <c r="AL392" s="1">
        <v>8.7370000000000003E-2</v>
      </c>
      <c r="AM392" s="1">
        <v>0.4677</v>
      </c>
      <c r="AN392" s="1">
        <v>7.6230000000000006E-2</v>
      </c>
    </row>
    <row r="393" spans="1:40" s="1" customFormat="1" ht="15" x14ac:dyDescent="0.25">
      <c r="A393" s="1">
        <v>91376701</v>
      </c>
      <c r="B393" s="1" t="s">
        <v>37</v>
      </c>
      <c r="C393" s="1">
        <v>12.25</v>
      </c>
      <c r="D393" s="1">
        <v>22.44</v>
      </c>
      <c r="E393" s="2"/>
      <c r="F393" s="2"/>
      <c r="G393" s="2"/>
      <c r="H393" s="2"/>
      <c r="I393" s="2"/>
      <c r="J393" s="2"/>
      <c r="K393" s="2"/>
      <c r="L393" s="2"/>
      <c r="M393" s="1">
        <v>78.180000000000007</v>
      </c>
      <c r="N393" s="1">
        <v>466.5</v>
      </c>
      <c r="O393" s="1">
        <v>8.1920000000000007E-2</v>
      </c>
      <c r="P393" s="1">
        <v>5.1999999999999998E-2</v>
      </c>
      <c r="Q393" s="1">
        <v>1.7139999999999999E-2</v>
      </c>
      <c r="R393" s="1">
        <v>1.261E-2</v>
      </c>
      <c r="S393" s="1">
        <v>0.15440000000000001</v>
      </c>
      <c r="T393" s="1">
        <v>5.9760000000000001E-2</v>
      </c>
      <c r="U393" s="1">
        <v>0.22389999999999999</v>
      </c>
      <c r="V393" s="1">
        <v>1.139</v>
      </c>
      <c r="W393" s="1">
        <v>1.577</v>
      </c>
      <c r="X393" s="1">
        <v>18.04</v>
      </c>
      <c r="Y393" s="1">
        <v>5.0959999999999998E-3</v>
      </c>
      <c r="Z393" s="1">
        <v>1.205E-2</v>
      </c>
      <c r="AA393" s="1">
        <v>9.41E-3</v>
      </c>
      <c r="AB393" s="1">
        <v>4.5510000000000004E-3</v>
      </c>
      <c r="AC393" s="1">
        <v>1.6080000000000001E-2</v>
      </c>
      <c r="AD393" s="1">
        <v>2.3990000000000001E-3</v>
      </c>
      <c r="AE393" s="1">
        <v>14.17</v>
      </c>
      <c r="AF393" s="1">
        <v>31.99</v>
      </c>
      <c r="AG393" s="1">
        <v>92.74</v>
      </c>
      <c r="AH393" s="1">
        <v>622.9</v>
      </c>
      <c r="AI393" s="1">
        <v>0.12559999999999999</v>
      </c>
      <c r="AJ393" s="1">
        <v>0.1804</v>
      </c>
      <c r="AK393" s="1">
        <v>0.123</v>
      </c>
      <c r="AL393" s="1">
        <v>6.3350000000000004E-2</v>
      </c>
      <c r="AM393" s="1">
        <v>0.31</v>
      </c>
      <c r="AN393" s="1">
        <v>8.2030000000000006E-2</v>
      </c>
    </row>
    <row r="394" spans="1:40" s="1" customFormat="1" ht="15" x14ac:dyDescent="0.25">
      <c r="A394" s="1">
        <v>91376702</v>
      </c>
      <c r="B394" s="1" t="s">
        <v>37</v>
      </c>
      <c r="C394" s="1">
        <v>17.850000000000001</v>
      </c>
      <c r="D394" s="1">
        <v>13.23</v>
      </c>
      <c r="E394" s="2"/>
      <c r="F394" s="2"/>
      <c r="G394" s="2"/>
      <c r="H394" s="2"/>
      <c r="I394" s="2"/>
      <c r="J394" s="2"/>
      <c r="K394" s="2"/>
      <c r="L394" s="2"/>
      <c r="M394" s="1">
        <v>114.6</v>
      </c>
      <c r="N394" s="1">
        <v>992.1</v>
      </c>
      <c r="O394" s="1">
        <v>7.8380000000000005E-2</v>
      </c>
      <c r="P394" s="1">
        <v>6.2170000000000003E-2</v>
      </c>
      <c r="Q394" s="1">
        <v>4.4450000000000003E-2</v>
      </c>
      <c r="R394" s="1">
        <v>4.1779999999999998E-2</v>
      </c>
      <c r="S394" s="1">
        <v>0.122</v>
      </c>
      <c r="T394" s="1">
        <v>5.2429999999999997E-2</v>
      </c>
      <c r="U394" s="1">
        <v>0.4834</v>
      </c>
      <c r="V394" s="1">
        <v>1.046</v>
      </c>
      <c r="W394" s="1">
        <v>3.1629999999999998</v>
      </c>
      <c r="X394" s="1">
        <v>50.95</v>
      </c>
      <c r="Y394" s="1">
        <v>4.3689999999999996E-3</v>
      </c>
      <c r="Z394" s="1">
        <v>8.2740000000000001E-3</v>
      </c>
      <c r="AA394" s="1">
        <v>1.153E-2</v>
      </c>
      <c r="AB394" s="1">
        <v>7.437E-3</v>
      </c>
      <c r="AC394" s="1">
        <v>1.302E-2</v>
      </c>
      <c r="AD394" s="1">
        <v>1.3090000000000001E-3</v>
      </c>
      <c r="AE394" s="1">
        <v>19.82</v>
      </c>
      <c r="AF394" s="1">
        <v>18.420000000000002</v>
      </c>
      <c r="AG394" s="1">
        <v>127.1</v>
      </c>
      <c r="AH394" s="1">
        <v>1210</v>
      </c>
      <c r="AI394" s="1">
        <v>9.8619999999999999E-2</v>
      </c>
      <c r="AJ394" s="1">
        <v>9.9760000000000001E-2</v>
      </c>
      <c r="AK394" s="1">
        <v>0.1048</v>
      </c>
      <c r="AL394" s="1">
        <v>8.3409999999999998E-2</v>
      </c>
      <c r="AM394" s="1">
        <v>0.17829999999999999</v>
      </c>
      <c r="AN394" s="1">
        <v>5.8709999999999998E-2</v>
      </c>
    </row>
    <row r="395" spans="1:40" s="1" customFormat="1" ht="15" x14ac:dyDescent="0.25">
      <c r="A395" s="1">
        <v>914062</v>
      </c>
      <c r="B395" s="1" t="s">
        <v>36</v>
      </c>
      <c r="C395" s="1">
        <v>18.010000000000002</v>
      </c>
      <c r="D395" s="1">
        <v>20.56</v>
      </c>
      <c r="E395" s="2"/>
      <c r="F395" s="2"/>
      <c r="G395" s="2"/>
      <c r="H395" s="2"/>
      <c r="I395" s="2"/>
      <c r="J395" s="2"/>
      <c r="K395" s="2"/>
      <c r="L395" s="2"/>
      <c r="M395" s="1">
        <v>118.4</v>
      </c>
      <c r="N395" s="1">
        <v>1007</v>
      </c>
      <c r="O395" s="1">
        <v>0.10009999999999999</v>
      </c>
      <c r="P395" s="1">
        <v>0.12889999999999999</v>
      </c>
      <c r="Q395" s="1">
        <v>0.11700000000000001</v>
      </c>
      <c r="R395" s="1">
        <v>7.7619999999999995E-2</v>
      </c>
      <c r="S395" s="1">
        <v>0.21160000000000001</v>
      </c>
      <c r="T395" s="1">
        <v>6.0769999999999998E-2</v>
      </c>
      <c r="U395" s="1">
        <v>0.75480000000000003</v>
      </c>
      <c r="V395" s="1">
        <v>1.288</v>
      </c>
      <c r="W395" s="1">
        <v>5.3529999999999998</v>
      </c>
      <c r="X395" s="1">
        <v>89.74</v>
      </c>
      <c r="Y395" s="1">
        <v>7.9970000000000006E-3</v>
      </c>
      <c r="Z395" s="1">
        <v>2.7E-2</v>
      </c>
      <c r="AA395" s="1">
        <v>3.737E-2</v>
      </c>
      <c r="AB395" s="1">
        <v>1.6480000000000002E-2</v>
      </c>
      <c r="AC395" s="1">
        <v>2.8969999999999999E-2</v>
      </c>
      <c r="AD395" s="1">
        <v>3.9960000000000004E-3</v>
      </c>
      <c r="AE395" s="1">
        <v>21.53</v>
      </c>
      <c r="AF395" s="1">
        <v>26.06</v>
      </c>
      <c r="AG395" s="1">
        <v>143.4</v>
      </c>
      <c r="AH395" s="1">
        <v>1426</v>
      </c>
      <c r="AI395" s="1">
        <v>0.13089999999999999</v>
      </c>
      <c r="AJ395" s="1">
        <v>0.23269999999999999</v>
      </c>
      <c r="AK395" s="1">
        <v>0.25440000000000002</v>
      </c>
      <c r="AL395" s="1">
        <v>0.1489</v>
      </c>
      <c r="AM395" s="1">
        <v>0.3251</v>
      </c>
      <c r="AN395" s="1">
        <v>7.6249999999999998E-2</v>
      </c>
    </row>
    <row r="396" spans="1:40" s="1" customFormat="1" ht="15" x14ac:dyDescent="0.25">
      <c r="A396" s="1">
        <v>914101</v>
      </c>
      <c r="B396" s="1" t="s">
        <v>37</v>
      </c>
      <c r="C396" s="1">
        <v>12.46</v>
      </c>
      <c r="D396" s="1">
        <v>12.83</v>
      </c>
      <c r="E396" s="2"/>
      <c r="F396" s="2"/>
      <c r="G396" s="2"/>
      <c r="H396" s="2"/>
      <c r="I396" s="2"/>
      <c r="J396" s="2"/>
      <c r="K396" s="2"/>
      <c r="L396" s="2"/>
      <c r="M396" s="1">
        <v>78.83</v>
      </c>
      <c r="N396" s="1">
        <v>477.3</v>
      </c>
      <c r="O396" s="1">
        <v>7.3719999999999994E-2</v>
      </c>
      <c r="P396" s="1">
        <v>4.0430000000000001E-2</v>
      </c>
      <c r="Q396" s="1">
        <v>7.1729999999999997E-3</v>
      </c>
      <c r="R396" s="1">
        <v>1.149E-2</v>
      </c>
      <c r="S396" s="1">
        <v>0.1613</v>
      </c>
      <c r="T396" s="1">
        <v>6.0130000000000003E-2</v>
      </c>
      <c r="U396" s="1">
        <v>0.3276</v>
      </c>
      <c r="V396" s="1">
        <v>1.486</v>
      </c>
      <c r="W396" s="1">
        <v>2.1080000000000001</v>
      </c>
      <c r="X396" s="1">
        <v>24.6</v>
      </c>
      <c r="Y396" s="1">
        <v>1.039E-2</v>
      </c>
      <c r="Z396" s="1">
        <v>1.0030000000000001E-2</v>
      </c>
      <c r="AA396" s="1">
        <v>6.4159999999999998E-3</v>
      </c>
      <c r="AB396" s="1">
        <v>7.8949999999999992E-3</v>
      </c>
      <c r="AC396" s="1">
        <v>2.869E-2</v>
      </c>
      <c r="AD396" s="1">
        <v>4.8209999999999998E-3</v>
      </c>
      <c r="AE396" s="1">
        <v>13.19</v>
      </c>
      <c r="AF396" s="1">
        <v>16.36</v>
      </c>
      <c r="AG396" s="1">
        <v>83.24</v>
      </c>
      <c r="AH396" s="1">
        <v>534</v>
      </c>
      <c r="AI396" s="1">
        <v>9.4390000000000002E-2</v>
      </c>
      <c r="AJ396" s="1">
        <v>6.4769999999999994E-2</v>
      </c>
      <c r="AK396" s="1">
        <v>1.6740000000000001E-2</v>
      </c>
      <c r="AL396" s="1">
        <v>2.6800000000000001E-2</v>
      </c>
      <c r="AM396" s="1">
        <v>0.22800000000000001</v>
      </c>
      <c r="AN396" s="1">
        <v>7.0279999999999995E-2</v>
      </c>
    </row>
    <row r="397" spans="1:40" s="1" customFormat="1" ht="15" x14ac:dyDescent="0.25">
      <c r="A397" s="1">
        <v>914102</v>
      </c>
      <c r="B397" s="1" t="s">
        <v>37</v>
      </c>
      <c r="C397" s="1">
        <v>13.16</v>
      </c>
      <c r="D397" s="1">
        <v>20.54</v>
      </c>
      <c r="E397" s="2"/>
      <c r="F397" s="2"/>
      <c r="G397" s="2"/>
      <c r="H397" s="2"/>
      <c r="I397" s="2"/>
      <c r="J397" s="2"/>
      <c r="K397" s="2"/>
      <c r="L397" s="2"/>
      <c r="M397" s="1">
        <v>84.06</v>
      </c>
      <c r="N397" s="1">
        <v>538.70000000000005</v>
      </c>
      <c r="O397" s="1">
        <v>7.3349999999999999E-2</v>
      </c>
      <c r="P397" s="1">
        <v>5.2749999999999998E-2</v>
      </c>
      <c r="Q397" s="1">
        <v>1.7999999999999999E-2</v>
      </c>
      <c r="R397" s="1">
        <v>1.256E-2</v>
      </c>
      <c r="S397" s="1">
        <v>0.17130000000000001</v>
      </c>
      <c r="T397" s="1">
        <v>5.8880000000000002E-2</v>
      </c>
      <c r="U397" s="1">
        <v>0.32369999999999999</v>
      </c>
      <c r="V397" s="1">
        <v>1.4730000000000001</v>
      </c>
      <c r="W397" s="1">
        <v>2.3260000000000001</v>
      </c>
      <c r="X397" s="1">
        <v>26.07</v>
      </c>
      <c r="Y397" s="1">
        <v>7.8019999999999999E-3</v>
      </c>
      <c r="Z397" s="1">
        <v>2.052E-2</v>
      </c>
      <c r="AA397" s="1">
        <v>1.341E-2</v>
      </c>
      <c r="AB397" s="1">
        <v>5.5640000000000004E-3</v>
      </c>
      <c r="AC397" s="1">
        <v>2.086E-2</v>
      </c>
      <c r="AD397" s="1">
        <v>2.7009999999999998E-3</v>
      </c>
      <c r="AE397" s="1">
        <v>14.5</v>
      </c>
      <c r="AF397" s="1">
        <v>28.46</v>
      </c>
      <c r="AG397" s="1">
        <v>95.29</v>
      </c>
      <c r="AH397" s="1">
        <v>648.29999999999995</v>
      </c>
      <c r="AI397" s="1">
        <v>0.1118</v>
      </c>
      <c r="AJ397" s="1">
        <v>0.1646</v>
      </c>
      <c r="AK397" s="1">
        <v>7.6980000000000007E-2</v>
      </c>
      <c r="AL397" s="1">
        <v>4.1950000000000001E-2</v>
      </c>
      <c r="AM397" s="1">
        <v>0.26869999999999999</v>
      </c>
      <c r="AN397" s="1">
        <v>7.4289999999999995E-2</v>
      </c>
    </row>
    <row r="398" spans="1:40" s="1" customFormat="1" ht="15" x14ac:dyDescent="0.25">
      <c r="A398" s="1">
        <v>914333</v>
      </c>
      <c r="B398" s="1" t="s">
        <v>37</v>
      </c>
      <c r="C398" s="1">
        <v>14.87</v>
      </c>
      <c r="D398" s="1">
        <v>20.21</v>
      </c>
      <c r="E398" s="2"/>
      <c r="F398" s="2"/>
      <c r="G398" s="2"/>
      <c r="H398" s="2"/>
      <c r="I398" s="2"/>
      <c r="J398" s="2"/>
      <c r="K398" s="2"/>
      <c r="L398" s="2"/>
      <c r="M398" s="1">
        <v>96.12</v>
      </c>
      <c r="N398" s="1">
        <v>680.9</v>
      </c>
      <c r="O398" s="1">
        <v>9.5869999999999997E-2</v>
      </c>
      <c r="P398" s="1">
        <v>8.3449999999999996E-2</v>
      </c>
      <c r="Q398" s="1">
        <v>6.8239999999999995E-2</v>
      </c>
      <c r="R398" s="1">
        <v>4.9509999999999998E-2</v>
      </c>
      <c r="S398" s="1">
        <v>0.1487</v>
      </c>
      <c r="T398" s="1">
        <v>5.7480000000000003E-2</v>
      </c>
      <c r="U398" s="1">
        <v>0.23230000000000001</v>
      </c>
      <c r="V398" s="1">
        <v>1.6359999999999999</v>
      </c>
      <c r="W398" s="1">
        <v>1.5960000000000001</v>
      </c>
      <c r="X398" s="1">
        <v>21.84</v>
      </c>
      <c r="Y398" s="1">
        <v>5.4149999999999997E-3</v>
      </c>
      <c r="Z398" s="1">
        <v>1.371E-2</v>
      </c>
      <c r="AA398" s="1">
        <v>2.1530000000000001E-2</v>
      </c>
      <c r="AB398" s="1">
        <v>1.183E-2</v>
      </c>
      <c r="AC398" s="1">
        <v>1.959E-2</v>
      </c>
      <c r="AD398" s="1">
        <v>1.812E-3</v>
      </c>
      <c r="AE398" s="1">
        <v>16.010000000000002</v>
      </c>
      <c r="AF398" s="1">
        <v>28.48</v>
      </c>
      <c r="AG398" s="1">
        <v>103.9</v>
      </c>
      <c r="AH398" s="1">
        <v>783.6</v>
      </c>
      <c r="AI398" s="1">
        <v>0.1216</v>
      </c>
      <c r="AJ398" s="1">
        <v>0.13880000000000001</v>
      </c>
      <c r="AK398" s="1">
        <v>0.17</v>
      </c>
      <c r="AL398" s="1">
        <v>0.1017</v>
      </c>
      <c r="AM398" s="1">
        <v>0.2369</v>
      </c>
      <c r="AN398" s="1">
        <v>6.5989999999999993E-2</v>
      </c>
    </row>
    <row r="399" spans="1:40" s="1" customFormat="1" ht="15" x14ac:dyDescent="0.25">
      <c r="A399" s="1">
        <v>914366</v>
      </c>
      <c r="B399" s="1" t="s">
        <v>37</v>
      </c>
      <c r="C399" s="1">
        <v>12.65</v>
      </c>
      <c r="D399" s="1">
        <v>18.170000000000002</v>
      </c>
      <c r="E399" s="2"/>
      <c r="F399" s="2"/>
      <c r="G399" s="2"/>
      <c r="H399" s="2"/>
      <c r="I399" s="2"/>
      <c r="J399" s="2"/>
      <c r="K399" s="2"/>
      <c r="L399" s="2"/>
      <c r="M399" s="1">
        <v>82.69</v>
      </c>
      <c r="N399" s="1">
        <v>485.6</v>
      </c>
      <c r="O399" s="1">
        <v>0.1076</v>
      </c>
      <c r="P399" s="1">
        <v>0.13339999999999999</v>
      </c>
      <c r="Q399" s="1">
        <v>8.0170000000000005E-2</v>
      </c>
      <c r="R399" s="1">
        <v>5.074E-2</v>
      </c>
      <c r="S399" s="1">
        <v>0.1641</v>
      </c>
      <c r="T399" s="1">
        <v>6.8540000000000004E-2</v>
      </c>
      <c r="U399" s="1">
        <v>0.2324</v>
      </c>
      <c r="V399" s="1">
        <v>0.63319999999999999</v>
      </c>
      <c r="W399" s="1">
        <v>1.696</v>
      </c>
      <c r="X399" s="1">
        <v>18.399999999999999</v>
      </c>
      <c r="Y399" s="1">
        <v>5.7039999999999999E-3</v>
      </c>
      <c r="Z399" s="1">
        <v>2.5020000000000001E-2</v>
      </c>
      <c r="AA399" s="1">
        <v>2.6360000000000001E-2</v>
      </c>
      <c r="AB399" s="1">
        <v>1.0319999999999999E-2</v>
      </c>
      <c r="AC399" s="1">
        <v>1.7590000000000001E-2</v>
      </c>
      <c r="AD399" s="1">
        <v>3.5630000000000002E-3</v>
      </c>
      <c r="AE399" s="1">
        <v>14.38</v>
      </c>
      <c r="AF399" s="1">
        <v>22.15</v>
      </c>
      <c r="AG399" s="1">
        <v>95.29</v>
      </c>
      <c r="AH399" s="1">
        <v>633.70000000000005</v>
      </c>
      <c r="AI399" s="1">
        <v>0.15329999999999999</v>
      </c>
      <c r="AJ399" s="1">
        <v>0.38419999999999999</v>
      </c>
      <c r="AK399" s="1">
        <v>0.35820000000000002</v>
      </c>
      <c r="AL399" s="1">
        <v>0.14069999999999999</v>
      </c>
      <c r="AM399" s="1">
        <v>0.32300000000000001</v>
      </c>
      <c r="AN399" s="1">
        <v>0.1033</v>
      </c>
    </row>
    <row r="400" spans="1:40" s="1" customFormat="1" ht="15" x14ac:dyDescent="0.25">
      <c r="A400" s="1">
        <v>914580</v>
      </c>
      <c r="B400" s="1" t="s">
        <v>37</v>
      </c>
      <c r="C400" s="1">
        <v>12.47</v>
      </c>
      <c r="D400" s="1">
        <v>17.309999999999999</v>
      </c>
      <c r="E400" s="2"/>
      <c r="F400" s="2"/>
      <c r="G400" s="2"/>
      <c r="H400" s="2"/>
      <c r="I400" s="2"/>
      <c r="J400" s="2"/>
      <c r="K400" s="2"/>
      <c r="L400" s="2"/>
      <c r="M400" s="1">
        <v>80.45</v>
      </c>
      <c r="N400" s="1">
        <v>480.1</v>
      </c>
      <c r="O400" s="1">
        <v>8.9279999999999998E-2</v>
      </c>
      <c r="P400" s="1">
        <v>7.6300000000000007E-2</v>
      </c>
      <c r="Q400" s="1">
        <v>3.6089999999999997E-2</v>
      </c>
      <c r="R400" s="1">
        <v>2.3689999999999999E-2</v>
      </c>
      <c r="S400" s="1">
        <v>0.15260000000000001</v>
      </c>
      <c r="T400" s="1">
        <v>6.046E-2</v>
      </c>
      <c r="U400" s="1">
        <v>0.1532</v>
      </c>
      <c r="V400" s="1">
        <v>0.78100000000000003</v>
      </c>
      <c r="W400" s="1">
        <v>1.2529999999999999</v>
      </c>
      <c r="X400" s="1">
        <v>11.91</v>
      </c>
      <c r="Y400" s="1">
        <v>3.7959999999999999E-3</v>
      </c>
      <c r="Z400" s="1">
        <v>1.371E-2</v>
      </c>
      <c r="AA400" s="1">
        <v>1.346E-2</v>
      </c>
      <c r="AB400" s="1">
        <v>7.0959999999999999E-3</v>
      </c>
      <c r="AC400" s="1">
        <v>1.536E-2</v>
      </c>
      <c r="AD400" s="1">
        <v>1.5410000000000001E-3</v>
      </c>
      <c r="AE400" s="1">
        <v>14.06</v>
      </c>
      <c r="AF400" s="1">
        <v>24.34</v>
      </c>
      <c r="AG400" s="1">
        <v>92.82</v>
      </c>
      <c r="AH400" s="1">
        <v>607.29999999999995</v>
      </c>
      <c r="AI400" s="1">
        <v>0.12759999999999999</v>
      </c>
      <c r="AJ400" s="1">
        <v>0.25059999999999999</v>
      </c>
      <c r="AK400" s="1">
        <v>0.20280000000000001</v>
      </c>
      <c r="AL400" s="1">
        <v>0.1053</v>
      </c>
      <c r="AM400" s="1">
        <v>0.30349999999999999</v>
      </c>
      <c r="AN400" s="1">
        <v>7.6609999999999998E-2</v>
      </c>
    </row>
    <row r="401" spans="1:40" s="1" customFormat="1" ht="15" x14ac:dyDescent="0.25">
      <c r="A401" s="1">
        <v>914769</v>
      </c>
      <c r="B401" s="1" t="s">
        <v>36</v>
      </c>
      <c r="C401" s="1">
        <v>18.489999999999998</v>
      </c>
      <c r="D401" s="1">
        <v>17.52</v>
      </c>
      <c r="E401" s="2"/>
      <c r="F401" s="2"/>
      <c r="G401" s="2"/>
      <c r="H401" s="2"/>
      <c r="I401" s="2"/>
      <c r="J401" s="2"/>
      <c r="K401" s="2"/>
      <c r="L401" s="2"/>
      <c r="M401" s="1">
        <v>121.3</v>
      </c>
      <c r="N401" s="1">
        <v>1068</v>
      </c>
      <c r="O401" s="1">
        <v>0.1012</v>
      </c>
      <c r="P401" s="1">
        <v>0.13170000000000001</v>
      </c>
      <c r="Q401" s="1">
        <v>0.14910000000000001</v>
      </c>
      <c r="R401" s="1">
        <v>9.1829999999999995E-2</v>
      </c>
      <c r="S401" s="1">
        <v>0.1832</v>
      </c>
      <c r="T401" s="1">
        <v>6.6970000000000002E-2</v>
      </c>
      <c r="U401" s="1">
        <v>0.7923</v>
      </c>
      <c r="V401" s="1">
        <v>1.0449999999999999</v>
      </c>
      <c r="W401" s="1">
        <v>4.851</v>
      </c>
      <c r="X401" s="1">
        <v>95.77</v>
      </c>
      <c r="Y401" s="1">
        <v>7.9740000000000002E-3</v>
      </c>
      <c r="Z401" s="1">
        <v>3.2140000000000002E-2</v>
      </c>
      <c r="AA401" s="1">
        <v>4.4350000000000001E-2</v>
      </c>
      <c r="AB401" s="1">
        <v>1.5730000000000001E-2</v>
      </c>
      <c r="AC401" s="1">
        <v>1.617E-2</v>
      </c>
      <c r="AD401" s="1">
        <v>5.2550000000000001E-3</v>
      </c>
      <c r="AE401" s="1">
        <v>22.75</v>
      </c>
      <c r="AF401" s="1">
        <v>22.88</v>
      </c>
      <c r="AG401" s="1">
        <v>146.4</v>
      </c>
      <c r="AH401" s="1">
        <v>1600</v>
      </c>
      <c r="AI401" s="1">
        <v>0.14119999999999999</v>
      </c>
      <c r="AJ401" s="1">
        <v>0.30890000000000001</v>
      </c>
      <c r="AK401" s="1">
        <v>0.3533</v>
      </c>
      <c r="AL401" s="1">
        <v>0.1663</v>
      </c>
      <c r="AM401" s="1">
        <v>0.251</v>
      </c>
      <c r="AN401" s="1">
        <v>9.4450000000000006E-2</v>
      </c>
    </row>
    <row r="402" spans="1:40" s="1" customFormat="1" ht="15" x14ac:dyDescent="0.25">
      <c r="A402" s="1">
        <v>91485</v>
      </c>
      <c r="B402" s="1" t="s">
        <v>36</v>
      </c>
      <c r="C402" s="1">
        <v>20.59</v>
      </c>
      <c r="D402" s="1">
        <v>21.24</v>
      </c>
      <c r="E402" s="2"/>
      <c r="F402" s="2"/>
      <c r="G402" s="2"/>
      <c r="H402" s="2"/>
      <c r="I402" s="2"/>
      <c r="J402" s="2"/>
      <c r="K402" s="2"/>
      <c r="L402" s="2"/>
      <c r="M402" s="1">
        <v>137.80000000000001</v>
      </c>
      <c r="N402" s="1">
        <v>1320</v>
      </c>
      <c r="O402" s="1">
        <v>0.1085</v>
      </c>
      <c r="P402" s="1">
        <v>0.16439999999999999</v>
      </c>
      <c r="Q402" s="1">
        <v>0.21879999999999999</v>
      </c>
      <c r="R402" s="1">
        <v>0.11210000000000001</v>
      </c>
      <c r="S402" s="1">
        <v>0.18479999999999999</v>
      </c>
      <c r="T402" s="1">
        <v>6.2219999999999998E-2</v>
      </c>
      <c r="U402" s="1">
        <v>0.59040000000000004</v>
      </c>
      <c r="V402" s="1">
        <v>1.216</v>
      </c>
      <c r="W402" s="1">
        <v>4.2060000000000004</v>
      </c>
      <c r="X402" s="1">
        <v>75.09</v>
      </c>
      <c r="Y402" s="1">
        <v>6.6660000000000001E-3</v>
      </c>
      <c r="Z402" s="1">
        <v>2.7910000000000001E-2</v>
      </c>
      <c r="AA402" s="1">
        <v>4.0620000000000003E-2</v>
      </c>
      <c r="AB402" s="1">
        <v>1.4789999999999999E-2</v>
      </c>
      <c r="AC402" s="1">
        <v>1.1169999999999999E-2</v>
      </c>
      <c r="AD402" s="1">
        <v>3.7269999999999998E-3</v>
      </c>
      <c r="AE402" s="1">
        <v>23.86</v>
      </c>
      <c r="AF402" s="1">
        <v>30.76</v>
      </c>
      <c r="AG402" s="1">
        <v>163.19999999999999</v>
      </c>
      <c r="AH402" s="1">
        <v>1760</v>
      </c>
      <c r="AI402" s="1">
        <v>0.1464</v>
      </c>
      <c r="AJ402" s="1">
        <v>0.35970000000000002</v>
      </c>
      <c r="AK402" s="1">
        <v>0.51790000000000003</v>
      </c>
      <c r="AL402" s="1">
        <v>0.21129999999999999</v>
      </c>
      <c r="AM402" s="1">
        <v>0.248</v>
      </c>
      <c r="AN402" s="1">
        <v>8.9990000000000001E-2</v>
      </c>
    </row>
    <row r="403" spans="1:40" s="1" customFormat="1" ht="15" x14ac:dyDescent="0.25">
      <c r="A403" s="1">
        <v>914862</v>
      </c>
      <c r="B403" s="1" t="s">
        <v>37</v>
      </c>
      <c r="C403" s="1">
        <v>15.04</v>
      </c>
      <c r="D403" s="1">
        <v>16.739999999999998</v>
      </c>
      <c r="E403" s="2"/>
      <c r="F403" s="2"/>
      <c r="G403" s="2"/>
      <c r="H403" s="2"/>
      <c r="I403" s="2"/>
      <c r="J403" s="2"/>
      <c r="K403" s="2"/>
      <c r="L403" s="2"/>
      <c r="M403" s="1">
        <v>98.73</v>
      </c>
      <c r="N403" s="1">
        <v>689.4</v>
      </c>
      <c r="O403" s="1">
        <v>9.8830000000000001E-2</v>
      </c>
      <c r="P403" s="1">
        <v>0.13639999999999999</v>
      </c>
      <c r="Q403" s="1">
        <v>7.7210000000000001E-2</v>
      </c>
      <c r="R403" s="1">
        <v>6.1420000000000002E-2</v>
      </c>
      <c r="S403" s="1">
        <v>0.1668</v>
      </c>
      <c r="T403" s="1">
        <v>6.8690000000000001E-2</v>
      </c>
      <c r="U403" s="1">
        <v>0.372</v>
      </c>
      <c r="V403" s="1">
        <v>0.84230000000000005</v>
      </c>
      <c r="W403" s="1">
        <v>2.3039999999999998</v>
      </c>
      <c r="X403" s="1">
        <v>34.840000000000003</v>
      </c>
      <c r="Y403" s="1">
        <v>4.1229999999999999E-3</v>
      </c>
      <c r="Z403" s="1">
        <v>1.8190000000000001E-2</v>
      </c>
      <c r="AA403" s="1">
        <v>1.9959999999999999E-2</v>
      </c>
      <c r="AB403" s="1">
        <v>1.004E-2</v>
      </c>
      <c r="AC403" s="1">
        <v>1.055E-2</v>
      </c>
      <c r="AD403" s="1">
        <v>3.2369999999999999E-3</v>
      </c>
      <c r="AE403" s="1">
        <v>16.760000000000002</v>
      </c>
      <c r="AF403" s="1">
        <v>20.43</v>
      </c>
      <c r="AG403" s="1">
        <v>109.7</v>
      </c>
      <c r="AH403" s="1">
        <v>856.9</v>
      </c>
      <c r="AI403" s="1">
        <v>0.1135</v>
      </c>
      <c r="AJ403" s="1">
        <v>0.21759999999999999</v>
      </c>
      <c r="AK403" s="1">
        <v>0.18559999999999999</v>
      </c>
      <c r="AL403" s="1">
        <v>0.1018</v>
      </c>
      <c r="AM403" s="1">
        <v>0.2177</v>
      </c>
      <c r="AN403" s="1">
        <v>8.5489999999999997E-2</v>
      </c>
    </row>
    <row r="404" spans="1:40" s="1" customFormat="1" ht="15" x14ac:dyDescent="0.25">
      <c r="A404" s="1">
        <v>91504</v>
      </c>
      <c r="B404" s="1" t="s">
        <v>36</v>
      </c>
      <c r="C404" s="1">
        <v>13.82</v>
      </c>
      <c r="D404" s="1">
        <v>24.49</v>
      </c>
      <c r="E404" s="2"/>
      <c r="F404" s="2"/>
      <c r="G404" s="2"/>
      <c r="H404" s="2"/>
      <c r="I404" s="2"/>
      <c r="J404" s="2"/>
      <c r="K404" s="2"/>
      <c r="L404" s="2"/>
      <c r="M404" s="1">
        <v>92.33</v>
      </c>
      <c r="N404" s="1">
        <v>595.9</v>
      </c>
      <c r="O404" s="1">
        <v>0.1162</v>
      </c>
      <c r="P404" s="1">
        <v>0.1681</v>
      </c>
      <c r="Q404" s="1">
        <v>0.13569999999999999</v>
      </c>
      <c r="R404" s="1">
        <v>6.7589999999999997E-2</v>
      </c>
      <c r="S404" s="1">
        <v>0.22750000000000001</v>
      </c>
      <c r="T404" s="1">
        <v>7.2370000000000004E-2</v>
      </c>
      <c r="U404" s="1">
        <v>0.47510000000000002</v>
      </c>
      <c r="V404" s="1">
        <v>1.528</v>
      </c>
      <c r="W404" s="1">
        <v>2.9740000000000002</v>
      </c>
      <c r="X404" s="1">
        <v>39.049999999999997</v>
      </c>
      <c r="Y404" s="1">
        <v>9.6799999999999994E-3</v>
      </c>
      <c r="Z404" s="1">
        <v>3.8559999999999997E-2</v>
      </c>
      <c r="AA404" s="1">
        <v>3.4759999999999999E-2</v>
      </c>
      <c r="AB404" s="1">
        <v>1.6160000000000001E-2</v>
      </c>
      <c r="AC404" s="1">
        <v>2.4340000000000001E-2</v>
      </c>
      <c r="AD404" s="1">
        <v>6.9950000000000003E-3</v>
      </c>
      <c r="AE404" s="1">
        <v>16.010000000000002</v>
      </c>
      <c r="AF404" s="1">
        <v>32.94</v>
      </c>
      <c r="AG404" s="1">
        <v>106</v>
      </c>
      <c r="AH404" s="1">
        <v>788</v>
      </c>
      <c r="AI404" s="1">
        <v>0.1794</v>
      </c>
      <c r="AJ404" s="1">
        <v>0.39660000000000001</v>
      </c>
      <c r="AK404" s="1">
        <v>0.33810000000000001</v>
      </c>
      <c r="AL404" s="1">
        <v>0.15210000000000001</v>
      </c>
      <c r="AM404" s="1">
        <v>0.36509999999999998</v>
      </c>
      <c r="AN404" s="1">
        <v>0.1183</v>
      </c>
    </row>
    <row r="405" spans="1:40" s="1" customFormat="1" ht="15" x14ac:dyDescent="0.25">
      <c r="A405" s="1">
        <v>91505</v>
      </c>
      <c r="B405" s="1" t="s">
        <v>37</v>
      </c>
      <c r="C405" s="1">
        <v>12.54</v>
      </c>
      <c r="D405" s="1">
        <v>16.32</v>
      </c>
      <c r="E405" s="2"/>
      <c r="F405" s="2"/>
      <c r="G405" s="2"/>
      <c r="H405" s="2"/>
      <c r="I405" s="2"/>
      <c r="J405" s="2"/>
      <c r="K405" s="2"/>
      <c r="L405" s="2"/>
      <c r="M405" s="1">
        <v>81.25</v>
      </c>
      <c r="N405" s="1">
        <v>476.3</v>
      </c>
      <c r="O405" s="1">
        <v>0.1158</v>
      </c>
      <c r="P405" s="1">
        <v>0.1085</v>
      </c>
      <c r="Q405" s="1">
        <v>5.9279999999999999E-2</v>
      </c>
      <c r="R405" s="1">
        <v>3.279E-2</v>
      </c>
      <c r="S405" s="1">
        <v>0.1943</v>
      </c>
      <c r="T405" s="1">
        <v>6.6119999999999998E-2</v>
      </c>
      <c r="U405" s="1">
        <v>0.25769999999999998</v>
      </c>
      <c r="V405" s="1">
        <v>1.095</v>
      </c>
      <c r="W405" s="1">
        <v>1.5660000000000001</v>
      </c>
      <c r="X405" s="1">
        <v>18.489999999999998</v>
      </c>
      <c r="Y405" s="1">
        <v>9.7020000000000006E-3</v>
      </c>
      <c r="Z405" s="1">
        <v>1.567E-2</v>
      </c>
      <c r="AA405" s="1">
        <v>2.5749999999999999E-2</v>
      </c>
      <c r="AB405" s="1">
        <v>1.1610000000000001E-2</v>
      </c>
      <c r="AC405" s="1">
        <v>2.801E-2</v>
      </c>
      <c r="AD405" s="1">
        <v>2.48E-3</v>
      </c>
      <c r="AE405" s="1">
        <v>13.57</v>
      </c>
      <c r="AF405" s="1">
        <v>21.4</v>
      </c>
      <c r="AG405" s="1">
        <v>86.67</v>
      </c>
      <c r="AH405" s="1">
        <v>552</v>
      </c>
      <c r="AI405" s="1">
        <v>0.158</v>
      </c>
      <c r="AJ405" s="1">
        <v>0.17510000000000001</v>
      </c>
      <c r="AK405" s="1">
        <v>0.18890000000000001</v>
      </c>
      <c r="AL405" s="1">
        <v>8.4110000000000004E-2</v>
      </c>
      <c r="AM405" s="1">
        <v>0.3155</v>
      </c>
      <c r="AN405" s="1">
        <v>7.5380000000000003E-2</v>
      </c>
    </row>
    <row r="406" spans="1:40" s="1" customFormat="1" ht="15" x14ac:dyDescent="0.25">
      <c r="A406" s="1">
        <v>915143</v>
      </c>
      <c r="B406" s="1" t="s">
        <v>36</v>
      </c>
      <c r="C406" s="1">
        <v>23.09</v>
      </c>
      <c r="D406" s="1">
        <v>19.829999999999998</v>
      </c>
      <c r="E406" s="2"/>
      <c r="F406" s="2"/>
      <c r="G406" s="2"/>
      <c r="H406" s="2"/>
      <c r="I406" s="2"/>
      <c r="J406" s="2"/>
      <c r="K406" s="2"/>
      <c r="L406" s="2"/>
      <c r="M406" s="1">
        <v>152.1</v>
      </c>
      <c r="N406" s="1">
        <v>1682</v>
      </c>
      <c r="O406" s="1">
        <v>9.3420000000000003E-2</v>
      </c>
      <c r="P406" s="1">
        <v>0.1275</v>
      </c>
      <c r="Q406" s="1">
        <v>0.1676</v>
      </c>
      <c r="R406" s="1">
        <v>0.1003</v>
      </c>
      <c r="S406" s="1">
        <v>0.15049999999999999</v>
      </c>
      <c r="T406" s="1">
        <v>5.484E-2</v>
      </c>
      <c r="U406" s="1">
        <v>1.2909999999999999</v>
      </c>
      <c r="V406" s="1">
        <v>0.74519999999999997</v>
      </c>
      <c r="W406" s="1">
        <v>9.6349999999999998</v>
      </c>
      <c r="X406" s="1">
        <v>180.2</v>
      </c>
      <c r="Y406" s="1">
        <v>5.7530000000000003E-3</v>
      </c>
      <c r="Z406" s="1">
        <v>3.356E-2</v>
      </c>
      <c r="AA406" s="1">
        <v>3.9759999999999997E-2</v>
      </c>
      <c r="AB406" s="1">
        <v>2.1559999999999999E-2</v>
      </c>
      <c r="AC406" s="1">
        <v>2.2009999999999998E-2</v>
      </c>
      <c r="AD406" s="1">
        <v>2.8969999999999998E-3</v>
      </c>
      <c r="AE406" s="1">
        <v>30.79</v>
      </c>
      <c r="AF406" s="1">
        <v>23.87</v>
      </c>
      <c r="AG406" s="1">
        <v>211.5</v>
      </c>
      <c r="AH406" s="1">
        <v>2782</v>
      </c>
      <c r="AI406" s="1">
        <v>0.11990000000000001</v>
      </c>
      <c r="AJ406" s="1">
        <v>0.36249999999999999</v>
      </c>
      <c r="AK406" s="1">
        <v>0.37940000000000002</v>
      </c>
      <c r="AL406" s="1">
        <v>0.22639999999999999</v>
      </c>
      <c r="AM406" s="1">
        <v>0.2908</v>
      </c>
      <c r="AN406" s="1">
        <v>7.2770000000000001E-2</v>
      </c>
    </row>
    <row r="407" spans="1:40" s="1" customFormat="1" ht="15" x14ac:dyDescent="0.25">
      <c r="A407" s="1">
        <v>915186</v>
      </c>
      <c r="B407" s="1" t="s">
        <v>37</v>
      </c>
      <c r="C407" s="1">
        <v>9.2680000000000007</v>
      </c>
      <c r="D407" s="1">
        <v>12.87</v>
      </c>
      <c r="E407" s="2"/>
      <c r="F407" s="2"/>
      <c r="G407" s="2"/>
      <c r="H407" s="2"/>
      <c r="I407" s="2"/>
      <c r="J407" s="2"/>
      <c r="K407" s="2"/>
      <c r="L407" s="2"/>
      <c r="M407" s="1">
        <v>61.49</v>
      </c>
      <c r="N407" s="1">
        <v>248.7</v>
      </c>
      <c r="O407" s="1">
        <v>0.16339999999999999</v>
      </c>
      <c r="P407" s="1">
        <v>0.22389999999999999</v>
      </c>
      <c r="Q407" s="1">
        <v>9.7299999999999998E-2</v>
      </c>
      <c r="R407" s="1">
        <v>5.2519999999999997E-2</v>
      </c>
      <c r="S407" s="1">
        <v>0.23780000000000001</v>
      </c>
      <c r="T407" s="1">
        <v>9.5019999999999993E-2</v>
      </c>
      <c r="U407" s="1">
        <v>0.40760000000000002</v>
      </c>
      <c r="V407" s="1">
        <v>1.093</v>
      </c>
      <c r="W407" s="1">
        <v>3.0139999999999998</v>
      </c>
      <c r="X407" s="1">
        <v>20.04</v>
      </c>
      <c r="Y407" s="1">
        <v>9.783E-3</v>
      </c>
      <c r="Z407" s="1">
        <v>4.5420000000000002E-2</v>
      </c>
      <c r="AA407" s="1">
        <v>3.483E-2</v>
      </c>
      <c r="AB407" s="1">
        <v>2.188E-2</v>
      </c>
      <c r="AC407" s="1">
        <v>2.5420000000000002E-2</v>
      </c>
      <c r="AD407" s="1">
        <v>1.0449999999999999E-2</v>
      </c>
      <c r="AE407" s="1">
        <v>10.28</v>
      </c>
      <c r="AF407" s="1">
        <v>16.38</v>
      </c>
      <c r="AG407" s="1">
        <v>69.05</v>
      </c>
      <c r="AH407" s="1">
        <v>300.2</v>
      </c>
      <c r="AI407" s="1">
        <v>0.19020000000000001</v>
      </c>
      <c r="AJ407" s="1">
        <v>0.34410000000000002</v>
      </c>
      <c r="AK407" s="1">
        <v>0.2099</v>
      </c>
      <c r="AL407" s="1">
        <v>0.10249999999999999</v>
      </c>
      <c r="AM407" s="1">
        <v>0.30380000000000001</v>
      </c>
      <c r="AN407" s="1">
        <v>0.12520000000000001</v>
      </c>
    </row>
    <row r="408" spans="1:40" s="1" customFormat="1" ht="15" x14ac:dyDescent="0.25">
      <c r="A408" s="1">
        <v>915276</v>
      </c>
      <c r="B408" s="1" t="s">
        <v>37</v>
      </c>
      <c r="C408" s="1">
        <v>9.6760000000000002</v>
      </c>
      <c r="D408" s="1">
        <v>13.14</v>
      </c>
      <c r="E408" s="2"/>
      <c r="F408" s="2"/>
      <c r="G408" s="2"/>
      <c r="H408" s="2"/>
      <c r="I408" s="2"/>
      <c r="J408" s="2"/>
      <c r="K408" s="2"/>
      <c r="L408" s="2"/>
      <c r="M408" s="1">
        <v>64.12</v>
      </c>
      <c r="N408" s="1">
        <v>272.5</v>
      </c>
      <c r="O408" s="1">
        <v>0.1255</v>
      </c>
      <c r="P408" s="1">
        <v>0.22040000000000001</v>
      </c>
      <c r="Q408" s="1">
        <v>0.1188</v>
      </c>
      <c r="R408" s="1">
        <v>7.0379999999999998E-2</v>
      </c>
      <c r="S408" s="1">
        <v>0.20569999999999999</v>
      </c>
      <c r="T408" s="1">
        <v>9.5750000000000002E-2</v>
      </c>
      <c r="U408" s="1">
        <v>0.27439999999999998</v>
      </c>
      <c r="V408" s="1">
        <v>1.39</v>
      </c>
      <c r="W408" s="1">
        <v>1.7869999999999999</v>
      </c>
      <c r="X408" s="1">
        <v>17.670000000000002</v>
      </c>
      <c r="Y408" s="1">
        <v>2.1770000000000001E-2</v>
      </c>
      <c r="Z408" s="1">
        <v>4.888E-2</v>
      </c>
      <c r="AA408" s="1">
        <v>5.1889999999999999E-2</v>
      </c>
      <c r="AB408" s="1">
        <v>1.4500000000000001E-2</v>
      </c>
      <c r="AC408" s="1">
        <v>2.632E-2</v>
      </c>
      <c r="AD408" s="1">
        <v>1.1480000000000001E-2</v>
      </c>
      <c r="AE408" s="1">
        <v>10.6</v>
      </c>
      <c r="AF408" s="1">
        <v>18.04</v>
      </c>
      <c r="AG408" s="1">
        <v>69.47</v>
      </c>
      <c r="AH408" s="1">
        <v>328.1</v>
      </c>
      <c r="AI408" s="1">
        <v>0.2006</v>
      </c>
      <c r="AJ408" s="1">
        <v>0.36630000000000001</v>
      </c>
      <c r="AK408" s="1">
        <v>0.2913</v>
      </c>
      <c r="AL408" s="1">
        <v>0.1075</v>
      </c>
      <c r="AM408" s="1">
        <v>0.2848</v>
      </c>
      <c r="AN408" s="1">
        <v>0.13639999999999999</v>
      </c>
    </row>
    <row r="409" spans="1:40" s="1" customFormat="1" ht="15" x14ac:dyDescent="0.25">
      <c r="A409" s="1">
        <v>91544001</v>
      </c>
      <c r="B409" s="1" t="s">
        <v>37</v>
      </c>
      <c r="C409" s="1">
        <v>12.22</v>
      </c>
      <c r="D409" s="1">
        <v>20.04</v>
      </c>
      <c r="E409" s="2"/>
      <c r="F409" s="2"/>
      <c r="G409" s="2"/>
      <c r="H409" s="2"/>
      <c r="I409" s="2"/>
      <c r="J409" s="2"/>
      <c r="K409" s="2"/>
      <c r="L409" s="2"/>
      <c r="M409" s="1">
        <v>79.47</v>
      </c>
      <c r="N409" s="1">
        <v>453.1</v>
      </c>
      <c r="O409" s="1">
        <v>0.1096</v>
      </c>
      <c r="P409" s="1">
        <v>0.1152</v>
      </c>
      <c r="Q409" s="1">
        <v>8.1750000000000003E-2</v>
      </c>
      <c r="R409" s="1">
        <v>2.1659999999999999E-2</v>
      </c>
      <c r="S409" s="1">
        <v>0.21240000000000001</v>
      </c>
      <c r="T409" s="1">
        <v>6.8940000000000001E-2</v>
      </c>
      <c r="U409" s="1">
        <v>0.18110000000000001</v>
      </c>
      <c r="V409" s="1">
        <v>0.79590000000000005</v>
      </c>
      <c r="W409" s="1">
        <v>0.98570000000000002</v>
      </c>
      <c r="X409" s="1">
        <v>12.58</v>
      </c>
      <c r="Y409" s="1">
        <v>6.2719999999999998E-3</v>
      </c>
      <c r="Z409" s="1">
        <v>2.198E-2</v>
      </c>
      <c r="AA409" s="1">
        <v>3.9660000000000001E-2</v>
      </c>
      <c r="AB409" s="1">
        <v>9.894E-3</v>
      </c>
      <c r="AC409" s="1">
        <v>1.32E-2</v>
      </c>
      <c r="AD409" s="1">
        <v>3.813E-3</v>
      </c>
      <c r="AE409" s="1">
        <v>13.16</v>
      </c>
      <c r="AF409" s="1">
        <v>24.17</v>
      </c>
      <c r="AG409" s="1">
        <v>85.13</v>
      </c>
      <c r="AH409" s="1">
        <v>515.29999999999995</v>
      </c>
      <c r="AI409" s="1">
        <v>0.14019999999999999</v>
      </c>
      <c r="AJ409" s="1">
        <v>0.23150000000000001</v>
      </c>
      <c r="AK409" s="1">
        <v>0.35349999999999998</v>
      </c>
      <c r="AL409" s="1">
        <v>8.0879999999999994E-2</v>
      </c>
      <c r="AM409" s="1">
        <v>0.27089999999999997</v>
      </c>
      <c r="AN409" s="1">
        <v>8.8389999999999996E-2</v>
      </c>
    </row>
    <row r="410" spans="1:40" s="1" customFormat="1" ht="15" x14ac:dyDescent="0.25">
      <c r="A410" s="1">
        <v>91544002</v>
      </c>
      <c r="B410" s="1" t="s">
        <v>37</v>
      </c>
      <c r="C410" s="1">
        <v>11.06</v>
      </c>
      <c r="D410" s="1">
        <v>17.12</v>
      </c>
      <c r="E410" s="2"/>
      <c r="F410" s="2"/>
      <c r="G410" s="2"/>
      <c r="H410" s="2"/>
      <c r="I410" s="2"/>
      <c r="J410" s="2"/>
      <c r="K410" s="2"/>
      <c r="L410" s="2"/>
      <c r="M410" s="1">
        <v>71.25</v>
      </c>
      <c r="N410" s="1">
        <v>366.5</v>
      </c>
      <c r="O410" s="1">
        <v>0.11940000000000001</v>
      </c>
      <c r="P410" s="1">
        <v>0.1071</v>
      </c>
      <c r="Q410" s="1">
        <v>4.0629999999999999E-2</v>
      </c>
      <c r="R410" s="1">
        <v>4.2680000000000003E-2</v>
      </c>
      <c r="S410" s="1">
        <v>0.19539999999999999</v>
      </c>
      <c r="T410" s="1">
        <v>7.9759999999999998E-2</v>
      </c>
      <c r="U410" s="1">
        <v>0.1779</v>
      </c>
      <c r="V410" s="1">
        <v>1.03</v>
      </c>
      <c r="W410" s="1">
        <v>1.3180000000000001</v>
      </c>
      <c r="X410" s="1">
        <v>12.3</v>
      </c>
      <c r="Y410" s="1">
        <v>1.2619999999999999E-2</v>
      </c>
      <c r="Z410" s="1">
        <v>2.3480000000000001E-2</v>
      </c>
      <c r="AA410" s="1">
        <v>1.7999999999999999E-2</v>
      </c>
      <c r="AB410" s="1">
        <v>1.285E-2</v>
      </c>
      <c r="AC410" s="1">
        <v>2.2200000000000001E-2</v>
      </c>
      <c r="AD410" s="1">
        <v>8.3129999999999992E-3</v>
      </c>
      <c r="AE410" s="1">
        <v>11.69</v>
      </c>
      <c r="AF410" s="1">
        <v>20.74</v>
      </c>
      <c r="AG410" s="1">
        <v>76.08</v>
      </c>
      <c r="AH410" s="1">
        <v>411.1</v>
      </c>
      <c r="AI410" s="1">
        <v>0.16619999999999999</v>
      </c>
      <c r="AJ410" s="1">
        <v>0.2031</v>
      </c>
      <c r="AK410" s="1">
        <v>0.12559999999999999</v>
      </c>
      <c r="AL410" s="1">
        <v>9.5140000000000002E-2</v>
      </c>
      <c r="AM410" s="1">
        <v>0.27800000000000002</v>
      </c>
      <c r="AN410" s="1">
        <v>0.1168</v>
      </c>
    </row>
    <row r="411" spans="1:40" s="1" customFormat="1" ht="15" x14ac:dyDescent="0.25">
      <c r="A411" s="1">
        <v>915452</v>
      </c>
      <c r="B411" s="1" t="s">
        <v>37</v>
      </c>
      <c r="C411" s="1">
        <v>16.3</v>
      </c>
      <c r="D411" s="1">
        <v>15.7</v>
      </c>
      <c r="E411" s="2"/>
      <c r="F411" s="2"/>
      <c r="G411" s="2"/>
      <c r="H411" s="2"/>
      <c r="I411" s="2"/>
      <c r="J411" s="2"/>
      <c r="K411" s="2"/>
      <c r="L411" s="2"/>
      <c r="M411" s="1">
        <v>104.7</v>
      </c>
      <c r="N411" s="1">
        <v>819.8</v>
      </c>
      <c r="O411" s="1">
        <v>9.4270000000000007E-2</v>
      </c>
      <c r="P411" s="1">
        <v>6.7119999999999999E-2</v>
      </c>
      <c r="Q411" s="1">
        <v>5.5259999999999997E-2</v>
      </c>
      <c r="R411" s="1">
        <v>4.5629999999999997E-2</v>
      </c>
      <c r="S411" s="1">
        <v>0.1711</v>
      </c>
      <c r="T411" s="1">
        <v>5.6570000000000002E-2</v>
      </c>
      <c r="U411" s="1">
        <v>0.20669999999999999</v>
      </c>
      <c r="V411" s="1">
        <v>0.47060000000000002</v>
      </c>
      <c r="W411" s="1">
        <v>1.1459999999999999</v>
      </c>
      <c r="X411" s="1">
        <v>20.67</v>
      </c>
      <c r="Y411" s="1">
        <v>7.3940000000000004E-3</v>
      </c>
      <c r="Z411" s="1">
        <v>1.2030000000000001E-2</v>
      </c>
      <c r="AA411" s="1">
        <v>2.47E-2</v>
      </c>
      <c r="AB411" s="1">
        <v>1.431E-2</v>
      </c>
      <c r="AC411" s="1">
        <v>1.3440000000000001E-2</v>
      </c>
      <c r="AD411" s="1">
        <v>2.5690000000000001E-3</v>
      </c>
      <c r="AE411" s="1">
        <v>17.32</v>
      </c>
      <c r="AF411" s="1">
        <v>17.760000000000002</v>
      </c>
      <c r="AG411" s="1">
        <v>109.8</v>
      </c>
      <c r="AH411" s="1">
        <v>928.2</v>
      </c>
      <c r="AI411" s="1">
        <v>0.13539999999999999</v>
      </c>
      <c r="AJ411" s="1">
        <v>0.1361</v>
      </c>
      <c r="AK411" s="1">
        <v>0.19470000000000001</v>
      </c>
      <c r="AL411" s="1">
        <v>0.13569999999999999</v>
      </c>
      <c r="AM411" s="1">
        <v>0.23</v>
      </c>
      <c r="AN411" s="1">
        <v>7.2300000000000003E-2</v>
      </c>
    </row>
    <row r="412" spans="1:40" s="1" customFormat="1" ht="15" x14ac:dyDescent="0.25">
      <c r="A412" s="1">
        <v>915460</v>
      </c>
      <c r="B412" s="1" t="s">
        <v>36</v>
      </c>
      <c r="C412" s="1">
        <v>15.46</v>
      </c>
      <c r="D412" s="1">
        <v>23.95</v>
      </c>
      <c r="E412" s="2"/>
      <c r="F412" s="2"/>
      <c r="G412" s="2"/>
      <c r="H412" s="2"/>
      <c r="I412" s="2"/>
      <c r="J412" s="2"/>
      <c r="K412" s="2"/>
      <c r="L412" s="2"/>
      <c r="M412" s="1">
        <v>103.8</v>
      </c>
      <c r="N412" s="1">
        <v>731.3</v>
      </c>
      <c r="O412" s="1">
        <v>0.1183</v>
      </c>
      <c r="P412" s="1">
        <v>0.187</v>
      </c>
      <c r="Q412" s="1">
        <v>0.20300000000000001</v>
      </c>
      <c r="R412" s="1">
        <v>8.5199999999999998E-2</v>
      </c>
      <c r="S412" s="1">
        <v>0.1807</v>
      </c>
      <c r="T412" s="1">
        <v>7.0830000000000004E-2</v>
      </c>
      <c r="U412" s="1">
        <v>0.33310000000000001</v>
      </c>
      <c r="V412" s="1">
        <v>1.9610000000000001</v>
      </c>
      <c r="W412" s="1">
        <v>2.9369999999999998</v>
      </c>
      <c r="X412" s="1">
        <v>32.520000000000003</v>
      </c>
      <c r="Y412" s="1">
        <v>9.5379999999999996E-3</v>
      </c>
      <c r="Z412" s="1">
        <v>4.9399999999999999E-2</v>
      </c>
      <c r="AA412" s="1">
        <v>6.019E-2</v>
      </c>
      <c r="AB412" s="1">
        <v>2.0410000000000001E-2</v>
      </c>
      <c r="AC412" s="1">
        <v>2.1049999999999999E-2</v>
      </c>
      <c r="AD412" s="1">
        <v>6.0000000000000001E-3</v>
      </c>
      <c r="AE412" s="1">
        <v>17.11</v>
      </c>
      <c r="AF412" s="1">
        <v>36.33</v>
      </c>
      <c r="AG412" s="1">
        <v>117.7</v>
      </c>
      <c r="AH412" s="1">
        <v>909.4</v>
      </c>
      <c r="AI412" s="1">
        <v>0.17319999999999999</v>
      </c>
      <c r="AJ412" s="1">
        <v>0.49669999999999997</v>
      </c>
      <c r="AK412" s="1">
        <v>0.59109999999999996</v>
      </c>
      <c r="AL412" s="1">
        <v>0.21629999999999999</v>
      </c>
      <c r="AM412" s="1">
        <v>0.30130000000000001</v>
      </c>
      <c r="AN412" s="1">
        <v>0.1067</v>
      </c>
    </row>
    <row r="413" spans="1:40" s="1" customFormat="1" ht="15" x14ac:dyDescent="0.25">
      <c r="A413" s="1">
        <v>91550</v>
      </c>
      <c r="B413" s="1" t="s">
        <v>37</v>
      </c>
      <c r="C413" s="1">
        <v>11.74</v>
      </c>
      <c r="D413" s="1">
        <v>14.69</v>
      </c>
      <c r="E413" s="2"/>
      <c r="F413" s="2"/>
      <c r="G413" s="2"/>
      <c r="H413" s="2"/>
      <c r="I413" s="2"/>
      <c r="J413" s="2"/>
      <c r="K413" s="2"/>
      <c r="L413" s="2"/>
      <c r="M413" s="1">
        <v>76.31</v>
      </c>
      <c r="N413" s="1">
        <v>426</v>
      </c>
      <c r="O413" s="1">
        <v>8.0990000000000006E-2</v>
      </c>
      <c r="P413" s="1">
        <v>9.6610000000000001E-2</v>
      </c>
      <c r="Q413" s="1">
        <v>6.726E-2</v>
      </c>
      <c r="R413" s="1">
        <v>2.639E-2</v>
      </c>
      <c r="S413" s="1">
        <v>0.14990000000000001</v>
      </c>
      <c r="T413" s="1">
        <v>6.7580000000000001E-2</v>
      </c>
      <c r="U413" s="1">
        <v>0.19239999999999999</v>
      </c>
      <c r="V413" s="1">
        <v>0.64170000000000005</v>
      </c>
      <c r="W413" s="1">
        <v>1.345</v>
      </c>
      <c r="X413" s="1">
        <v>13.04</v>
      </c>
      <c r="Y413" s="1">
        <v>6.9820000000000004E-3</v>
      </c>
      <c r="Z413" s="1">
        <v>3.916E-2</v>
      </c>
      <c r="AA413" s="1">
        <v>4.0169999999999997E-2</v>
      </c>
      <c r="AB413" s="1">
        <v>1.528E-2</v>
      </c>
      <c r="AC413" s="1">
        <v>2.2599999999999999E-2</v>
      </c>
      <c r="AD413" s="1">
        <v>6.8219999999999999E-3</v>
      </c>
      <c r="AE413" s="1">
        <v>12.45</v>
      </c>
      <c r="AF413" s="1">
        <v>17.600000000000001</v>
      </c>
      <c r="AG413" s="1">
        <v>81.25</v>
      </c>
      <c r="AH413" s="1">
        <v>473.8</v>
      </c>
      <c r="AI413" s="1">
        <v>0.10730000000000001</v>
      </c>
      <c r="AJ413" s="1">
        <v>0.27929999999999999</v>
      </c>
      <c r="AK413" s="1">
        <v>0.26900000000000002</v>
      </c>
      <c r="AL413" s="1">
        <v>0.1056</v>
      </c>
      <c r="AM413" s="1">
        <v>0.26040000000000002</v>
      </c>
      <c r="AN413" s="1">
        <v>9.8790000000000003E-2</v>
      </c>
    </row>
    <row r="414" spans="1:40" s="1" customFormat="1" ht="15" x14ac:dyDescent="0.25">
      <c r="A414" s="1">
        <v>915664</v>
      </c>
      <c r="B414" s="1" t="s">
        <v>37</v>
      </c>
      <c r="C414" s="1">
        <v>14.81</v>
      </c>
      <c r="D414" s="1">
        <v>14.7</v>
      </c>
      <c r="E414" s="2"/>
      <c r="F414" s="2"/>
      <c r="G414" s="2"/>
      <c r="H414" s="2"/>
      <c r="I414" s="2"/>
      <c r="J414" s="2"/>
      <c r="K414" s="2"/>
      <c r="L414" s="2"/>
      <c r="M414" s="1">
        <v>94.66</v>
      </c>
      <c r="N414" s="1">
        <v>680.7</v>
      </c>
      <c r="O414" s="1">
        <v>8.4720000000000004E-2</v>
      </c>
      <c r="P414" s="1">
        <v>5.0160000000000003E-2</v>
      </c>
      <c r="Q414" s="1">
        <v>3.4160000000000003E-2</v>
      </c>
      <c r="R414" s="1">
        <v>2.5409999999999999E-2</v>
      </c>
      <c r="S414" s="1">
        <v>0.16589999999999999</v>
      </c>
      <c r="T414" s="1">
        <v>5.348E-2</v>
      </c>
      <c r="U414" s="1">
        <v>0.21820000000000001</v>
      </c>
      <c r="V414" s="1">
        <v>0.62319999999999998</v>
      </c>
      <c r="W414" s="1">
        <v>1.677</v>
      </c>
      <c r="X414" s="1">
        <v>20.72</v>
      </c>
      <c r="Y414" s="1">
        <v>6.7080000000000004E-3</v>
      </c>
      <c r="Z414" s="1">
        <v>1.197E-2</v>
      </c>
      <c r="AA414" s="1">
        <v>1.482E-2</v>
      </c>
      <c r="AB414" s="1">
        <v>1.056E-2</v>
      </c>
      <c r="AC414" s="1">
        <v>1.5800000000000002E-2</v>
      </c>
      <c r="AD414" s="1">
        <v>1.779E-3</v>
      </c>
      <c r="AE414" s="1">
        <v>15.61</v>
      </c>
      <c r="AF414" s="1">
        <v>17.579999999999998</v>
      </c>
      <c r="AG414" s="1">
        <v>101.7</v>
      </c>
      <c r="AH414" s="1">
        <v>760.2</v>
      </c>
      <c r="AI414" s="1">
        <v>0.1139</v>
      </c>
      <c r="AJ414" s="1">
        <v>0.1011</v>
      </c>
      <c r="AK414" s="1">
        <v>0.1101</v>
      </c>
      <c r="AL414" s="1">
        <v>7.9549999999999996E-2</v>
      </c>
      <c r="AM414" s="1">
        <v>0.2334</v>
      </c>
      <c r="AN414" s="1">
        <v>6.1420000000000002E-2</v>
      </c>
    </row>
    <row r="415" spans="1:40" s="1" customFormat="1" ht="15" x14ac:dyDescent="0.25">
      <c r="A415" s="1">
        <v>915691</v>
      </c>
      <c r="B415" s="1" t="s">
        <v>36</v>
      </c>
      <c r="C415" s="1">
        <v>13.4</v>
      </c>
      <c r="D415" s="1">
        <v>20.52</v>
      </c>
      <c r="E415" s="2"/>
      <c r="F415" s="2"/>
      <c r="G415" s="2"/>
      <c r="H415" s="2"/>
      <c r="I415" s="2"/>
      <c r="J415" s="2"/>
      <c r="K415" s="2"/>
      <c r="L415" s="2"/>
      <c r="M415" s="1">
        <v>88.64</v>
      </c>
      <c r="N415" s="1">
        <v>556.70000000000005</v>
      </c>
      <c r="O415" s="1">
        <v>0.1106</v>
      </c>
      <c r="P415" s="1">
        <v>0.1469</v>
      </c>
      <c r="Q415" s="1">
        <v>0.14449999999999999</v>
      </c>
      <c r="R415" s="1">
        <v>8.1720000000000001E-2</v>
      </c>
      <c r="S415" s="1">
        <v>0.21160000000000001</v>
      </c>
      <c r="T415" s="1">
        <v>7.3249999999999996E-2</v>
      </c>
      <c r="U415" s="1">
        <v>0.3906</v>
      </c>
      <c r="V415" s="1">
        <v>0.93059999999999998</v>
      </c>
      <c r="W415" s="1">
        <v>3.093</v>
      </c>
      <c r="X415" s="1">
        <v>33.67</v>
      </c>
      <c r="Y415" s="1">
        <v>5.4140000000000004E-3</v>
      </c>
      <c r="Z415" s="1">
        <v>2.265E-2</v>
      </c>
      <c r="AA415" s="1">
        <v>3.4520000000000002E-2</v>
      </c>
      <c r="AB415" s="1">
        <v>1.3339999999999999E-2</v>
      </c>
      <c r="AC415" s="1">
        <v>1.7049999999999999E-2</v>
      </c>
      <c r="AD415" s="1">
        <v>4.0049999999999999E-3</v>
      </c>
      <c r="AE415" s="1">
        <v>16.41</v>
      </c>
      <c r="AF415" s="1">
        <v>29.66</v>
      </c>
      <c r="AG415" s="1">
        <v>113.3</v>
      </c>
      <c r="AH415" s="1">
        <v>844.4</v>
      </c>
      <c r="AI415" s="1">
        <v>0.15740000000000001</v>
      </c>
      <c r="AJ415" s="1">
        <v>0.3856</v>
      </c>
      <c r="AK415" s="1">
        <v>0.51060000000000005</v>
      </c>
      <c r="AL415" s="1">
        <v>0.2051</v>
      </c>
      <c r="AM415" s="1">
        <v>0.35849999999999999</v>
      </c>
      <c r="AN415" s="1">
        <v>0.1109</v>
      </c>
    </row>
    <row r="416" spans="1:40" s="1" customFormat="1" ht="15" x14ac:dyDescent="0.25">
      <c r="A416" s="1">
        <v>915940</v>
      </c>
      <c r="B416" s="1" t="s">
        <v>37</v>
      </c>
      <c r="C416" s="1">
        <v>14.58</v>
      </c>
      <c r="D416" s="1">
        <v>13.66</v>
      </c>
      <c r="E416" s="2"/>
      <c r="F416" s="2"/>
      <c r="G416" s="2"/>
      <c r="H416" s="2"/>
      <c r="I416" s="2"/>
      <c r="J416" s="2"/>
      <c r="K416" s="2"/>
      <c r="L416" s="2"/>
      <c r="M416" s="1">
        <v>94.29</v>
      </c>
      <c r="N416" s="1">
        <v>658.8</v>
      </c>
      <c r="O416" s="1">
        <v>9.8320000000000005E-2</v>
      </c>
      <c r="P416" s="1">
        <v>8.9179999999999995E-2</v>
      </c>
      <c r="Q416" s="1">
        <v>8.2220000000000001E-2</v>
      </c>
      <c r="R416" s="1">
        <v>4.3490000000000001E-2</v>
      </c>
      <c r="S416" s="1">
        <v>0.1739</v>
      </c>
      <c r="T416" s="1">
        <v>5.6399999999999999E-2</v>
      </c>
      <c r="U416" s="1">
        <v>0.41649999999999998</v>
      </c>
      <c r="V416" s="1">
        <v>0.62370000000000003</v>
      </c>
      <c r="W416" s="1">
        <v>2.5609999999999999</v>
      </c>
      <c r="X416" s="1">
        <v>37.11</v>
      </c>
      <c r="Y416" s="1">
        <v>4.9529999999999999E-3</v>
      </c>
      <c r="Z416" s="1">
        <v>1.8120000000000001E-2</v>
      </c>
      <c r="AA416" s="1">
        <v>3.0349999999999999E-2</v>
      </c>
      <c r="AB416" s="1">
        <v>8.6479999999999994E-3</v>
      </c>
      <c r="AC416" s="1">
        <v>1.5389999999999999E-2</v>
      </c>
      <c r="AD416" s="1">
        <v>2.281E-3</v>
      </c>
      <c r="AE416" s="1">
        <v>16.760000000000002</v>
      </c>
      <c r="AF416" s="1">
        <v>17.239999999999998</v>
      </c>
      <c r="AG416" s="1">
        <v>108.5</v>
      </c>
      <c r="AH416" s="1">
        <v>862</v>
      </c>
      <c r="AI416" s="1">
        <v>0.12230000000000001</v>
      </c>
      <c r="AJ416" s="1">
        <v>0.1928</v>
      </c>
      <c r="AK416" s="1">
        <v>0.2492</v>
      </c>
      <c r="AL416" s="1">
        <v>9.1859999999999997E-2</v>
      </c>
      <c r="AM416" s="1">
        <v>0.2626</v>
      </c>
      <c r="AN416" s="1">
        <v>7.0480000000000001E-2</v>
      </c>
    </row>
    <row r="417" spans="1:40" s="1" customFormat="1" ht="15" x14ac:dyDescent="0.25">
      <c r="A417" s="1">
        <v>91594602</v>
      </c>
      <c r="B417" s="1" t="s">
        <v>36</v>
      </c>
      <c r="C417" s="1">
        <v>15.05</v>
      </c>
      <c r="D417" s="1">
        <v>19.07</v>
      </c>
      <c r="E417" s="2"/>
      <c r="F417" s="2"/>
      <c r="G417" s="2"/>
      <c r="H417" s="2"/>
      <c r="I417" s="2"/>
      <c r="J417" s="2"/>
      <c r="K417" s="2"/>
      <c r="L417" s="2"/>
      <c r="M417" s="1">
        <v>97.26</v>
      </c>
      <c r="N417" s="1">
        <v>701.9</v>
      </c>
      <c r="O417" s="1">
        <v>9.2149999999999996E-2</v>
      </c>
      <c r="P417" s="1">
        <v>8.5970000000000005E-2</v>
      </c>
      <c r="Q417" s="1">
        <v>7.4859999999999996E-2</v>
      </c>
      <c r="R417" s="1">
        <v>4.335E-2</v>
      </c>
      <c r="S417" s="1">
        <v>0.15609999999999999</v>
      </c>
      <c r="T417" s="1">
        <v>5.9150000000000001E-2</v>
      </c>
      <c r="U417" s="1">
        <v>0.38600000000000001</v>
      </c>
      <c r="V417" s="1">
        <v>1.198</v>
      </c>
      <c r="W417" s="1">
        <v>2.63</v>
      </c>
      <c r="X417" s="1">
        <v>38.49</v>
      </c>
      <c r="Y417" s="1">
        <v>4.9519999999999998E-3</v>
      </c>
      <c r="Z417" s="1">
        <v>1.6299999999999999E-2</v>
      </c>
      <c r="AA417" s="1">
        <v>2.9669999999999998E-2</v>
      </c>
      <c r="AB417" s="1">
        <v>9.4230000000000008E-3</v>
      </c>
      <c r="AC417" s="1">
        <v>1.1520000000000001E-2</v>
      </c>
      <c r="AD417" s="1">
        <v>1.7179999999999999E-3</v>
      </c>
      <c r="AE417" s="1">
        <v>17.579999999999998</v>
      </c>
      <c r="AF417" s="1">
        <v>28.06</v>
      </c>
      <c r="AG417" s="1">
        <v>113.8</v>
      </c>
      <c r="AH417" s="1">
        <v>967</v>
      </c>
      <c r="AI417" s="1">
        <v>0.1246</v>
      </c>
      <c r="AJ417" s="1">
        <v>0.21010000000000001</v>
      </c>
      <c r="AK417" s="1">
        <v>0.28660000000000002</v>
      </c>
      <c r="AL417" s="1">
        <v>0.112</v>
      </c>
      <c r="AM417" s="1">
        <v>0.22819999999999999</v>
      </c>
      <c r="AN417" s="1">
        <v>6.9540000000000005E-2</v>
      </c>
    </row>
    <row r="418" spans="1:40" s="1" customFormat="1" ht="15" x14ac:dyDescent="0.25">
      <c r="A418" s="1">
        <v>916221</v>
      </c>
      <c r="B418" s="1" t="s">
        <v>37</v>
      </c>
      <c r="C418" s="1">
        <v>11.34</v>
      </c>
      <c r="D418" s="1">
        <v>18.61</v>
      </c>
      <c r="E418" s="2"/>
      <c r="F418" s="2"/>
      <c r="G418" s="2"/>
      <c r="H418" s="2"/>
      <c r="I418" s="2"/>
      <c r="J418" s="2"/>
      <c r="K418" s="2"/>
      <c r="L418" s="2"/>
      <c r="M418" s="1">
        <v>72.760000000000005</v>
      </c>
      <c r="N418" s="1">
        <v>391.2</v>
      </c>
      <c r="O418" s="1">
        <v>0.10489999999999999</v>
      </c>
      <c r="P418" s="1">
        <v>8.4989999999999996E-2</v>
      </c>
      <c r="Q418" s="1">
        <v>4.3020000000000003E-2</v>
      </c>
      <c r="R418" s="1">
        <v>2.5940000000000001E-2</v>
      </c>
      <c r="S418" s="1">
        <v>0.19270000000000001</v>
      </c>
      <c r="T418" s="1">
        <v>6.2109999999999999E-2</v>
      </c>
      <c r="U418" s="1">
        <v>0.24299999999999999</v>
      </c>
      <c r="V418" s="1">
        <v>1.01</v>
      </c>
      <c r="W418" s="1">
        <v>1.4910000000000001</v>
      </c>
      <c r="X418" s="1">
        <v>18.190000000000001</v>
      </c>
      <c r="Y418" s="1">
        <v>8.5769999999999996E-3</v>
      </c>
      <c r="Z418" s="1">
        <v>1.6410000000000001E-2</v>
      </c>
      <c r="AA418" s="1">
        <v>2.0990000000000002E-2</v>
      </c>
      <c r="AB418" s="1">
        <v>1.107E-2</v>
      </c>
      <c r="AC418" s="1">
        <v>2.4340000000000001E-2</v>
      </c>
      <c r="AD418" s="1">
        <v>1.217E-3</v>
      </c>
      <c r="AE418" s="1">
        <v>12.47</v>
      </c>
      <c r="AF418" s="1">
        <v>23.03</v>
      </c>
      <c r="AG418" s="1">
        <v>79.150000000000006</v>
      </c>
      <c r="AH418" s="1">
        <v>478.6</v>
      </c>
      <c r="AI418" s="1">
        <v>0.14829999999999999</v>
      </c>
      <c r="AJ418" s="1">
        <v>0.15740000000000001</v>
      </c>
      <c r="AK418" s="1">
        <v>0.16239999999999999</v>
      </c>
      <c r="AL418" s="1">
        <v>8.5419999999999996E-2</v>
      </c>
      <c r="AM418" s="1">
        <v>0.30599999999999999</v>
      </c>
      <c r="AN418" s="1">
        <v>6.7830000000000001E-2</v>
      </c>
    </row>
    <row r="419" spans="1:40" s="1" customFormat="1" ht="15" x14ac:dyDescent="0.25">
      <c r="A419" s="1">
        <v>916799</v>
      </c>
      <c r="B419" s="1" t="s">
        <v>36</v>
      </c>
      <c r="C419" s="1">
        <v>18.309999999999999</v>
      </c>
      <c r="D419" s="1">
        <v>20.58</v>
      </c>
      <c r="E419" s="2"/>
      <c r="F419" s="2"/>
      <c r="G419" s="2"/>
      <c r="H419" s="2"/>
      <c r="I419" s="2"/>
      <c r="J419" s="2"/>
      <c r="K419" s="2"/>
      <c r="L419" s="2"/>
      <c r="M419" s="1">
        <v>120.8</v>
      </c>
      <c r="N419" s="1">
        <v>1052</v>
      </c>
      <c r="O419" s="1">
        <v>0.10680000000000001</v>
      </c>
      <c r="P419" s="1">
        <v>0.12479999999999999</v>
      </c>
      <c r="Q419" s="1">
        <v>0.15690000000000001</v>
      </c>
      <c r="R419" s="1">
        <v>9.4509999999999997E-2</v>
      </c>
      <c r="S419" s="1">
        <v>0.186</v>
      </c>
      <c r="T419" s="1">
        <v>5.9409999999999998E-2</v>
      </c>
      <c r="U419" s="1">
        <v>0.54490000000000005</v>
      </c>
      <c r="V419" s="1">
        <v>0.92249999999999999</v>
      </c>
      <c r="W419" s="1">
        <v>3.218</v>
      </c>
      <c r="X419" s="1">
        <v>67.36</v>
      </c>
      <c r="Y419" s="1">
        <v>6.1760000000000001E-3</v>
      </c>
      <c r="Z419" s="1">
        <v>1.8769999999999998E-2</v>
      </c>
      <c r="AA419" s="1">
        <v>2.913E-2</v>
      </c>
      <c r="AB419" s="1">
        <v>1.0460000000000001E-2</v>
      </c>
      <c r="AC419" s="1">
        <v>1.559E-2</v>
      </c>
      <c r="AD419" s="1">
        <v>2.725E-3</v>
      </c>
      <c r="AE419" s="1">
        <v>21.86</v>
      </c>
      <c r="AF419" s="1">
        <v>26.2</v>
      </c>
      <c r="AG419" s="1">
        <v>142.19999999999999</v>
      </c>
      <c r="AH419" s="1">
        <v>1493</v>
      </c>
      <c r="AI419" s="1">
        <v>0.1492</v>
      </c>
      <c r="AJ419" s="1">
        <v>0.25359999999999999</v>
      </c>
      <c r="AK419" s="1">
        <v>0.37590000000000001</v>
      </c>
      <c r="AL419" s="1">
        <v>0.151</v>
      </c>
      <c r="AM419" s="1">
        <v>0.30740000000000001</v>
      </c>
      <c r="AN419" s="1">
        <v>7.8630000000000005E-2</v>
      </c>
    </row>
    <row r="420" spans="1:40" s="1" customFormat="1" ht="15" x14ac:dyDescent="0.25">
      <c r="A420" s="1">
        <v>916838</v>
      </c>
      <c r="B420" s="1" t="s">
        <v>36</v>
      </c>
      <c r="C420" s="1">
        <v>19.89</v>
      </c>
      <c r="D420" s="1">
        <v>20.260000000000002</v>
      </c>
      <c r="E420" s="2"/>
      <c r="F420" s="2"/>
      <c r="G420" s="2"/>
      <c r="H420" s="2"/>
      <c r="I420" s="2"/>
      <c r="J420" s="2"/>
      <c r="K420" s="2"/>
      <c r="L420" s="2"/>
      <c r="M420" s="1">
        <v>130.5</v>
      </c>
      <c r="N420" s="1">
        <v>1214</v>
      </c>
      <c r="O420" s="1">
        <v>0.1037</v>
      </c>
      <c r="P420" s="1">
        <v>0.13100000000000001</v>
      </c>
      <c r="Q420" s="1">
        <v>0.1411</v>
      </c>
      <c r="R420" s="1">
        <v>9.4310000000000005E-2</v>
      </c>
      <c r="S420" s="1">
        <v>0.1802</v>
      </c>
      <c r="T420" s="1">
        <v>6.1879999999999998E-2</v>
      </c>
      <c r="U420" s="1">
        <v>0.50790000000000002</v>
      </c>
      <c r="V420" s="1">
        <v>0.87370000000000003</v>
      </c>
      <c r="W420" s="1">
        <v>3.6539999999999999</v>
      </c>
      <c r="X420" s="1">
        <v>59.7</v>
      </c>
      <c r="Y420" s="1">
        <v>5.0889999999999998E-3</v>
      </c>
      <c r="Z420" s="1">
        <v>2.3029999999999998E-2</v>
      </c>
      <c r="AA420" s="1">
        <v>3.0519999999999999E-2</v>
      </c>
      <c r="AB420" s="1">
        <v>1.1780000000000001E-2</v>
      </c>
      <c r="AC420" s="1">
        <v>1.057E-2</v>
      </c>
      <c r="AD420" s="1">
        <v>3.3909999999999999E-3</v>
      </c>
      <c r="AE420" s="1">
        <v>23.73</v>
      </c>
      <c r="AF420" s="1">
        <v>25.23</v>
      </c>
      <c r="AG420" s="1">
        <v>160.5</v>
      </c>
      <c r="AH420" s="1">
        <v>1646</v>
      </c>
      <c r="AI420" s="1">
        <v>0.14169999999999999</v>
      </c>
      <c r="AJ420" s="1">
        <v>0.33090000000000003</v>
      </c>
      <c r="AK420" s="1">
        <v>0.41849999999999998</v>
      </c>
      <c r="AL420" s="1">
        <v>0.1613</v>
      </c>
      <c r="AM420" s="1">
        <v>0.25490000000000002</v>
      </c>
      <c r="AN420" s="1">
        <v>9.1359999999999997E-2</v>
      </c>
    </row>
    <row r="421" spans="1:40" s="1" customFormat="1" ht="15" x14ac:dyDescent="0.25">
      <c r="A421" s="1">
        <v>917062</v>
      </c>
      <c r="B421" s="1" t="s">
        <v>37</v>
      </c>
      <c r="C421" s="1">
        <v>12.88</v>
      </c>
      <c r="D421" s="1">
        <v>18.22</v>
      </c>
      <c r="E421" s="2"/>
      <c r="F421" s="2"/>
      <c r="G421" s="2"/>
      <c r="H421" s="2"/>
      <c r="I421" s="2"/>
      <c r="J421" s="2"/>
      <c r="K421" s="2"/>
      <c r="L421" s="2"/>
      <c r="M421" s="1">
        <v>84.45</v>
      </c>
      <c r="N421" s="1">
        <v>493.1</v>
      </c>
      <c r="O421" s="1">
        <v>0.12180000000000001</v>
      </c>
      <c r="P421" s="1">
        <v>0.1661</v>
      </c>
      <c r="Q421" s="1">
        <v>4.8250000000000001E-2</v>
      </c>
      <c r="R421" s="1">
        <v>5.3030000000000001E-2</v>
      </c>
      <c r="S421" s="1">
        <v>0.1709</v>
      </c>
      <c r="T421" s="1">
        <v>7.2529999999999997E-2</v>
      </c>
      <c r="U421" s="1">
        <v>0.44259999999999999</v>
      </c>
      <c r="V421" s="1">
        <v>1.169</v>
      </c>
      <c r="W421" s="1">
        <v>3.1760000000000002</v>
      </c>
      <c r="X421" s="1">
        <v>34.369999999999997</v>
      </c>
      <c r="Y421" s="1">
        <v>5.2729999999999999E-3</v>
      </c>
      <c r="Z421" s="1">
        <v>2.3290000000000002E-2</v>
      </c>
      <c r="AA421" s="1">
        <v>1.405E-2</v>
      </c>
      <c r="AB421" s="1">
        <v>1.244E-2</v>
      </c>
      <c r="AC421" s="1">
        <v>1.8159999999999999E-2</v>
      </c>
      <c r="AD421" s="1">
        <v>3.2989999999999998E-3</v>
      </c>
      <c r="AE421" s="1">
        <v>15.05</v>
      </c>
      <c r="AF421" s="1">
        <v>24.37</v>
      </c>
      <c r="AG421" s="1">
        <v>99.31</v>
      </c>
      <c r="AH421" s="1">
        <v>674.7</v>
      </c>
      <c r="AI421" s="1">
        <v>0.14560000000000001</v>
      </c>
      <c r="AJ421" s="1">
        <v>0.29609999999999997</v>
      </c>
      <c r="AK421" s="1">
        <v>0.1246</v>
      </c>
      <c r="AL421" s="1">
        <v>0.1096</v>
      </c>
      <c r="AM421" s="1">
        <v>0.25819999999999999</v>
      </c>
      <c r="AN421" s="1">
        <v>8.8929999999999995E-2</v>
      </c>
    </row>
    <row r="422" spans="1:40" s="1" customFormat="1" ht="15" x14ac:dyDescent="0.25">
      <c r="A422" s="1">
        <v>917080</v>
      </c>
      <c r="B422" s="1" t="s">
        <v>37</v>
      </c>
      <c r="C422" s="1">
        <v>12.75</v>
      </c>
      <c r="D422" s="1">
        <v>16.7</v>
      </c>
      <c r="E422" s="2"/>
      <c r="F422" s="2"/>
      <c r="G422" s="2"/>
      <c r="H422" s="2"/>
      <c r="I422" s="2"/>
      <c r="J422" s="2"/>
      <c r="K422" s="2"/>
      <c r="L422" s="2"/>
      <c r="M422" s="1">
        <v>82.51</v>
      </c>
      <c r="N422" s="1">
        <v>493.8</v>
      </c>
      <c r="O422" s="1">
        <v>0.1125</v>
      </c>
      <c r="P422" s="1">
        <v>0.11169999999999999</v>
      </c>
      <c r="Q422" s="1">
        <v>3.8800000000000001E-2</v>
      </c>
      <c r="R422" s="1">
        <v>2.9950000000000001E-2</v>
      </c>
      <c r="S422" s="1">
        <v>0.21199999999999999</v>
      </c>
      <c r="T422" s="1">
        <v>6.6229999999999997E-2</v>
      </c>
      <c r="U422" s="1">
        <v>0.38340000000000002</v>
      </c>
      <c r="V422" s="1">
        <v>1.0029999999999999</v>
      </c>
      <c r="W422" s="1">
        <v>2.4950000000000001</v>
      </c>
      <c r="X422" s="1">
        <v>28.62</v>
      </c>
      <c r="Y422" s="1">
        <v>7.509E-3</v>
      </c>
      <c r="Z422" s="1">
        <v>1.5610000000000001E-2</v>
      </c>
      <c r="AA422" s="1">
        <v>1.9769999999999999E-2</v>
      </c>
      <c r="AB422" s="1">
        <v>9.1990000000000006E-3</v>
      </c>
      <c r="AC422" s="1">
        <v>1.805E-2</v>
      </c>
      <c r="AD422" s="1">
        <v>3.6289999999999998E-3</v>
      </c>
      <c r="AE422" s="1">
        <v>14.45</v>
      </c>
      <c r="AF422" s="1">
        <v>21.74</v>
      </c>
      <c r="AG422" s="1">
        <v>93.63</v>
      </c>
      <c r="AH422" s="1">
        <v>624.1</v>
      </c>
      <c r="AI422" s="1">
        <v>0.14749999999999999</v>
      </c>
      <c r="AJ422" s="1">
        <v>0.19789999999999999</v>
      </c>
      <c r="AK422" s="1">
        <v>0.14230000000000001</v>
      </c>
      <c r="AL422" s="1">
        <v>8.0449999999999994E-2</v>
      </c>
      <c r="AM422" s="1">
        <v>0.30709999999999998</v>
      </c>
      <c r="AN422" s="1">
        <v>8.5569999999999993E-2</v>
      </c>
    </row>
    <row r="423" spans="1:40" s="1" customFormat="1" ht="15" x14ac:dyDescent="0.25">
      <c r="A423" s="1">
        <v>917092</v>
      </c>
      <c r="B423" s="1" t="s">
        <v>37</v>
      </c>
      <c r="C423" s="1">
        <v>9.2949999999999999</v>
      </c>
      <c r="D423" s="1">
        <v>13.9</v>
      </c>
      <c r="E423" s="2"/>
      <c r="F423" s="2"/>
      <c r="G423" s="2"/>
      <c r="H423" s="2"/>
      <c r="I423" s="2"/>
      <c r="J423" s="2"/>
      <c r="K423" s="2"/>
      <c r="L423" s="2"/>
      <c r="M423" s="1">
        <v>59.96</v>
      </c>
      <c r="N423" s="1">
        <v>257.8</v>
      </c>
      <c r="O423" s="1">
        <v>0.1371</v>
      </c>
      <c r="P423" s="1">
        <v>0.1225</v>
      </c>
      <c r="Q423" s="1">
        <v>3.3320000000000002E-2</v>
      </c>
      <c r="R423" s="1">
        <v>2.4209999999999999E-2</v>
      </c>
      <c r="S423" s="1">
        <v>0.21970000000000001</v>
      </c>
      <c r="T423" s="1">
        <v>7.6960000000000001E-2</v>
      </c>
      <c r="U423" s="1">
        <v>0.3538</v>
      </c>
      <c r="V423" s="1">
        <v>1.1299999999999999</v>
      </c>
      <c r="W423" s="1">
        <v>2.3879999999999999</v>
      </c>
      <c r="X423" s="1">
        <v>19.63</v>
      </c>
      <c r="Y423" s="1">
        <v>1.546E-2</v>
      </c>
      <c r="Z423" s="1">
        <v>2.5399999999999999E-2</v>
      </c>
      <c r="AA423" s="1">
        <v>2.197E-2</v>
      </c>
      <c r="AB423" s="1">
        <v>1.5800000000000002E-2</v>
      </c>
      <c r="AC423" s="1">
        <v>3.9969999999999999E-2</v>
      </c>
      <c r="AD423" s="1">
        <v>3.901E-3</v>
      </c>
      <c r="AE423" s="1">
        <v>10.57</v>
      </c>
      <c r="AF423" s="1">
        <v>17.84</v>
      </c>
      <c r="AG423" s="1">
        <v>67.84</v>
      </c>
      <c r="AH423" s="1">
        <v>326.60000000000002</v>
      </c>
      <c r="AI423" s="1">
        <v>0.185</v>
      </c>
      <c r="AJ423" s="1">
        <v>0.2097</v>
      </c>
      <c r="AK423" s="1">
        <v>9.9959999999999993E-2</v>
      </c>
      <c r="AL423" s="1">
        <v>7.2620000000000004E-2</v>
      </c>
      <c r="AM423" s="1">
        <v>0.36809999999999998</v>
      </c>
      <c r="AN423" s="1">
        <v>8.9819999999999997E-2</v>
      </c>
    </row>
    <row r="424" spans="1:40" s="1" customFormat="1" ht="15" x14ac:dyDescent="0.25">
      <c r="A424" s="1">
        <v>91762702</v>
      </c>
      <c r="B424" s="1" t="s">
        <v>36</v>
      </c>
      <c r="C424" s="1">
        <v>24.63</v>
      </c>
      <c r="D424" s="1">
        <v>21.6</v>
      </c>
      <c r="E424" s="2"/>
      <c r="F424" s="2"/>
      <c r="G424" s="2"/>
      <c r="H424" s="2"/>
      <c r="I424" s="2"/>
      <c r="J424" s="2"/>
      <c r="K424" s="2"/>
      <c r="L424" s="2"/>
      <c r="M424" s="1">
        <v>165.5</v>
      </c>
      <c r="N424" s="1">
        <v>1841</v>
      </c>
      <c r="O424" s="1">
        <v>0.10299999999999999</v>
      </c>
      <c r="P424" s="1">
        <v>0.21060000000000001</v>
      </c>
      <c r="Q424" s="1">
        <v>0.23100000000000001</v>
      </c>
      <c r="R424" s="1">
        <v>0.14710000000000001</v>
      </c>
      <c r="S424" s="1">
        <v>0.1991</v>
      </c>
      <c r="T424" s="1">
        <v>6.7390000000000005E-2</v>
      </c>
      <c r="U424" s="1">
        <v>0.99150000000000005</v>
      </c>
      <c r="V424" s="1">
        <v>0.90039999999999998</v>
      </c>
      <c r="W424" s="1">
        <v>7.05</v>
      </c>
      <c r="X424" s="1">
        <v>139.9</v>
      </c>
      <c r="Y424" s="1">
        <v>4.9890000000000004E-3</v>
      </c>
      <c r="Z424" s="1">
        <v>3.2120000000000003E-2</v>
      </c>
      <c r="AA424" s="1">
        <v>3.5709999999999999E-2</v>
      </c>
      <c r="AB424" s="1">
        <v>1.5970000000000002E-2</v>
      </c>
      <c r="AC424" s="1">
        <v>1.8790000000000001E-2</v>
      </c>
      <c r="AD424" s="1">
        <v>4.7600000000000003E-3</v>
      </c>
      <c r="AE424" s="1">
        <v>29.92</v>
      </c>
      <c r="AF424" s="1">
        <v>26.93</v>
      </c>
      <c r="AG424" s="1">
        <v>205.7</v>
      </c>
      <c r="AH424" s="1">
        <v>2642</v>
      </c>
      <c r="AI424" s="1">
        <v>0.13420000000000001</v>
      </c>
      <c r="AJ424" s="1">
        <v>0.41880000000000001</v>
      </c>
      <c r="AK424" s="1">
        <v>0.46579999999999999</v>
      </c>
      <c r="AL424" s="1">
        <v>0.2475</v>
      </c>
      <c r="AM424" s="1">
        <v>0.31569999999999998</v>
      </c>
      <c r="AN424" s="1">
        <v>9.6710000000000004E-2</v>
      </c>
    </row>
    <row r="425" spans="1:40" s="1" customFormat="1" ht="15" x14ac:dyDescent="0.25">
      <c r="A425" s="1">
        <v>91789</v>
      </c>
      <c r="B425" s="1" t="s">
        <v>37</v>
      </c>
      <c r="C425" s="1">
        <v>11.26</v>
      </c>
      <c r="D425" s="1">
        <v>19.829999999999998</v>
      </c>
      <c r="E425" s="2"/>
      <c r="F425" s="2"/>
      <c r="G425" s="2"/>
      <c r="H425" s="2"/>
      <c r="I425" s="2"/>
      <c r="J425" s="2"/>
      <c r="K425" s="2"/>
      <c r="L425" s="2"/>
      <c r="M425" s="1">
        <v>71.3</v>
      </c>
      <c r="N425" s="1">
        <v>388.1</v>
      </c>
      <c r="O425" s="1">
        <v>8.5110000000000005E-2</v>
      </c>
      <c r="P425" s="1">
        <v>4.4130000000000003E-2</v>
      </c>
      <c r="Q425" s="1">
        <v>5.0670000000000003E-3</v>
      </c>
      <c r="R425" s="1">
        <v>5.6639999999999998E-3</v>
      </c>
      <c r="S425" s="1">
        <v>0.16370000000000001</v>
      </c>
      <c r="T425" s="1">
        <v>6.343E-2</v>
      </c>
      <c r="U425" s="1">
        <v>0.13439999999999999</v>
      </c>
      <c r="V425" s="1">
        <v>1.083</v>
      </c>
      <c r="W425" s="1">
        <v>0.98119999999999996</v>
      </c>
      <c r="X425" s="1">
        <v>9.3320000000000007</v>
      </c>
      <c r="Y425" s="1">
        <v>4.1999999999999997E-3</v>
      </c>
      <c r="Z425" s="1">
        <v>5.8999999999999999E-3</v>
      </c>
      <c r="AA425" s="1">
        <v>3.846E-3</v>
      </c>
      <c r="AB425" s="1">
        <v>4.065E-3</v>
      </c>
      <c r="AC425" s="1">
        <v>1.487E-2</v>
      </c>
      <c r="AD425" s="1">
        <v>2.2950000000000002E-3</v>
      </c>
      <c r="AE425" s="1">
        <v>11.93</v>
      </c>
      <c r="AF425" s="1">
        <v>26.43</v>
      </c>
      <c r="AG425" s="1">
        <v>76.38</v>
      </c>
      <c r="AH425" s="1">
        <v>435.9</v>
      </c>
      <c r="AI425" s="1">
        <v>0.1108</v>
      </c>
      <c r="AJ425" s="1">
        <v>7.7229999999999993E-2</v>
      </c>
      <c r="AK425" s="1">
        <v>2.5329999999999998E-2</v>
      </c>
      <c r="AL425" s="1">
        <v>2.8320000000000001E-2</v>
      </c>
      <c r="AM425" s="1">
        <v>0.25569999999999998</v>
      </c>
      <c r="AN425" s="1">
        <v>7.6130000000000003E-2</v>
      </c>
    </row>
    <row r="426" spans="1:40" s="1" customFormat="1" ht="15" x14ac:dyDescent="0.25">
      <c r="A426" s="1">
        <v>917896</v>
      </c>
      <c r="B426" s="1" t="s">
        <v>37</v>
      </c>
      <c r="C426" s="1">
        <v>13.71</v>
      </c>
      <c r="D426" s="1">
        <v>18.68</v>
      </c>
      <c r="E426" s="2"/>
      <c r="F426" s="2"/>
      <c r="G426" s="2"/>
      <c r="H426" s="2"/>
      <c r="I426" s="2"/>
      <c r="J426" s="2"/>
      <c r="K426" s="2"/>
      <c r="L426" s="2"/>
      <c r="M426" s="1">
        <v>88.73</v>
      </c>
      <c r="N426" s="1">
        <v>571</v>
      </c>
      <c r="O426" s="1">
        <v>9.9159999999999998E-2</v>
      </c>
      <c r="P426" s="1">
        <v>0.107</v>
      </c>
      <c r="Q426" s="1">
        <v>5.3850000000000002E-2</v>
      </c>
      <c r="R426" s="1">
        <v>3.7830000000000003E-2</v>
      </c>
      <c r="S426" s="1">
        <v>0.1714</v>
      </c>
      <c r="T426" s="1">
        <v>6.8430000000000005E-2</v>
      </c>
      <c r="U426" s="1">
        <v>0.31909999999999999</v>
      </c>
      <c r="V426" s="1">
        <v>1.2490000000000001</v>
      </c>
      <c r="W426" s="1">
        <v>2.2839999999999998</v>
      </c>
      <c r="X426" s="1">
        <v>26.45</v>
      </c>
      <c r="Y426" s="1">
        <v>6.7390000000000002E-3</v>
      </c>
      <c r="Z426" s="1">
        <v>2.2509999999999999E-2</v>
      </c>
      <c r="AA426" s="1">
        <v>2.086E-2</v>
      </c>
      <c r="AB426" s="1">
        <v>1.3520000000000001E-2</v>
      </c>
      <c r="AC426" s="1">
        <v>1.8700000000000001E-2</v>
      </c>
      <c r="AD426" s="1">
        <v>3.7469999999999999E-3</v>
      </c>
      <c r="AE426" s="1">
        <v>15.11</v>
      </c>
      <c r="AF426" s="1">
        <v>25.63</v>
      </c>
      <c r="AG426" s="1">
        <v>99.43</v>
      </c>
      <c r="AH426" s="1">
        <v>701.9</v>
      </c>
      <c r="AI426" s="1">
        <v>0.14249999999999999</v>
      </c>
      <c r="AJ426" s="1">
        <v>0.25659999999999999</v>
      </c>
      <c r="AK426" s="1">
        <v>0.19350000000000001</v>
      </c>
      <c r="AL426" s="1">
        <v>0.12839999999999999</v>
      </c>
      <c r="AM426" s="1">
        <v>0.28489999999999999</v>
      </c>
      <c r="AN426" s="1">
        <v>9.0310000000000001E-2</v>
      </c>
    </row>
    <row r="427" spans="1:40" s="1" customFormat="1" ht="15" x14ac:dyDescent="0.25">
      <c r="A427" s="1">
        <v>917897</v>
      </c>
      <c r="B427" s="1" t="s">
        <v>37</v>
      </c>
      <c r="C427" s="1">
        <v>9.8469999999999995</v>
      </c>
      <c r="D427" s="1">
        <v>15.68</v>
      </c>
      <c r="E427" s="2"/>
      <c r="F427" s="2"/>
      <c r="G427" s="2"/>
      <c r="H427" s="2"/>
      <c r="I427" s="2"/>
      <c r="J427" s="2"/>
      <c r="K427" s="2"/>
      <c r="L427" s="2"/>
      <c r="M427" s="1">
        <v>63</v>
      </c>
      <c r="N427" s="1">
        <v>293.2</v>
      </c>
      <c r="O427" s="1">
        <v>9.4920000000000004E-2</v>
      </c>
      <c r="P427" s="1">
        <v>8.4190000000000001E-2</v>
      </c>
      <c r="Q427" s="1">
        <v>2.3300000000000001E-2</v>
      </c>
      <c r="R427" s="1">
        <v>2.4160000000000001E-2</v>
      </c>
      <c r="S427" s="1">
        <v>0.13869999999999999</v>
      </c>
      <c r="T427" s="1">
        <v>6.8909999999999999E-2</v>
      </c>
      <c r="U427" s="1">
        <v>0.24979999999999999</v>
      </c>
      <c r="V427" s="1">
        <v>1.216</v>
      </c>
      <c r="W427" s="1">
        <v>1.976</v>
      </c>
      <c r="X427" s="1">
        <v>15.24</v>
      </c>
      <c r="Y427" s="1">
        <v>8.7320000000000002E-3</v>
      </c>
      <c r="Z427" s="1">
        <v>2.0420000000000001E-2</v>
      </c>
      <c r="AA427" s="1">
        <v>1.0619999999999999E-2</v>
      </c>
      <c r="AB427" s="1">
        <v>6.8009999999999998E-3</v>
      </c>
      <c r="AC427" s="1">
        <v>1.8239999999999999E-2</v>
      </c>
      <c r="AD427" s="1">
        <v>3.4940000000000001E-3</v>
      </c>
      <c r="AE427" s="1">
        <v>11.24</v>
      </c>
      <c r="AF427" s="1">
        <v>22.99</v>
      </c>
      <c r="AG427" s="1">
        <v>74.319999999999993</v>
      </c>
      <c r="AH427" s="1">
        <v>376.5</v>
      </c>
      <c r="AI427" s="1">
        <v>0.1419</v>
      </c>
      <c r="AJ427" s="1">
        <v>0.2243</v>
      </c>
      <c r="AK427" s="1">
        <v>8.4339999999999998E-2</v>
      </c>
      <c r="AL427" s="1">
        <v>6.5280000000000005E-2</v>
      </c>
      <c r="AM427" s="1">
        <v>0.25019999999999998</v>
      </c>
      <c r="AN427" s="1">
        <v>9.2090000000000005E-2</v>
      </c>
    </row>
    <row r="428" spans="1:40" s="1" customFormat="1" ht="15" x14ac:dyDescent="0.25">
      <c r="A428" s="1">
        <v>91805</v>
      </c>
      <c r="B428" s="1" t="s">
        <v>37</v>
      </c>
      <c r="C428" s="1">
        <v>8.5709999999999997</v>
      </c>
      <c r="D428" s="1">
        <v>13.1</v>
      </c>
      <c r="E428" s="2"/>
      <c r="F428" s="2"/>
      <c r="G428" s="2"/>
      <c r="H428" s="2"/>
      <c r="I428" s="2"/>
      <c r="J428" s="2"/>
      <c r="K428" s="2"/>
      <c r="L428" s="2"/>
      <c r="M428" s="1">
        <v>54.53</v>
      </c>
      <c r="N428" s="1">
        <v>221.3</v>
      </c>
      <c r="O428" s="1">
        <v>0.1036</v>
      </c>
      <c r="P428" s="1">
        <v>7.6319999999999999E-2</v>
      </c>
      <c r="Q428" s="1">
        <v>2.5649999999999999E-2</v>
      </c>
      <c r="R428" s="1">
        <v>1.5100000000000001E-2</v>
      </c>
      <c r="S428" s="1">
        <v>0.1678</v>
      </c>
      <c r="T428" s="1">
        <v>7.1260000000000004E-2</v>
      </c>
      <c r="U428" s="1">
        <v>0.12670000000000001</v>
      </c>
      <c r="V428" s="1">
        <v>0.67930000000000001</v>
      </c>
      <c r="W428" s="1">
        <v>1.069</v>
      </c>
      <c r="X428" s="1">
        <v>7.2539999999999996</v>
      </c>
      <c r="Y428" s="1">
        <v>7.8969999999999995E-3</v>
      </c>
      <c r="Z428" s="1">
        <v>1.762E-2</v>
      </c>
      <c r="AA428" s="1">
        <v>1.8010000000000002E-2</v>
      </c>
      <c r="AB428" s="1">
        <v>7.3200000000000001E-3</v>
      </c>
      <c r="AC428" s="1">
        <v>1.592E-2</v>
      </c>
      <c r="AD428" s="1">
        <v>3.9249999999999997E-3</v>
      </c>
      <c r="AE428" s="1">
        <v>9.4730000000000008</v>
      </c>
      <c r="AF428" s="1">
        <v>18.45</v>
      </c>
      <c r="AG428" s="1">
        <v>63.3</v>
      </c>
      <c r="AH428" s="1">
        <v>275.60000000000002</v>
      </c>
      <c r="AI428" s="1">
        <v>0.1641</v>
      </c>
      <c r="AJ428" s="1">
        <v>0.2235</v>
      </c>
      <c r="AK428" s="1">
        <v>0.1754</v>
      </c>
      <c r="AL428" s="1">
        <v>8.5120000000000001E-2</v>
      </c>
      <c r="AM428" s="1">
        <v>0.29830000000000001</v>
      </c>
      <c r="AN428" s="1">
        <v>0.10489999999999999</v>
      </c>
    </row>
    <row r="429" spans="1:40" s="1" customFormat="1" ht="15" x14ac:dyDescent="0.25">
      <c r="A429" s="1">
        <v>91813701</v>
      </c>
      <c r="B429" s="1" t="s">
        <v>37</v>
      </c>
      <c r="C429" s="1">
        <v>13.46</v>
      </c>
      <c r="D429" s="1">
        <v>18.75</v>
      </c>
      <c r="E429" s="2"/>
      <c r="F429" s="2"/>
      <c r="G429" s="2"/>
      <c r="H429" s="2"/>
      <c r="I429" s="2"/>
      <c r="J429" s="2"/>
      <c r="K429" s="2"/>
      <c r="L429" s="2"/>
      <c r="M429" s="1">
        <v>87.44</v>
      </c>
      <c r="N429" s="1">
        <v>551.1</v>
      </c>
      <c r="O429" s="1">
        <v>0.1075</v>
      </c>
      <c r="P429" s="1">
        <v>0.1138</v>
      </c>
      <c r="Q429" s="1">
        <v>4.2009999999999999E-2</v>
      </c>
      <c r="R429" s="1">
        <v>3.1519999999999999E-2</v>
      </c>
      <c r="S429" s="1">
        <v>0.17230000000000001</v>
      </c>
      <c r="T429" s="1">
        <v>6.3170000000000004E-2</v>
      </c>
      <c r="U429" s="1">
        <v>0.19980000000000001</v>
      </c>
      <c r="V429" s="1">
        <v>0.60680000000000001</v>
      </c>
      <c r="W429" s="1">
        <v>1.4430000000000001</v>
      </c>
      <c r="X429" s="1">
        <v>16.07</v>
      </c>
      <c r="Y429" s="1">
        <v>4.4130000000000003E-3</v>
      </c>
      <c r="Z429" s="1">
        <v>1.443E-2</v>
      </c>
      <c r="AA429" s="1">
        <v>1.5089999999999999E-2</v>
      </c>
      <c r="AB429" s="1">
        <v>7.3689999999999997E-3</v>
      </c>
      <c r="AC429" s="1">
        <v>1.354E-2</v>
      </c>
      <c r="AD429" s="1">
        <v>1.787E-3</v>
      </c>
      <c r="AE429" s="1">
        <v>15.35</v>
      </c>
      <c r="AF429" s="1">
        <v>25.16</v>
      </c>
      <c r="AG429" s="1">
        <v>101.9</v>
      </c>
      <c r="AH429" s="1">
        <v>719.8</v>
      </c>
      <c r="AI429" s="1">
        <v>0.16239999999999999</v>
      </c>
      <c r="AJ429" s="1">
        <v>0.31240000000000001</v>
      </c>
      <c r="AK429" s="1">
        <v>0.26540000000000002</v>
      </c>
      <c r="AL429" s="1">
        <v>0.14269999999999999</v>
      </c>
      <c r="AM429" s="1">
        <v>0.3518</v>
      </c>
      <c r="AN429" s="1">
        <v>8.6650000000000005E-2</v>
      </c>
    </row>
    <row r="430" spans="1:40" s="1" customFormat="1" ht="15" x14ac:dyDescent="0.25">
      <c r="A430" s="1">
        <v>91813702</v>
      </c>
      <c r="B430" s="1" t="s">
        <v>37</v>
      </c>
      <c r="C430" s="1">
        <v>12.34</v>
      </c>
      <c r="D430" s="1">
        <v>12.27</v>
      </c>
      <c r="E430" s="2"/>
      <c r="F430" s="2"/>
      <c r="G430" s="2"/>
      <c r="H430" s="2"/>
      <c r="I430" s="2"/>
      <c r="J430" s="2"/>
      <c r="K430" s="2"/>
      <c r="L430" s="2"/>
      <c r="M430" s="1">
        <v>78.94</v>
      </c>
      <c r="N430" s="1">
        <v>468.5</v>
      </c>
      <c r="O430" s="1">
        <v>9.0029999999999999E-2</v>
      </c>
      <c r="P430" s="1">
        <v>6.3070000000000001E-2</v>
      </c>
      <c r="Q430" s="1">
        <v>2.9579999999999999E-2</v>
      </c>
      <c r="R430" s="1">
        <v>2.647E-2</v>
      </c>
      <c r="S430" s="1">
        <v>0.16889999999999999</v>
      </c>
      <c r="T430" s="1">
        <v>5.808E-2</v>
      </c>
      <c r="U430" s="1">
        <v>0.1166</v>
      </c>
      <c r="V430" s="1">
        <v>0.49569999999999997</v>
      </c>
      <c r="W430" s="1">
        <v>0.77139999999999997</v>
      </c>
      <c r="X430" s="1">
        <v>8.9550000000000001</v>
      </c>
      <c r="Y430" s="1">
        <v>3.6809999999999998E-3</v>
      </c>
      <c r="Z430" s="1">
        <v>9.1690000000000001E-3</v>
      </c>
      <c r="AA430" s="1">
        <v>8.7320000000000002E-3</v>
      </c>
      <c r="AB430" s="1">
        <v>5.7400000000000003E-3</v>
      </c>
      <c r="AC430" s="1">
        <v>1.129E-2</v>
      </c>
      <c r="AD430" s="1">
        <v>1.366E-3</v>
      </c>
      <c r="AE430" s="1">
        <v>13.61</v>
      </c>
      <c r="AF430" s="1">
        <v>19.27</v>
      </c>
      <c r="AG430" s="1">
        <v>87.22</v>
      </c>
      <c r="AH430" s="1">
        <v>564.9</v>
      </c>
      <c r="AI430" s="1">
        <v>0.12920000000000001</v>
      </c>
      <c r="AJ430" s="1">
        <v>0.2074</v>
      </c>
      <c r="AK430" s="1">
        <v>0.17910000000000001</v>
      </c>
      <c r="AL430" s="1">
        <v>0.107</v>
      </c>
      <c r="AM430" s="1">
        <v>0.311</v>
      </c>
      <c r="AN430" s="1">
        <v>7.5920000000000001E-2</v>
      </c>
    </row>
    <row r="431" spans="1:40" s="1" customFormat="1" ht="15" x14ac:dyDescent="0.25">
      <c r="A431" s="1">
        <v>918192</v>
      </c>
      <c r="B431" s="1" t="s">
        <v>37</v>
      </c>
      <c r="C431" s="1">
        <v>13.94</v>
      </c>
      <c r="D431" s="1">
        <v>13.17</v>
      </c>
      <c r="E431" s="2"/>
      <c r="F431" s="2"/>
      <c r="G431" s="2"/>
      <c r="H431" s="2"/>
      <c r="I431" s="2"/>
      <c r="J431" s="2"/>
      <c r="K431" s="2"/>
      <c r="L431" s="2"/>
      <c r="M431" s="1">
        <v>90.31</v>
      </c>
      <c r="N431" s="1">
        <v>594.20000000000005</v>
      </c>
      <c r="O431" s="1">
        <v>0.12479999999999999</v>
      </c>
      <c r="P431" s="1">
        <v>9.7549999999999998E-2</v>
      </c>
      <c r="Q431" s="1">
        <v>0.10100000000000001</v>
      </c>
      <c r="R431" s="1">
        <v>6.615E-2</v>
      </c>
      <c r="S431" s="1">
        <v>0.1976</v>
      </c>
      <c r="T431" s="1">
        <v>6.4570000000000002E-2</v>
      </c>
      <c r="U431" s="1">
        <v>0.54610000000000003</v>
      </c>
      <c r="V431" s="1">
        <v>2.6349999999999998</v>
      </c>
      <c r="W431" s="1">
        <v>4.0910000000000002</v>
      </c>
      <c r="X431" s="1">
        <v>44.74</v>
      </c>
      <c r="Y431" s="1">
        <v>1.004E-2</v>
      </c>
      <c r="Z431" s="1">
        <v>3.2469999999999999E-2</v>
      </c>
      <c r="AA431" s="1">
        <v>4.7629999999999999E-2</v>
      </c>
      <c r="AB431" s="1">
        <v>2.853E-2</v>
      </c>
      <c r="AC431" s="1">
        <v>1.7149999999999999E-2</v>
      </c>
      <c r="AD431" s="1">
        <v>5.5279999999999999E-3</v>
      </c>
      <c r="AE431" s="1">
        <v>14.62</v>
      </c>
      <c r="AF431" s="1">
        <v>15.38</v>
      </c>
      <c r="AG431" s="1">
        <v>94.52</v>
      </c>
      <c r="AH431" s="1">
        <v>653.29999999999995</v>
      </c>
      <c r="AI431" s="1">
        <v>0.1394</v>
      </c>
      <c r="AJ431" s="1">
        <v>0.13639999999999999</v>
      </c>
      <c r="AK431" s="1">
        <v>0.15590000000000001</v>
      </c>
      <c r="AL431" s="1">
        <v>0.10150000000000001</v>
      </c>
      <c r="AM431" s="1">
        <v>0.216</v>
      </c>
      <c r="AN431" s="1">
        <v>7.2529999999999997E-2</v>
      </c>
    </row>
    <row r="432" spans="1:40" s="1" customFormat="1" ht="15" x14ac:dyDescent="0.25">
      <c r="A432" s="1">
        <v>918465</v>
      </c>
      <c r="B432" s="1" t="s">
        <v>37</v>
      </c>
      <c r="C432" s="1">
        <v>12.07</v>
      </c>
      <c r="D432" s="1">
        <v>13.44</v>
      </c>
      <c r="E432" s="2"/>
      <c r="F432" s="2"/>
      <c r="G432" s="2"/>
      <c r="H432" s="2"/>
      <c r="I432" s="2"/>
      <c r="J432" s="2"/>
      <c r="K432" s="2"/>
      <c r="L432" s="2"/>
      <c r="M432" s="1">
        <v>77.83</v>
      </c>
      <c r="N432" s="1">
        <v>445.2</v>
      </c>
      <c r="O432" s="1">
        <v>0.11</v>
      </c>
      <c r="P432" s="1">
        <v>9.0090000000000003E-2</v>
      </c>
      <c r="Q432" s="1">
        <v>3.7810000000000003E-2</v>
      </c>
      <c r="R432" s="1">
        <v>2.7980000000000001E-2</v>
      </c>
      <c r="S432" s="1">
        <v>0.16569999999999999</v>
      </c>
      <c r="T432" s="1">
        <v>6.608E-2</v>
      </c>
      <c r="U432" s="1">
        <v>0.25130000000000002</v>
      </c>
      <c r="V432" s="1">
        <v>0.504</v>
      </c>
      <c r="W432" s="1">
        <v>1.714</v>
      </c>
      <c r="X432" s="1">
        <v>18.54</v>
      </c>
      <c r="Y432" s="1">
        <v>7.3270000000000002E-3</v>
      </c>
      <c r="Z432" s="1">
        <v>1.153E-2</v>
      </c>
      <c r="AA432" s="1">
        <v>1.7979999999999999E-2</v>
      </c>
      <c r="AB432" s="1">
        <v>7.986E-3</v>
      </c>
      <c r="AC432" s="1">
        <v>1.9619999999999999E-2</v>
      </c>
      <c r="AD432" s="1">
        <v>2.2339999999999999E-3</v>
      </c>
      <c r="AE432" s="1">
        <v>13.45</v>
      </c>
      <c r="AF432" s="1">
        <v>15.77</v>
      </c>
      <c r="AG432" s="1">
        <v>86.92</v>
      </c>
      <c r="AH432" s="1">
        <v>549.9</v>
      </c>
      <c r="AI432" s="1">
        <v>0.15210000000000001</v>
      </c>
      <c r="AJ432" s="1">
        <v>0.16320000000000001</v>
      </c>
      <c r="AK432" s="1">
        <v>0.16220000000000001</v>
      </c>
      <c r="AL432" s="1">
        <v>7.3929999999999996E-2</v>
      </c>
      <c r="AM432" s="1">
        <v>0.27810000000000001</v>
      </c>
      <c r="AN432" s="1">
        <v>8.0519999999999994E-2</v>
      </c>
    </row>
    <row r="433" spans="1:40" s="1" customFormat="1" ht="15" x14ac:dyDescent="0.25">
      <c r="A433" s="1">
        <v>91858</v>
      </c>
      <c r="B433" s="1" t="s">
        <v>37</v>
      </c>
      <c r="C433" s="1">
        <v>11.75</v>
      </c>
      <c r="D433" s="1">
        <v>17.559999999999999</v>
      </c>
      <c r="E433" s="2"/>
      <c r="F433" s="2"/>
      <c r="G433" s="2"/>
      <c r="H433" s="2"/>
      <c r="I433" s="2"/>
      <c r="J433" s="2"/>
      <c r="K433" s="2"/>
      <c r="L433" s="2"/>
      <c r="M433" s="1">
        <v>75.89</v>
      </c>
      <c r="N433" s="1">
        <v>422.9</v>
      </c>
      <c r="O433" s="1">
        <v>0.10730000000000001</v>
      </c>
      <c r="P433" s="1">
        <v>9.7129999999999994E-2</v>
      </c>
      <c r="Q433" s="1">
        <v>5.2819999999999999E-2</v>
      </c>
      <c r="R433" s="1">
        <v>4.4400000000000002E-2</v>
      </c>
      <c r="S433" s="1">
        <v>0.1598</v>
      </c>
      <c r="T433" s="1">
        <v>6.6769999999999996E-2</v>
      </c>
      <c r="U433" s="1">
        <v>0.43840000000000001</v>
      </c>
      <c r="V433" s="1">
        <v>1.907</v>
      </c>
      <c r="W433" s="1">
        <v>3.149</v>
      </c>
      <c r="X433" s="1">
        <v>30.66</v>
      </c>
      <c r="Y433" s="1">
        <v>6.587E-3</v>
      </c>
      <c r="Z433" s="1">
        <v>1.8149999999999999E-2</v>
      </c>
      <c r="AA433" s="1">
        <v>1.737E-2</v>
      </c>
      <c r="AB433" s="1">
        <v>1.316E-2</v>
      </c>
      <c r="AC433" s="1">
        <v>1.8350000000000002E-2</v>
      </c>
      <c r="AD433" s="1">
        <v>2.3180000000000002E-3</v>
      </c>
      <c r="AE433" s="1">
        <v>13.5</v>
      </c>
      <c r="AF433" s="1">
        <v>27.98</v>
      </c>
      <c r="AG433" s="1">
        <v>88.52</v>
      </c>
      <c r="AH433" s="1">
        <v>552.29999999999995</v>
      </c>
      <c r="AI433" s="1">
        <v>0.13489999999999999</v>
      </c>
      <c r="AJ433" s="1">
        <v>0.18540000000000001</v>
      </c>
      <c r="AK433" s="1">
        <v>0.1366</v>
      </c>
      <c r="AL433" s="1">
        <v>0.10100000000000001</v>
      </c>
      <c r="AM433" s="1">
        <v>0.24779999999999999</v>
      </c>
      <c r="AN433" s="1">
        <v>7.757E-2</v>
      </c>
    </row>
    <row r="434" spans="1:40" s="1" customFormat="1" ht="15" x14ac:dyDescent="0.25">
      <c r="A434" s="1">
        <v>91903901</v>
      </c>
      <c r="B434" s="1" t="s">
        <v>37</v>
      </c>
      <c r="C434" s="1">
        <v>11.67</v>
      </c>
      <c r="D434" s="1">
        <v>20.02</v>
      </c>
      <c r="E434" s="2"/>
      <c r="F434" s="2"/>
      <c r="G434" s="2"/>
      <c r="H434" s="2"/>
      <c r="I434" s="2"/>
      <c r="J434" s="2"/>
      <c r="K434" s="2"/>
      <c r="L434" s="2"/>
      <c r="M434" s="1">
        <v>75.209999999999994</v>
      </c>
      <c r="N434" s="1">
        <v>416.2</v>
      </c>
      <c r="O434" s="1">
        <v>0.1016</v>
      </c>
      <c r="P434" s="1">
        <v>9.4530000000000003E-2</v>
      </c>
      <c r="Q434" s="1">
        <v>4.2000000000000003E-2</v>
      </c>
      <c r="R434" s="1">
        <v>2.1569999999999999E-2</v>
      </c>
      <c r="S434" s="1">
        <v>0.18590000000000001</v>
      </c>
      <c r="T434" s="1">
        <v>6.4610000000000001E-2</v>
      </c>
      <c r="U434" s="1">
        <v>0.20669999999999999</v>
      </c>
      <c r="V434" s="1">
        <v>0.87450000000000006</v>
      </c>
      <c r="W434" s="1">
        <v>1.393</v>
      </c>
      <c r="X434" s="1">
        <v>15.34</v>
      </c>
      <c r="Y434" s="1">
        <v>5.2509999999999996E-3</v>
      </c>
      <c r="Z434" s="1">
        <v>1.7270000000000001E-2</v>
      </c>
      <c r="AA434" s="1">
        <v>1.84E-2</v>
      </c>
      <c r="AB434" s="1">
        <v>5.2979999999999998E-3</v>
      </c>
      <c r="AC434" s="1">
        <v>1.4489999999999999E-2</v>
      </c>
      <c r="AD434" s="1">
        <v>2.6710000000000002E-3</v>
      </c>
      <c r="AE434" s="1">
        <v>13.35</v>
      </c>
      <c r="AF434" s="1">
        <v>28.81</v>
      </c>
      <c r="AG434" s="1">
        <v>87</v>
      </c>
      <c r="AH434" s="1">
        <v>550.6</v>
      </c>
      <c r="AI434" s="1">
        <v>0.155</v>
      </c>
      <c r="AJ434" s="1">
        <v>0.2964</v>
      </c>
      <c r="AK434" s="1">
        <v>0.27579999999999999</v>
      </c>
      <c r="AL434" s="1">
        <v>8.1199999999999994E-2</v>
      </c>
      <c r="AM434" s="1">
        <v>0.3206</v>
      </c>
      <c r="AN434" s="1">
        <v>8.9499999999999996E-2</v>
      </c>
    </row>
    <row r="435" spans="1:40" s="1" customFormat="1" ht="15" x14ac:dyDescent="0.25">
      <c r="A435" s="1">
        <v>91903902</v>
      </c>
      <c r="B435" s="1" t="s">
        <v>37</v>
      </c>
      <c r="C435" s="1">
        <v>13.68</v>
      </c>
      <c r="D435" s="1">
        <v>16.329999999999998</v>
      </c>
      <c r="E435" s="2"/>
      <c r="F435" s="2"/>
      <c r="G435" s="2"/>
      <c r="H435" s="2"/>
      <c r="I435" s="2"/>
      <c r="J435" s="2"/>
      <c r="K435" s="2"/>
      <c r="L435" s="2"/>
      <c r="M435" s="1">
        <v>87.76</v>
      </c>
      <c r="N435" s="1">
        <v>575.5</v>
      </c>
      <c r="O435" s="1">
        <v>9.2770000000000005E-2</v>
      </c>
      <c r="P435" s="1">
        <v>7.2550000000000003E-2</v>
      </c>
      <c r="Q435" s="1">
        <v>1.7520000000000001E-2</v>
      </c>
      <c r="R435" s="1">
        <v>1.8800000000000001E-2</v>
      </c>
      <c r="S435" s="1">
        <v>0.16309999999999999</v>
      </c>
      <c r="T435" s="1">
        <v>6.1550000000000001E-2</v>
      </c>
      <c r="U435" s="1">
        <v>0.20469999999999999</v>
      </c>
      <c r="V435" s="1">
        <v>0.48010000000000003</v>
      </c>
      <c r="W435" s="1">
        <v>1.373</v>
      </c>
      <c r="X435" s="1">
        <v>17.25</v>
      </c>
      <c r="Y435" s="1">
        <v>3.8279999999999998E-3</v>
      </c>
      <c r="Z435" s="1">
        <v>7.228E-3</v>
      </c>
      <c r="AA435" s="1">
        <v>7.0780000000000001E-3</v>
      </c>
      <c r="AB435" s="1">
        <v>5.0769999999999999E-3</v>
      </c>
      <c r="AC435" s="1">
        <v>1.0540000000000001E-2</v>
      </c>
      <c r="AD435" s="1">
        <v>1.6969999999999999E-3</v>
      </c>
      <c r="AE435" s="1">
        <v>15.85</v>
      </c>
      <c r="AF435" s="1">
        <v>20.2</v>
      </c>
      <c r="AG435" s="1">
        <v>101.6</v>
      </c>
      <c r="AH435" s="1">
        <v>773.4</v>
      </c>
      <c r="AI435" s="1">
        <v>0.12640000000000001</v>
      </c>
      <c r="AJ435" s="1">
        <v>0.15640000000000001</v>
      </c>
      <c r="AK435" s="1">
        <v>0.1206</v>
      </c>
      <c r="AL435" s="1">
        <v>8.7040000000000006E-2</v>
      </c>
      <c r="AM435" s="1">
        <v>0.28060000000000002</v>
      </c>
      <c r="AN435" s="1">
        <v>7.782E-2</v>
      </c>
    </row>
    <row r="436" spans="1:40" s="1" customFormat="1" ht="15" x14ac:dyDescent="0.25">
      <c r="A436" s="1">
        <v>91930402</v>
      </c>
      <c r="B436" s="1" t="s">
        <v>36</v>
      </c>
      <c r="C436" s="1">
        <v>20.47</v>
      </c>
      <c r="D436" s="1">
        <v>20.67</v>
      </c>
      <c r="E436" s="2"/>
      <c r="F436" s="2"/>
      <c r="G436" s="2"/>
      <c r="H436" s="2"/>
      <c r="I436" s="2"/>
      <c r="J436" s="2"/>
      <c r="K436" s="2"/>
      <c r="L436" s="2"/>
      <c r="M436" s="1">
        <v>134.69999999999999</v>
      </c>
      <c r="N436" s="1">
        <v>1299</v>
      </c>
      <c r="O436" s="1">
        <v>9.1560000000000002E-2</v>
      </c>
      <c r="P436" s="1">
        <v>0.1313</v>
      </c>
      <c r="Q436" s="1">
        <v>0.15229999999999999</v>
      </c>
      <c r="R436" s="1">
        <v>0.10150000000000001</v>
      </c>
      <c r="S436" s="1">
        <v>0.21659999999999999</v>
      </c>
      <c r="T436" s="1">
        <v>5.4190000000000002E-2</v>
      </c>
      <c r="U436" s="1">
        <v>0.83360000000000001</v>
      </c>
      <c r="V436" s="1">
        <v>1.736</v>
      </c>
      <c r="W436" s="1">
        <v>5.1680000000000001</v>
      </c>
      <c r="X436" s="1">
        <v>100.4</v>
      </c>
      <c r="Y436" s="1">
        <v>4.9379999999999997E-3</v>
      </c>
      <c r="Z436" s="1">
        <v>3.0890000000000001E-2</v>
      </c>
      <c r="AA436" s="1">
        <v>4.0930000000000001E-2</v>
      </c>
      <c r="AB436" s="1">
        <v>1.6990000000000002E-2</v>
      </c>
      <c r="AC436" s="1">
        <v>2.8160000000000001E-2</v>
      </c>
      <c r="AD436" s="1">
        <v>2.7190000000000001E-3</v>
      </c>
      <c r="AE436" s="1">
        <v>23.23</v>
      </c>
      <c r="AF436" s="1">
        <v>27.15</v>
      </c>
      <c r="AG436" s="1">
        <v>152</v>
      </c>
      <c r="AH436" s="1">
        <v>1645</v>
      </c>
      <c r="AI436" s="1">
        <v>0.10970000000000001</v>
      </c>
      <c r="AJ436" s="1">
        <v>0.25340000000000001</v>
      </c>
      <c r="AK436" s="1">
        <v>0.30919999999999997</v>
      </c>
      <c r="AL436" s="1">
        <v>0.1613</v>
      </c>
      <c r="AM436" s="1">
        <v>0.32200000000000001</v>
      </c>
      <c r="AN436" s="1">
        <v>6.386E-2</v>
      </c>
    </row>
    <row r="437" spans="1:40" s="1" customFormat="1" ht="15" x14ac:dyDescent="0.25">
      <c r="A437" s="1">
        <v>919537</v>
      </c>
      <c r="B437" s="1" t="s">
        <v>37</v>
      </c>
      <c r="C437" s="1">
        <v>10.96</v>
      </c>
      <c r="D437" s="1">
        <v>17.62</v>
      </c>
      <c r="E437" s="2"/>
      <c r="F437" s="2"/>
      <c r="G437" s="2"/>
      <c r="H437" s="2"/>
      <c r="I437" s="2"/>
      <c r="J437" s="2"/>
      <c r="K437" s="2"/>
      <c r="L437" s="2"/>
      <c r="M437" s="1">
        <v>70.790000000000006</v>
      </c>
      <c r="N437" s="1">
        <v>365.6</v>
      </c>
      <c r="O437" s="1">
        <v>9.6869999999999998E-2</v>
      </c>
      <c r="P437" s="1">
        <v>9.7519999999999996E-2</v>
      </c>
      <c r="Q437" s="1">
        <v>5.2630000000000003E-2</v>
      </c>
      <c r="R437" s="1">
        <v>2.7879999999999999E-2</v>
      </c>
      <c r="S437" s="1">
        <v>0.16189999999999999</v>
      </c>
      <c r="T437" s="1">
        <v>6.4079999999999998E-2</v>
      </c>
      <c r="U437" s="1">
        <v>0.1507</v>
      </c>
      <c r="V437" s="1">
        <v>1.583</v>
      </c>
      <c r="W437" s="1">
        <v>1.165</v>
      </c>
      <c r="X437" s="1">
        <v>10.09</v>
      </c>
      <c r="Y437" s="1">
        <v>9.5010000000000008E-3</v>
      </c>
      <c r="Z437" s="1">
        <v>3.3779999999999998E-2</v>
      </c>
      <c r="AA437" s="1">
        <v>4.4010000000000001E-2</v>
      </c>
      <c r="AB437" s="1">
        <v>1.346E-2</v>
      </c>
      <c r="AC437" s="1">
        <v>1.3220000000000001E-2</v>
      </c>
      <c r="AD437" s="1">
        <v>3.5339999999999998E-3</v>
      </c>
      <c r="AE437" s="1">
        <v>11.62</v>
      </c>
      <c r="AF437" s="1">
        <v>26.51</v>
      </c>
      <c r="AG437" s="1">
        <v>76.430000000000007</v>
      </c>
      <c r="AH437" s="1">
        <v>407.5</v>
      </c>
      <c r="AI437" s="1">
        <v>0.14280000000000001</v>
      </c>
      <c r="AJ437" s="1">
        <v>0.251</v>
      </c>
      <c r="AK437" s="1">
        <v>0.21229999999999999</v>
      </c>
      <c r="AL437" s="1">
        <v>9.8610000000000003E-2</v>
      </c>
      <c r="AM437" s="1">
        <v>0.22889999999999999</v>
      </c>
      <c r="AN437" s="1">
        <v>8.2780000000000006E-2</v>
      </c>
    </row>
    <row r="438" spans="1:40" s="1" customFormat="1" ht="15" x14ac:dyDescent="0.25">
      <c r="A438" s="1">
        <v>919555</v>
      </c>
      <c r="B438" s="1" t="s">
        <v>36</v>
      </c>
      <c r="C438" s="1">
        <v>20.55</v>
      </c>
      <c r="D438" s="1">
        <v>20.86</v>
      </c>
      <c r="E438" s="2"/>
      <c r="F438" s="2"/>
      <c r="G438" s="2"/>
      <c r="H438" s="2"/>
      <c r="I438" s="2"/>
      <c r="J438" s="2"/>
      <c r="K438" s="2"/>
      <c r="L438" s="2"/>
      <c r="M438" s="1">
        <v>137.80000000000001</v>
      </c>
      <c r="N438" s="1">
        <v>1308</v>
      </c>
      <c r="O438" s="1">
        <v>0.1046</v>
      </c>
      <c r="P438" s="1">
        <v>0.1739</v>
      </c>
      <c r="Q438" s="1">
        <v>0.20849999999999999</v>
      </c>
      <c r="R438" s="1">
        <v>0.13220000000000001</v>
      </c>
      <c r="S438" s="1">
        <v>0.2127</v>
      </c>
      <c r="T438" s="1">
        <v>6.2509999999999996E-2</v>
      </c>
      <c r="U438" s="1">
        <v>0.6986</v>
      </c>
      <c r="V438" s="1">
        <v>0.99009999999999998</v>
      </c>
      <c r="W438" s="1">
        <v>4.7060000000000004</v>
      </c>
      <c r="X438" s="1">
        <v>87.78</v>
      </c>
      <c r="Y438" s="1">
        <v>4.5779999999999996E-3</v>
      </c>
      <c r="Z438" s="1">
        <v>2.6159999999999999E-2</v>
      </c>
      <c r="AA438" s="1">
        <v>4.0050000000000002E-2</v>
      </c>
      <c r="AB438" s="1">
        <v>1.421E-2</v>
      </c>
      <c r="AC438" s="1">
        <v>1.9480000000000001E-2</v>
      </c>
      <c r="AD438" s="1">
        <v>2.689E-3</v>
      </c>
      <c r="AE438" s="1">
        <v>24.3</v>
      </c>
      <c r="AF438" s="1">
        <v>25.48</v>
      </c>
      <c r="AG438" s="1">
        <v>160.19999999999999</v>
      </c>
      <c r="AH438" s="1">
        <v>1809</v>
      </c>
      <c r="AI438" s="1">
        <v>0.1268</v>
      </c>
      <c r="AJ438" s="1">
        <v>0.3135</v>
      </c>
      <c r="AK438" s="1">
        <v>0.44330000000000003</v>
      </c>
      <c r="AL438" s="1">
        <v>0.21479999999999999</v>
      </c>
      <c r="AM438" s="1">
        <v>0.30769999999999997</v>
      </c>
      <c r="AN438" s="1">
        <v>7.5689999999999993E-2</v>
      </c>
    </row>
    <row r="439" spans="1:40" s="1" customFormat="1" ht="15" x14ac:dyDescent="0.25">
      <c r="A439" s="1">
        <v>91979701</v>
      </c>
      <c r="B439" s="1" t="s">
        <v>36</v>
      </c>
      <c r="C439" s="1">
        <v>14.27</v>
      </c>
      <c r="D439" s="1">
        <v>22.55</v>
      </c>
      <c r="E439" s="2"/>
      <c r="F439" s="2"/>
      <c r="G439" s="2"/>
      <c r="H439" s="2"/>
      <c r="I439" s="2"/>
      <c r="J439" s="2"/>
      <c r="K439" s="2"/>
      <c r="L439" s="2"/>
      <c r="M439" s="1">
        <v>93.77</v>
      </c>
      <c r="N439" s="1">
        <v>629.79999999999995</v>
      </c>
      <c r="O439" s="1">
        <v>0.1038</v>
      </c>
      <c r="P439" s="1">
        <v>0.1154</v>
      </c>
      <c r="Q439" s="1">
        <v>0.14630000000000001</v>
      </c>
      <c r="R439" s="1">
        <v>6.139E-2</v>
      </c>
      <c r="S439" s="1">
        <v>0.19259999999999999</v>
      </c>
      <c r="T439" s="1">
        <v>5.9819999999999998E-2</v>
      </c>
      <c r="U439" s="1">
        <v>0.20269999999999999</v>
      </c>
      <c r="V439" s="1">
        <v>1.851</v>
      </c>
      <c r="W439" s="1">
        <v>1.895</v>
      </c>
      <c r="X439" s="1">
        <v>18.54</v>
      </c>
      <c r="Y439" s="1">
        <v>6.1130000000000004E-3</v>
      </c>
      <c r="Z439" s="1">
        <v>2.5829999999999999E-2</v>
      </c>
      <c r="AA439" s="1">
        <v>4.6449999999999998E-2</v>
      </c>
      <c r="AB439" s="1">
        <v>1.2760000000000001E-2</v>
      </c>
      <c r="AC439" s="1">
        <v>1.451E-2</v>
      </c>
      <c r="AD439" s="1">
        <v>3.7559999999999998E-3</v>
      </c>
      <c r="AE439" s="1">
        <v>15.29</v>
      </c>
      <c r="AF439" s="1">
        <v>34.270000000000003</v>
      </c>
      <c r="AG439" s="1">
        <v>104.3</v>
      </c>
      <c r="AH439" s="1">
        <v>728.3</v>
      </c>
      <c r="AI439" s="1">
        <v>0.13800000000000001</v>
      </c>
      <c r="AJ439" s="1">
        <v>0.27329999999999999</v>
      </c>
      <c r="AK439" s="1">
        <v>0.4234</v>
      </c>
      <c r="AL439" s="1">
        <v>0.13619999999999999</v>
      </c>
      <c r="AM439" s="1">
        <v>0.26979999999999998</v>
      </c>
      <c r="AN439" s="1">
        <v>8.3510000000000001E-2</v>
      </c>
    </row>
    <row r="440" spans="1:40" s="1" customFormat="1" ht="15" x14ac:dyDescent="0.25">
      <c r="A440" s="1">
        <v>919812</v>
      </c>
      <c r="B440" s="1" t="s">
        <v>37</v>
      </c>
      <c r="C440" s="1">
        <v>11.69</v>
      </c>
      <c r="D440" s="1">
        <v>24.44</v>
      </c>
      <c r="E440" s="2"/>
      <c r="F440" s="2"/>
      <c r="G440" s="2"/>
      <c r="H440" s="2"/>
      <c r="I440" s="2"/>
      <c r="J440" s="2"/>
      <c r="K440" s="2"/>
      <c r="L440" s="2"/>
      <c r="M440" s="1">
        <v>76.37</v>
      </c>
      <c r="N440" s="1">
        <v>406.4</v>
      </c>
      <c r="O440" s="1">
        <v>0.1236</v>
      </c>
      <c r="P440" s="1">
        <v>0.1552</v>
      </c>
      <c r="Q440" s="1">
        <v>4.5150000000000003E-2</v>
      </c>
      <c r="R440" s="1">
        <v>4.5310000000000003E-2</v>
      </c>
      <c r="S440" s="1">
        <v>0.21310000000000001</v>
      </c>
      <c r="T440" s="1">
        <v>7.4050000000000005E-2</v>
      </c>
      <c r="U440" s="1">
        <v>0.29570000000000002</v>
      </c>
      <c r="V440" s="1">
        <v>1.978</v>
      </c>
      <c r="W440" s="1">
        <v>2.1579999999999999</v>
      </c>
      <c r="X440" s="1">
        <v>20.95</v>
      </c>
      <c r="Y440" s="1">
        <v>1.2880000000000001E-2</v>
      </c>
      <c r="Z440" s="1">
        <v>3.4950000000000002E-2</v>
      </c>
      <c r="AA440" s="1">
        <v>1.865E-2</v>
      </c>
      <c r="AB440" s="1">
        <v>1.7659999999999999E-2</v>
      </c>
      <c r="AC440" s="1">
        <v>1.5599999999999999E-2</v>
      </c>
      <c r="AD440" s="1">
        <v>5.8240000000000002E-3</v>
      </c>
      <c r="AE440" s="1">
        <v>12.98</v>
      </c>
      <c r="AF440" s="1">
        <v>32.19</v>
      </c>
      <c r="AG440" s="1">
        <v>86.12</v>
      </c>
      <c r="AH440" s="1">
        <v>487.7</v>
      </c>
      <c r="AI440" s="1">
        <v>0.17680000000000001</v>
      </c>
      <c r="AJ440" s="1">
        <v>0.3251</v>
      </c>
      <c r="AK440" s="1">
        <v>0.13950000000000001</v>
      </c>
      <c r="AL440" s="1">
        <v>0.1308</v>
      </c>
      <c r="AM440" s="1">
        <v>0.28029999999999999</v>
      </c>
      <c r="AN440" s="1">
        <v>9.9699999999999997E-2</v>
      </c>
    </row>
    <row r="441" spans="1:40" s="1" customFormat="1" ht="15" x14ac:dyDescent="0.25">
      <c r="A441" s="1">
        <v>921092</v>
      </c>
      <c r="B441" s="1" t="s">
        <v>37</v>
      </c>
      <c r="C441" s="1">
        <v>7.7290000000000001</v>
      </c>
      <c r="D441" s="1">
        <v>25.49</v>
      </c>
      <c r="E441" s="2"/>
      <c r="F441" s="2"/>
      <c r="G441" s="2"/>
      <c r="H441" s="2"/>
      <c r="I441" s="2"/>
      <c r="J441" s="2"/>
      <c r="K441" s="2"/>
      <c r="L441" s="2"/>
      <c r="M441" s="1">
        <v>47.98</v>
      </c>
      <c r="N441" s="1">
        <v>178.8</v>
      </c>
      <c r="O441" s="1">
        <v>8.0979999999999996E-2</v>
      </c>
      <c r="P441" s="1">
        <v>4.8779999999999997E-2</v>
      </c>
      <c r="Q441" s="1">
        <v>0</v>
      </c>
      <c r="R441" s="1">
        <v>0</v>
      </c>
      <c r="S441" s="1">
        <v>0.187</v>
      </c>
      <c r="T441" s="1">
        <v>7.2849999999999998E-2</v>
      </c>
      <c r="U441" s="1">
        <v>0.37769999999999998</v>
      </c>
      <c r="V441" s="1">
        <v>1.462</v>
      </c>
      <c r="W441" s="1">
        <v>2.492</v>
      </c>
      <c r="X441" s="1">
        <v>19.14</v>
      </c>
      <c r="Y441" s="1">
        <v>1.2659999999999999E-2</v>
      </c>
      <c r="Z441" s="1">
        <v>9.6919999999999992E-3</v>
      </c>
      <c r="AA441" s="1">
        <v>0</v>
      </c>
      <c r="AB441" s="1">
        <v>0</v>
      </c>
      <c r="AC441" s="1">
        <v>2.8819999999999998E-2</v>
      </c>
      <c r="AD441" s="1">
        <v>6.8719999999999996E-3</v>
      </c>
      <c r="AE441" s="1">
        <v>9.077</v>
      </c>
      <c r="AF441" s="1">
        <v>30.92</v>
      </c>
      <c r="AG441" s="1">
        <v>57.17</v>
      </c>
      <c r="AH441" s="1">
        <v>248</v>
      </c>
      <c r="AI441" s="1">
        <v>0.12559999999999999</v>
      </c>
      <c r="AJ441" s="1">
        <v>8.3400000000000002E-2</v>
      </c>
      <c r="AK441" s="1">
        <v>0</v>
      </c>
      <c r="AL441" s="1">
        <v>0</v>
      </c>
      <c r="AM441" s="1">
        <v>0.30580000000000002</v>
      </c>
      <c r="AN441" s="1">
        <v>9.9379999999999996E-2</v>
      </c>
    </row>
    <row r="442" spans="1:40" s="1" customFormat="1" ht="15" x14ac:dyDescent="0.25">
      <c r="A442" s="1">
        <v>921362</v>
      </c>
      <c r="B442" s="1" t="s">
        <v>37</v>
      </c>
      <c r="C442" s="1">
        <v>7.6909999999999998</v>
      </c>
      <c r="D442" s="1">
        <v>25.44</v>
      </c>
      <c r="E442" s="2"/>
      <c r="F442" s="2"/>
      <c r="G442" s="2"/>
      <c r="H442" s="2"/>
      <c r="I442" s="2"/>
      <c r="J442" s="2"/>
      <c r="K442" s="2"/>
      <c r="L442" s="2"/>
      <c r="M442" s="1">
        <v>48.34</v>
      </c>
      <c r="N442" s="1">
        <v>170.4</v>
      </c>
      <c r="O442" s="1">
        <v>8.6679999999999993E-2</v>
      </c>
      <c r="P442" s="1">
        <v>0.11990000000000001</v>
      </c>
      <c r="Q442" s="1">
        <v>9.2520000000000005E-2</v>
      </c>
      <c r="R442" s="1">
        <v>1.3639999999999999E-2</v>
      </c>
      <c r="S442" s="1">
        <v>0.20369999999999999</v>
      </c>
      <c r="T442" s="1">
        <v>7.7509999999999996E-2</v>
      </c>
      <c r="U442" s="1">
        <v>0.21959999999999999</v>
      </c>
      <c r="V442" s="1">
        <v>1.4790000000000001</v>
      </c>
      <c r="W442" s="1">
        <v>1.4450000000000001</v>
      </c>
      <c r="X442" s="1">
        <v>11.73</v>
      </c>
      <c r="Y442" s="1">
        <v>1.5469999999999999E-2</v>
      </c>
      <c r="Z442" s="1">
        <v>6.4570000000000002E-2</v>
      </c>
      <c r="AA442" s="1">
        <v>9.2520000000000005E-2</v>
      </c>
      <c r="AB442" s="1">
        <v>1.3639999999999999E-2</v>
      </c>
      <c r="AC442" s="1">
        <v>2.1049999999999999E-2</v>
      </c>
      <c r="AD442" s="1">
        <v>7.5510000000000004E-3</v>
      </c>
      <c r="AE442" s="1">
        <v>8.6780000000000008</v>
      </c>
      <c r="AF442" s="1">
        <v>31.89</v>
      </c>
      <c r="AG442" s="1">
        <v>54.49</v>
      </c>
      <c r="AH442" s="1">
        <v>223.6</v>
      </c>
      <c r="AI442" s="1">
        <v>0.15959999999999999</v>
      </c>
      <c r="AJ442" s="1">
        <v>0.30640000000000001</v>
      </c>
      <c r="AK442" s="1">
        <v>0.33929999999999999</v>
      </c>
      <c r="AL442" s="1">
        <v>0.05</v>
      </c>
      <c r="AM442" s="1">
        <v>0.27900000000000003</v>
      </c>
      <c r="AN442" s="1">
        <v>0.1066</v>
      </c>
    </row>
    <row r="443" spans="1:40" s="1" customFormat="1" ht="15" x14ac:dyDescent="0.25">
      <c r="A443" s="1">
        <v>921385</v>
      </c>
      <c r="B443" s="1" t="s">
        <v>37</v>
      </c>
      <c r="C443" s="1">
        <v>11.54</v>
      </c>
      <c r="D443" s="1">
        <v>14.44</v>
      </c>
      <c r="E443" s="2"/>
      <c r="F443" s="2"/>
      <c r="G443" s="2"/>
      <c r="H443" s="2"/>
      <c r="I443" s="2"/>
      <c r="J443" s="2"/>
      <c r="K443" s="2"/>
      <c r="L443" s="2"/>
      <c r="M443" s="1">
        <v>74.650000000000006</v>
      </c>
      <c r="N443" s="1">
        <v>402.9</v>
      </c>
      <c r="O443" s="1">
        <v>9.9839999999999998E-2</v>
      </c>
      <c r="P443" s="1">
        <v>0.112</v>
      </c>
      <c r="Q443" s="1">
        <v>6.7369999999999999E-2</v>
      </c>
      <c r="R443" s="1">
        <v>2.5940000000000001E-2</v>
      </c>
      <c r="S443" s="1">
        <v>0.18179999999999999</v>
      </c>
      <c r="T443" s="1">
        <v>6.7820000000000005E-2</v>
      </c>
      <c r="U443" s="1">
        <v>0.27839999999999998</v>
      </c>
      <c r="V443" s="1">
        <v>1.768</v>
      </c>
      <c r="W443" s="1">
        <v>1.6279999999999999</v>
      </c>
      <c r="X443" s="1">
        <v>20.86</v>
      </c>
      <c r="Y443" s="1">
        <v>1.2149999999999999E-2</v>
      </c>
      <c r="Z443" s="1">
        <v>4.1119999999999997E-2</v>
      </c>
      <c r="AA443" s="1">
        <v>5.5530000000000003E-2</v>
      </c>
      <c r="AB443" s="1">
        <v>1.494E-2</v>
      </c>
      <c r="AC443" s="1">
        <v>1.84E-2</v>
      </c>
      <c r="AD443" s="1">
        <v>5.5120000000000004E-3</v>
      </c>
      <c r="AE443" s="1">
        <v>12.26</v>
      </c>
      <c r="AF443" s="1">
        <v>19.68</v>
      </c>
      <c r="AG443" s="1">
        <v>78.78</v>
      </c>
      <c r="AH443" s="1">
        <v>457.8</v>
      </c>
      <c r="AI443" s="1">
        <v>0.13450000000000001</v>
      </c>
      <c r="AJ443" s="1">
        <v>0.21179999999999999</v>
      </c>
      <c r="AK443" s="1">
        <v>0.1797</v>
      </c>
      <c r="AL443" s="1">
        <v>6.9180000000000005E-2</v>
      </c>
      <c r="AM443" s="1">
        <v>0.2329</v>
      </c>
      <c r="AN443" s="1">
        <v>8.1339999999999996E-2</v>
      </c>
    </row>
    <row r="444" spans="1:40" s="1" customFormat="1" ht="15" x14ac:dyDescent="0.25">
      <c r="A444" s="1">
        <v>921386</v>
      </c>
      <c r="B444" s="1" t="s">
        <v>37</v>
      </c>
      <c r="C444" s="1">
        <v>14.47</v>
      </c>
      <c r="D444" s="1">
        <v>24.99</v>
      </c>
      <c r="E444" s="2"/>
      <c r="F444" s="2"/>
      <c r="G444" s="2"/>
      <c r="H444" s="2"/>
      <c r="I444" s="2"/>
      <c r="J444" s="2"/>
      <c r="K444" s="2"/>
      <c r="L444" s="2"/>
      <c r="M444" s="1">
        <v>95.81</v>
      </c>
      <c r="N444" s="1">
        <v>656.4</v>
      </c>
      <c r="O444" s="1">
        <v>8.8370000000000004E-2</v>
      </c>
      <c r="P444" s="1">
        <v>0.123</v>
      </c>
      <c r="Q444" s="1">
        <v>0.1009</v>
      </c>
      <c r="R444" s="1">
        <v>3.8899999999999997E-2</v>
      </c>
      <c r="S444" s="1">
        <v>0.18720000000000001</v>
      </c>
      <c r="T444" s="1">
        <v>6.3409999999999994E-2</v>
      </c>
      <c r="U444" s="1">
        <v>0.25419999999999998</v>
      </c>
      <c r="V444" s="1">
        <v>1.079</v>
      </c>
      <c r="W444" s="1">
        <v>2.6150000000000002</v>
      </c>
      <c r="X444" s="1">
        <v>23.11</v>
      </c>
      <c r="Y444" s="1">
        <v>7.1380000000000002E-3</v>
      </c>
      <c r="Z444" s="1">
        <v>4.6530000000000002E-2</v>
      </c>
      <c r="AA444" s="1">
        <v>3.8289999999999998E-2</v>
      </c>
      <c r="AB444" s="1">
        <v>1.162E-2</v>
      </c>
      <c r="AC444" s="1">
        <v>2.068E-2</v>
      </c>
      <c r="AD444" s="1">
        <v>6.1110000000000001E-3</v>
      </c>
      <c r="AE444" s="1">
        <v>16.22</v>
      </c>
      <c r="AF444" s="1">
        <v>31.73</v>
      </c>
      <c r="AG444" s="1">
        <v>113.5</v>
      </c>
      <c r="AH444" s="1">
        <v>808.9</v>
      </c>
      <c r="AI444" s="1">
        <v>0.13400000000000001</v>
      </c>
      <c r="AJ444" s="1">
        <v>0.42020000000000002</v>
      </c>
      <c r="AK444" s="1">
        <v>0.40400000000000003</v>
      </c>
      <c r="AL444" s="1">
        <v>0.1205</v>
      </c>
      <c r="AM444" s="1">
        <v>0.31869999999999998</v>
      </c>
      <c r="AN444" s="1">
        <v>0.1023</v>
      </c>
    </row>
    <row r="445" spans="1:40" s="1" customFormat="1" ht="15" x14ac:dyDescent="0.25">
      <c r="A445" s="1">
        <v>921644</v>
      </c>
      <c r="B445" s="1" t="s">
        <v>37</v>
      </c>
      <c r="C445" s="1">
        <v>14.74</v>
      </c>
      <c r="D445" s="1">
        <v>25.42</v>
      </c>
      <c r="E445" s="2"/>
      <c r="F445" s="2"/>
      <c r="G445" s="2"/>
      <c r="H445" s="2"/>
      <c r="I445" s="2"/>
      <c r="J445" s="2"/>
      <c r="K445" s="2"/>
      <c r="L445" s="2"/>
      <c r="M445" s="1">
        <v>94.7</v>
      </c>
      <c r="N445" s="1">
        <v>668.6</v>
      </c>
      <c r="O445" s="1">
        <v>8.2750000000000004E-2</v>
      </c>
      <c r="P445" s="1">
        <v>7.2139999999999996E-2</v>
      </c>
      <c r="Q445" s="1">
        <v>4.1050000000000003E-2</v>
      </c>
      <c r="R445" s="1">
        <v>3.0269999999999998E-2</v>
      </c>
      <c r="S445" s="1">
        <v>0.184</v>
      </c>
      <c r="T445" s="1">
        <v>5.6800000000000003E-2</v>
      </c>
      <c r="U445" s="1">
        <v>0.30309999999999998</v>
      </c>
      <c r="V445" s="1">
        <v>1.385</v>
      </c>
      <c r="W445" s="1">
        <v>2.177</v>
      </c>
      <c r="X445" s="1">
        <v>27.41</v>
      </c>
      <c r="Y445" s="1">
        <v>4.7749999999999997E-3</v>
      </c>
      <c r="Z445" s="1">
        <v>1.172E-2</v>
      </c>
      <c r="AA445" s="1">
        <v>1.9470000000000001E-2</v>
      </c>
      <c r="AB445" s="1">
        <v>1.269E-2</v>
      </c>
      <c r="AC445" s="1">
        <v>1.8700000000000001E-2</v>
      </c>
      <c r="AD445" s="1">
        <v>2.6259999999999999E-3</v>
      </c>
      <c r="AE445" s="1">
        <v>16.510000000000002</v>
      </c>
      <c r="AF445" s="1">
        <v>32.29</v>
      </c>
      <c r="AG445" s="1">
        <v>107.4</v>
      </c>
      <c r="AH445" s="1">
        <v>826.4</v>
      </c>
      <c r="AI445" s="1">
        <v>0.106</v>
      </c>
      <c r="AJ445" s="1">
        <v>0.1376</v>
      </c>
      <c r="AK445" s="1">
        <v>0.16109999999999999</v>
      </c>
      <c r="AL445" s="1">
        <v>0.1095</v>
      </c>
      <c r="AM445" s="1">
        <v>0.2722</v>
      </c>
      <c r="AN445" s="1">
        <v>6.9559999999999997E-2</v>
      </c>
    </row>
    <row r="446" spans="1:40" s="1" customFormat="1" ht="15" x14ac:dyDescent="0.25">
      <c r="A446" s="1">
        <v>922296</v>
      </c>
      <c r="B446" s="1" t="s">
        <v>37</v>
      </c>
      <c r="C446" s="1">
        <v>13.21</v>
      </c>
      <c r="D446" s="1">
        <v>28.06</v>
      </c>
      <c r="E446" s="2"/>
      <c r="F446" s="2"/>
      <c r="G446" s="2"/>
      <c r="H446" s="2"/>
      <c r="I446" s="2"/>
      <c r="J446" s="2"/>
      <c r="K446" s="2"/>
      <c r="L446" s="2"/>
      <c r="M446" s="1">
        <v>84.88</v>
      </c>
      <c r="N446" s="1">
        <v>538.4</v>
      </c>
      <c r="O446" s="1">
        <v>8.6709999999999995E-2</v>
      </c>
      <c r="P446" s="1">
        <v>6.8769999999999998E-2</v>
      </c>
      <c r="Q446" s="1">
        <v>2.9870000000000001E-2</v>
      </c>
      <c r="R446" s="1">
        <v>3.2750000000000001E-2</v>
      </c>
      <c r="S446" s="1">
        <v>0.1628</v>
      </c>
      <c r="T446" s="1">
        <v>5.781E-2</v>
      </c>
      <c r="U446" s="1">
        <v>0.2351</v>
      </c>
      <c r="V446" s="1">
        <v>1.597</v>
      </c>
      <c r="W446" s="1">
        <v>1.5389999999999999</v>
      </c>
      <c r="X446" s="1">
        <v>17.850000000000001</v>
      </c>
      <c r="Y446" s="1">
        <v>4.973E-3</v>
      </c>
      <c r="Z446" s="1">
        <v>1.372E-2</v>
      </c>
      <c r="AA446" s="1">
        <v>1.498E-2</v>
      </c>
      <c r="AB446" s="1">
        <v>9.1170000000000001E-3</v>
      </c>
      <c r="AC446" s="1">
        <v>1.7239999999999998E-2</v>
      </c>
      <c r="AD446" s="1">
        <v>1.343E-3</v>
      </c>
      <c r="AE446" s="1">
        <v>14.37</v>
      </c>
      <c r="AF446" s="1">
        <v>37.17</v>
      </c>
      <c r="AG446" s="1">
        <v>92.48</v>
      </c>
      <c r="AH446" s="1">
        <v>629.6</v>
      </c>
      <c r="AI446" s="1">
        <v>0.1072</v>
      </c>
      <c r="AJ446" s="1">
        <v>0.1381</v>
      </c>
      <c r="AK446" s="1">
        <v>0.1062</v>
      </c>
      <c r="AL446" s="1">
        <v>7.9579999999999998E-2</v>
      </c>
      <c r="AM446" s="1">
        <v>0.24729999999999999</v>
      </c>
      <c r="AN446" s="1">
        <v>6.4430000000000001E-2</v>
      </c>
    </row>
    <row r="447" spans="1:40" s="1" customFormat="1" ht="15" x14ac:dyDescent="0.25">
      <c r="A447" s="1">
        <v>922297</v>
      </c>
      <c r="B447" s="1" t="s">
        <v>37</v>
      </c>
      <c r="C447" s="1">
        <v>13.87</v>
      </c>
      <c r="D447" s="1">
        <v>20.7</v>
      </c>
      <c r="E447" s="2"/>
      <c r="F447" s="2"/>
      <c r="G447" s="2"/>
      <c r="H447" s="2"/>
      <c r="I447" s="2"/>
      <c r="J447" s="2"/>
      <c r="K447" s="2"/>
      <c r="L447" s="2"/>
      <c r="M447" s="1">
        <v>89.77</v>
      </c>
      <c r="N447" s="1">
        <v>584.79999999999995</v>
      </c>
      <c r="O447" s="1">
        <v>9.5780000000000004E-2</v>
      </c>
      <c r="P447" s="1">
        <v>0.1018</v>
      </c>
      <c r="Q447" s="1">
        <v>3.6880000000000003E-2</v>
      </c>
      <c r="R447" s="1">
        <v>2.3689999999999999E-2</v>
      </c>
      <c r="S447" s="1">
        <v>0.16200000000000001</v>
      </c>
      <c r="T447" s="1">
        <v>6.6879999999999995E-2</v>
      </c>
      <c r="U447" s="1">
        <v>0.27200000000000002</v>
      </c>
      <c r="V447" s="1">
        <v>1.0469999999999999</v>
      </c>
      <c r="W447" s="1">
        <v>2.0760000000000001</v>
      </c>
      <c r="X447" s="1">
        <v>23.12</v>
      </c>
      <c r="Y447" s="1">
        <v>6.2979999999999998E-3</v>
      </c>
      <c r="Z447" s="1">
        <v>2.172E-2</v>
      </c>
      <c r="AA447" s="1">
        <v>2.615E-2</v>
      </c>
      <c r="AB447" s="1">
        <v>9.0609999999999996E-3</v>
      </c>
      <c r="AC447" s="1">
        <v>1.49E-2</v>
      </c>
      <c r="AD447" s="1">
        <v>3.5990000000000002E-3</v>
      </c>
      <c r="AE447" s="1">
        <v>15.05</v>
      </c>
      <c r="AF447" s="1">
        <v>24.75</v>
      </c>
      <c r="AG447" s="1">
        <v>99.17</v>
      </c>
      <c r="AH447" s="1">
        <v>688.6</v>
      </c>
      <c r="AI447" s="1">
        <v>0.12640000000000001</v>
      </c>
      <c r="AJ447" s="1">
        <v>0.20369999999999999</v>
      </c>
      <c r="AK447" s="1">
        <v>0.13769999999999999</v>
      </c>
      <c r="AL447" s="1">
        <v>6.8449999999999997E-2</v>
      </c>
      <c r="AM447" s="1">
        <v>0.22489999999999999</v>
      </c>
      <c r="AN447" s="1">
        <v>8.4919999999999995E-2</v>
      </c>
    </row>
    <row r="448" spans="1:40" s="1" customFormat="1" ht="15" x14ac:dyDescent="0.25">
      <c r="A448" s="1">
        <v>922576</v>
      </c>
      <c r="B448" s="1" t="s">
        <v>37</v>
      </c>
      <c r="C448" s="1">
        <v>13.62</v>
      </c>
      <c r="D448" s="1">
        <v>23.23</v>
      </c>
      <c r="E448" s="2"/>
      <c r="F448" s="2"/>
      <c r="G448" s="2"/>
      <c r="H448" s="2"/>
      <c r="I448" s="2"/>
      <c r="J448" s="2"/>
      <c r="K448" s="2"/>
      <c r="L448" s="2"/>
      <c r="M448" s="1">
        <v>87.19</v>
      </c>
      <c r="N448" s="1">
        <v>573.20000000000005</v>
      </c>
      <c r="O448" s="1">
        <v>9.2460000000000001E-2</v>
      </c>
      <c r="P448" s="1">
        <v>6.7470000000000002E-2</v>
      </c>
      <c r="Q448" s="1">
        <v>2.9739999999999999E-2</v>
      </c>
      <c r="R448" s="1">
        <v>2.443E-2</v>
      </c>
      <c r="S448" s="1">
        <v>0.16639999999999999</v>
      </c>
      <c r="T448" s="1">
        <v>5.8009999999999999E-2</v>
      </c>
      <c r="U448" s="1">
        <v>0.34599999999999997</v>
      </c>
      <c r="V448" s="1">
        <v>1.3360000000000001</v>
      </c>
      <c r="W448" s="1">
        <v>2.0659999999999998</v>
      </c>
      <c r="X448" s="1">
        <v>31.24</v>
      </c>
      <c r="Y448" s="1">
        <v>5.868E-3</v>
      </c>
      <c r="Z448" s="1">
        <v>2.0990000000000002E-2</v>
      </c>
      <c r="AA448" s="1">
        <v>2.0209999999999999E-2</v>
      </c>
      <c r="AB448" s="1">
        <v>9.0639999999999991E-3</v>
      </c>
      <c r="AC448" s="1">
        <v>2.087E-2</v>
      </c>
      <c r="AD448" s="1">
        <v>2.5829999999999998E-3</v>
      </c>
      <c r="AE448" s="1">
        <v>15.35</v>
      </c>
      <c r="AF448" s="1">
        <v>29.09</v>
      </c>
      <c r="AG448" s="1">
        <v>97.58</v>
      </c>
      <c r="AH448" s="1">
        <v>729.8</v>
      </c>
      <c r="AI448" s="1">
        <v>0.1216</v>
      </c>
      <c r="AJ448" s="1">
        <v>0.1517</v>
      </c>
      <c r="AK448" s="1">
        <v>0.10489999999999999</v>
      </c>
      <c r="AL448" s="1">
        <v>7.1739999999999998E-2</v>
      </c>
      <c r="AM448" s="1">
        <v>0.26419999999999999</v>
      </c>
      <c r="AN448" s="1">
        <v>6.9529999999999995E-2</v>
      </c>
    </row>
    <row r="449" spans="1:40" s="1" customFormat="1" ht="15" x14ac:dyDescent="0.25">
      <c r="A449" s="1">
        <v>922577</v>
      </c>
      <c r="B449" s="1" t="s">
        <v>37</v>
      </c>
      <c r="C449" s="1">
        <v>10.32</v>
      </c>
      <c r="D449" s="1">
        <v>16.350000000000001</v>
      </c>
      <c r="E449" s="2"/>
      <c r="F449" s="2"/>
      <c r="G449" s="2"/>
      <c r="H449" s="2"/>
      <c r="I449" s="2"/>
      <c r="J449" s="2"/>
      <c r="K449" s="2"/>
      <c r="L449" s="2"/>
      <c r="M449" s="1">
        <v>65.31</v>
      </c>
      <c r="N449" s="1">
        <v>324.89999999999998</v>
      </c>
      <c r="O449" s="1">
        <v>9.4339999999999993E-2</v>
      </c>
      <c r="P449" s="1">
        <v>4.9939999999999998E-2</v>
      </c>
      <c r="Q449" s="1">
        <v>1.0120000000000001E-2</v>
      </c>
      <c r="R449" s="1">
        <v>5.4949999999999999E-3</v>
      </c>
      <c r="S449" s="1">
        <v>0.1885</v>
      </c>
      <c r="T449" s="1">
        <v>6.2010000000000003E-2</v>
      </c>
      <c r="U449" s="1">
        <v>0.2104</v>
      </c>
      <c r="V449" s="1">
        <v>0.96699999999999997</v>
      </c>
      <c r="W449" s="1">
        <v>1.3560000000000001</v>
      </c>
      <c r="X449" s="1">
        <v>12.97</v>
      </c>
      <c r="Y449" s="1">
        <v>7.0860000000000003E-3</v>
      </c>
      <c r="Z449" s="1">
        <v>7.247E-3</v>
      </c>
      <c r="AA449" s="1">
        <v>1.0120000000000001E-2</v>
      </c>
      <c r="AB449" s="1">
        <v>5.4949999999999999E-3</v>
      </c>
      <c r="AC449" s="1">
        <v>1.5599999999999999E-2</v>
      </c>
      <c r="AD449" s="1">
        <v>2.6059999999999998E-3</v>
      </c>
      <c r="AE449" s="1">
        <v>11.25</v>
      </c>
      <c r="AF449" s="1">
        <v>21.77</v>
      </c>
      <c r="AG449" s="1">
        <v>71.12</v>
      </c>
      <c r="AH449" s="1">
        <v>384.9</v>
      </c>
      <c r="AI449" s="1">
        <v>0.1285</v>
      </c>
      <c r="AJ449" s="1">
        <v>8.8419999999999999E-2</v>
      </c>
      <c r="AK449" s="1">
        <v>4.3839999999999997E-2</v>
      </c>
      <c r="AL449" s="1">
        <v>2.3810000000000001E-2</v>
      </c>
      <c r="AM449" s="1">
        <v>0.2681</v>
      </c>
      <c r="AN449" s="1">
        <v>7.399E-2</v>
      </c>
    </row>
    <row r="450" spans="1:40" s="1" customFormat="1" ht="15" x14ac:dyDescent="0.25">
      <c r="A450" s="1">
        <v>922840</v>
      </c>
      <c r="B450" s="1" t="s">
        <v>37</v>
      </c>
      <c r="C450" s="1">
        <v>10.26</v>
      </c>
      <c r="D450" s="1">
        <v>16.579999999999998</v>
      </c>
      <c r="E450" s="2"/>
      <c r="F450" s="2"/>
      <c r="G450" s="2"/>
      <c r="H450" s="2"/>
      <c r="I450" s="2"/>
      <c r="J450" s="2"/>
      <c r="K450" s="2"/>
      <c r="L450" s="2"/>
      <c r="M450" s="1">
        <v>65.849999999999994</v>
      </c>
      <c r="N450" s="1">
        <v>320.8</v>
      </c>
      <c r="O450" s="1">
        <v>8.8770000000000002E-2</v>
      </c>
      <c r="P450" s="1">
        <v>8.0659999999999996E-2</v>
      </c>
      <c r="Q450" s="1">
        <v>4.3580000000000001E-2</v>
      </c>
      <c r="R450" s="1">
        <v>2.4379999999999999E-2</v>
      </c>
      <c r="S450" s="1">
        <v>0.16689999999999999</v>
      </c>
      <c r="T450" s="1">
        <v>6.7140000000000005E-2</v>
      </c>
      <c r="U450" s="1">
        <v>0.1144</v>
      </c>
      <c r="V450" s="1">
        <v>1.0229999999999999</v>
      </c>
      <c r="W450" s="1">
        <v>0.98870000000000002</v>
      </c>
      <c r="X450" s="1">
        <v>7.3259999999999996</v>
      </c>
      <c r="Y450" s="1">
        <v>1.027E-2</v>
      </c>
      <c r="Z450" s="1">
        <v>3.0839999999999999E-2</v>
      </c>
      <c r="AA450" s="1">
        <v>2.613E-2</v>
      </c>
      <c r="AB450" s="1">
        <v>1.0970000000000001E-2</v>
      </c>
      <c r="AC450" s="1">
        <v>2.2769999999999999E-2</v>
      </c>
      <c r="AD450" s="1">
        <v>5.8900000000000003E-3</v>
      </c>
      <c r="AE450" s="1">
        <v>10.83</v>
      </c>
      <c r="AF450" s="1">
        <v>22.04</v>
      </c>
      <c r="AG450" s="1">
        <v>71.08</v>
      </c>
      <c r="AH450" s="1">
        <v>357.4</v>
      </c>
      <c r="AI450" s="1">
        <v>0.14610000000000001</v>
      </c>
      <c r="AJ450" s="1">
        <v>0.22459999999999999</v>
      </c>
      <c r="AK450" s="1">
        <v>0.17829999999999999</v>
      </c>
      <c r="AL450" s="1">
        <v>8.3330000000000001E-2</v>
      </c>
      <c r="AM450" s="1">
        <v>0.26910000000000001</v>
      </c>
      <c r="AN450" s="1">
        <v>9.4789999999999999E-2</v>
      </c>
    </row>
    <row r="451" spans="1:40" s="1" customFormat="1" ht="15" x14ac:dyDescent="0.25">
      <c r="A451" s="1">
        <v>923169</v>
      </c>
      <c r="B451" s="1" t="s">
        <v>37</v>
      </c>
      <c r="C451" s="1">
        <v>9.6829999999999998</v>
      </c>
      <c r="D451" s="1">
        <v>19.34</v>
      </c>
      <c r="E451" s="2"/>
      <c r="F451" s="2"/>
      <c r="G451" s="2"/>
      <c r="H451" s="2"/>
      <c r="I451" s="2"/>
      <c r="J451" s="2"/>
      <c r="K451" s="2"/>
      <c r="L451" s="2"/>
      <c r="M451" s="1">
        <v>61.05</v>
      </c>
      <c r="N451" s="1">
        <v>285.7</v>
      </c>
      <c r="O451" s="1">
        <v>8.4909999999999999E-2</v>
      </c>
      <c r="P451" s="1">
        <v>5.0299999999999997E-2</v>
      </c>
      <c r="Q451" s="1">
        <v>2.3369999999999998E-2</v>
      </c>
      <c r="R451" s="1">
        <v>9.6150000000000003E-3</v>
      </c>
      <c r="S451" s="1">
        <v>0.158</v>
      </c>
      <c r="T451" s="1">
        <v>6.2350000000000003E-2</v>
      </c>
      <c r="U451" s="1">
        <v>0.29570000000000002</v>
      </c>
      <c r="V451" s="1">
        <v>1.363</v>
      </c>
      <c r="W451" s="1">
        <v>2.0539999999999998</v>
      </c>
      <c r="X451" s="1">
        <v>18.239999999999998</v>
      </c>
      <c r="Y451" s="1">
        <v>7.4400000000000004E-3</v>
      </c>
      <c r="Z451" s="1">
        <v>1.123E-2</v>
      </c>
      <c r="AA451" s="1">
        <v>2.3369999999999998E-2</v>
      </c>
      <c r="AB451" s="1">
        <v>9.6150000000000003E-3</v>
      </c>
      <c r="AC451" s="1">
        <v>2.2030000000000001E-2</v>
      </c>
      <c r="AD451" s="1">
        <v>4.1539999999999997E-3</v>
      </c>
      <c r="AE451" s="1">
        <v>10.93</v>
      </c>
      <c r="AF451" s="1">
        <v>25.59</v>
      </c>
      <c r="AG451" s="1">
        <v>69.099999999999994</v>
      </c>
      <c r="AH451" s="1">
        <v>364.2</v>
      </c>
      <c r="AI451" s="1">
        <v>0.11990000000000001</v>
      </c>
      <c r="AJ451" s="1">
        <v>9.5460000000000003E-2</v>
      </c>
      <c r="AK451" s="1">
        <v>9.35E-2</v>
      </c>
      <c r="AL451" s="1">
        <v>3.8460000000000001E-2</v>
      </c>
      <c r="AM451" s="1">
        <v>0.25519999999999998</v>
      </c>
      <c r="AN451" s="1">
        <v>7.9200000000000007E-2</v>
      </c>
    </row>
    <row r="452" spans="1:40" s="1" customFormat="1" ht="15" x14ac:dyDescent="0.25">
      <c r="A452" s="1">
        <v>923465</v>
      </c>
      <c r="B452" s="1" t="s">
        <v>37</v>
      </c>
      <c r="C452" s="1">
        <v>10.82</v>
      </c>
      <c r="D452" s="1">
        <v>24.21</v>
      </c>
      <c r="E452" s="2"/>
      <c r="F452" s="2"/>
      <c r="G452" s="2"/>
      <c r="H452" s="2"/>
      <c r="I452" s="2"/>
      <c r="J452" s="2"/>
      <c r="K452" s="2"/>
      <c r="L452" s="2"/>
      <c r="M452" s="1">
        <v>68.89</v>
      </c>
      <c r="N452" s="1">
        <v>361.6</v>
      </c>
      <c r="O452" s="1">
        <v>8.1920000000000007E-2</v>
      </c>
      <c r="P452" s="1">
        <v>6.6019999999999995E-2</v>
      </c>
      <c r="Q452" s="1">
        <v>1.5480000000000001E-2</v>
      </c>
      <c r="R452" s="1">
        <v>8.1600000000000006E-3</v>
      </c>
      <c r="S452" s="1">
        <v>0.1976</v>
      </c>
      <c r="T452" s="1">
        <v>6.3280000000000003E-2</v>
      </c>
      <c r="U452" s="1">
        <v>0.51959999999999995</v>
      </c>
      <c r="V452" s="1">
        <v>1.9179999999999999</v>
      </c>
      <c r="W452" s="1">
        <v>3.5640000000000001</v>
      </c>
      <c r="X452" s="1">
        <v>33</v>
      </c>
      <c r="Y452" s="1">
        <v>8.2629999999999995E-3</v>
      </c>
      <c r="Z452" s="1">
        <v>1.8700000000000001E-2</v>
      </c>
      <c r="AA452" s="1">
        <v>1.277E-2</v>
      </c>
      <c r="AB452" s="1">
        <v>5.9170000000000004E-3</v>
      </c>
      <c r="AC452" s="1">
        <v>2.4660000000000001E-2</v>
      </c>
      <c r="AD452" s="1">
        <v>2.977E-3</v>
      </c>
      <c r="AE452" s="1">
        <v>13.03</v>
      </c>
      <c r="AF452" s="1">
        <v>31.45</v>
      </c>
      <c r="AG452" s="1">
        <v>83.9</v>
      </c>
      <c r="AH452" s="1">
        <v>505.6</v>
      </c>
      <c r="AI452" s="1">
        <v>0.12039999999999999</v>
      </c>
      <c r="AJ452" s="1">
        <v>0.1633</v>
      </c>
      <c r="AK452" s="1">
        <v>6.1940000000000002E-2</v>
      </c>
      <c r="AL452" s="1">
        <v>3.2640000000000002E-2</v>
      </c>
      <c r="AM452" s="1">
        <v>0.30590000000000001</v>
      </c>
      <c r="AN452" s="1">
        <v>7.6259999999999994E-2</v>
      </c>
    </row>
    <row r="453" spans="1:40" s="1" customFormat="1" ht="15" x14ac:dyDescent="0.25">
      <c r="A453" s="1">
        <v>923748</v>
      </c>
      <c r="B453" s="1" t="s">
        <v>37</v>
      </c>
      <c r="C453" s="1">
        <v>10.86</v>
      </c>
      <c r="D453" s="1">
        <v>21.48</v>
      </c>
      <c r="E453" s="2"/>
      <c r="F453" s="2"/>
      <c r="G453" s="2"/>
      <c r="H453" s="2"/>
      <c r="I453" s="2"/>
      <c r="J453" s="2"/>
      <c r="K453" s="2"/>
      <c r="L453" s="2"/>
      <c r="M453" s="1">
        <v>68.510000000000005</v>
      </c>
      <c r="N453" s="1">
        <v>360.5</v>
      </c>
      <c r="O453" s="1">
        <v>7.4310000000000001E-2</v>
      </c>
      <c r="P453" s="1">
        <v>4.2270000000000002E-2</v>
      </c>
      <c r="Q453" s="1">
        <v>0</v>
      </c>
      <c r="R453" s="1">
        <v>0</v>
      </c>
      <c r="S453" s="1">
        <v>0.1661</v>
      </c>
      <c r="T453" s="1">
        <v>5.9479999999999998E-2</v>
      </c>
      <c r="U453" s="1">
        <v>0.31630000000000003</v>
      </c>
      <c r="V453" s="1">
        <v>1.304</v>
      </c>
      <c r="W453" s="1">
        <v>2.1150000000000002</v>
      </c>
      <c r="X453" s="1">
        <v>20.67</v>
      </c>
      <c r="Y453" s="1">
        <v>9.5790000000000007E-3</v>
      </c>
      <c r="Z453" s="1">
        <v>1.1039999999999999E-2</v>
      </c>
      <c r="AA453" s="1">
        <v>0</v>
      </c>
      <c r="AB453" s="1">
        <v>0</v>
      </c>
      <c r="AC453" s="1">
        <v>3.0040000000000001E-2</v>
      </c>
      <c r="AD453" s="1">
        <v>2.2279999999999999E-3</v>
      </c>
      <c r="AE453" s="1">
        <v>11.66</v>
      </c>
      <c r="AF453" s="1">
        <v>24.77</v>
      </c>
      <c r="AG453" s="1">
        <v>74.08</v>
      </c>
      <c r="AH453" s="1">
        <v>412.3</v>
      </c>
      <c r="AI453" s="1">
        <v>0.10009999999999999</v>
      </c>
      <c r="AJ453" s="1">
        <v>7.3480000000000004E-2</v>
      </c>
      <c r="AK453" s="1">
        <v>0</v>
      </c>
      <c r="AL453" s="1">
        <v>0</v>
      </c>
      <c r="AM453" s="1">
        <v>0.24579999999999999</v>
      </c>
      <c r="AN453" s="1">
        <v>6.5920000000000006E-2</v>
      </c>
    </row>
    <row r="454" spans="1:40" s="1" customFormat="1" ht="15" x14ac:dyDescent="0.25">
      <c r="A454" s="1">
        <v>923780</v>
      </c>
      <c r="B454" s="1" t="s">
        <v>37</v>
      </c>
      <c r="C454" s="1">
        <v>11.13</v>
      </c>
      <c r="D454" s="1">
        <v>22.44</v>
      </c>
      <c r="E454" s="2"/>
      <c r="F454" s="2"/>
      <c r="G454" s="2"/>
      <c r="H454" s="2"/>
      <c r="I454" s="2"/>
      <c r="J454" s="2"/>
      <c r="K454" s="2"/>
      <c r="L454" s="2"/>
      <c r="M454" s="1">
        <v>71.489999999999995</v>
      </c>
      <c r="N454" s="1">
        <v>378.4</v>
      </c>
      <c r="O454" s="1">
        <v>9.5659999999999995E-2</v>
      </c>
      <c r="P454" s="1">
        <v>8.1939999999999999E-2</v>
      </c>
      <c r="Q454" s="1">
        <v>4.8239999999999998E-2</v>
      </c>
      <c r="R454" s="1">
        <v>2.257E-2</v>
      </c>
      <c r="S454" s="1">
        <v>0.20300000000000001</v>
      </c>
      <c r="T454" s="1">
        <v>6.5519999999999995E-2</v>
      </c>
      <c r="U454" s="1">
        <v>0.28000000000000003</v>
      </c>
      <c r="V454" s="1">
        <v>1.4670000000000001</v>
      </c>
      <c r="W454" s="1">
        <v>1.994</v>
      </c>
      <c r="X454" s="1">
        <v>17.850000000000001</v>
      </c>
      <c r="Y454" s="1">
        <v>3.4949999999999998E-3</v>
      </c>
      <c r="Z454" s="1">
        <v>3.0509999999999999E-2</v>
      </c>
      <c r="AA454" s="1">
        <v>3.4450000000000001E-2</v>
      </c>
      <c r="AB454" s="1">
        <v>1.0240000000000001E-2</v>
      </c>
      <c r="AC454" s="1">
        <v>2.912E-2</v>
      </c>
      <c r="AD454" s="1">
        <v>4.7229999999999998E-3</v>
      </c>
      <c r="AE454" s="1">
        <v>12.02</v>
      </c>
      <c r="AF454" s="1">
        <v>28.26</v>
      </c>
      <c r="AG454" s="1">
        <v>77.8</v>
      </c>
      <c r="AH454" s="1">
        <v>436.6</v>
      </c>
      <c r="AI454" s="1">
        <v>0.1087</v>
      </c>
      <c r="AJ454" s="1">
        <v>0.1782</v>
      </c>
      <c r="AK454" s="1">
        <v>0.15640000000000001</v>
      </c>
      <c r="AL454" s="1">
        <v>6.4130000000000006E-2</v>
      </c>
      <c r="AM454" s="1">
        <v>0.31690000000000002</v>
      </c>
      <c r="AN454" s="1">
        <v>8.0320000000000003E-2</v>
      </c>
    </row>
    <row r="455" spans="1:40" s="1" customFormat="1" ht="15" x14ac:dyDescent="0.25">
      <c r="A455" s="1">
        <v>924084</v>
      </c>
      <c r="B455" s="1" t="s">
        <v>37</v>
      </c>
      <c r="C455" s="1">
        <v>12.77</v>
      </c>
      <c r="D455" s="1">
        <v>29.43</v>
      </c>
      <c r="E455" s="2"/>
      <c r="F455" s="2"/>
      <c r="G455" s="2"/>
      <c r="H455" s="2"/>
      <c r="I455" s="2"/>
      <c r="J455" s="2"/>
      <c r="K455" s="2"/>
      <c r="L455" s="2"/>
      <c r="M455" s="1">
        <v>81.349999999999994</v>
      </c>
      <c r="N455" s="1">
        <v>507.9</v>
      </c>
      <c r="O455" s="1">
        <v>8.276E-2</v>
      </c>
      <c r="P455" s="1">
        <v>4.2340000000000003E-2</v>
      </c>
      <c r="Q455" s="1">
        <v>1.9970000000000002E-2</v>
      </c>
      <c r="R455" s="1">
        <v>1.499E-2</v>
      </c>
      <c r="S455" s="1">
        <v>0.15390000000000001</v>
      </c>
      <c r="T455" s="1">
        <v>5.6370000000000003E-2</v>
      </c>
      <c r="U455" s="1">
        <v>0.2409</v>
      </c>
      <c r="V455" s="1">
        <v>1.367</v>
      </c>
      <c r="W455" s="1">
        <v>1.4770000000000001</v>
      </c>
      <c r="X455" s="1">
        <v>18.760000000000002</v>
      </c>
      <c r="Y455" s="1">
        <v>8.8350000000000008E-3</v>
      </c>
      <c r="Z455" s="1">
        <v>1.2330000000000001E-2</v>
      </c>
      <c r="AA455" s="1">
        <v>1.328E-2</v>
      </c>
      <c r="AB455" s="1">
        <v>9.3050000000000008E-3</v>
      </c>
      <c r="AC455" s="1">
        <v>1.8970000000000001E-2</v>
      </c>
      <c r="AD455" s="1">
        <v>1.7260000000000001E-3</v>
      </c>
      <c r="AE455" s="1">
        <v>13.87</v>
      </c>
      <c r="AF455" s="1">
        <v>36</v>
      </c>
      <c r="AG455" s="1">
        <v>88.1</v>
      </c>
      <c r="AH455" s="1">
        <v>594.70000000000005</v>
      </c>
      <c r="AI455" s="1">
        <v>0.1234</v>
      </c>
      <c r="AJ455" s="1">
        <v>0.10639999999999999</v>
      </c>
      <c r="AK455" s="1">
        <v>8.6529999999999996E-2</v>
      </c>
      <c r="AL455" s="1">
        <v>6.4979999999999996E-2</v>
      </c>
      <c r="AM455" s="1">
        <v>0.2407</v>
      </c>
      <c r="AN455" s="1">
        <v>6.4839999999999995E-2</v>
      </c>
    </row>
    <row r="456" spans="1:40" s="1" customFormat="1" ht="15" x14ac:dyDescent="0.25">
      <c r="A456" s="1">
        <v>924342</v>
      </c>
      <c r="B456" s="1" t="s">
        <v>37</v>
      </c>
      <c r="C456" s="1">
        <v>9.3330000000000002</v>
      </c>
      <c r="D456" s="1">
        <v>21.94</v>
      </c>
      <c r="E456" s="2"/>
      <c r="F456" s="2"/>
      <c r="G456" s="2"/>
      <c r="H456" s="2"/>
      <c r="I456" s="2"/>
      <c r="J456" s="2"/>
      <c r="K456" s="2"/>
      <c r="L456" s="2"/>
      <c r="M456" s="1">
        <v>59.01</v>
      </c>
      <c r="N456" s="1">
        <v>264</v>
      </c>
      <c r="O456" s="1">
        <v>9.2399999999999996E-2</v>
      </c>
      <c r="P456" s="1">
        <v>5.6050000000000003E-2</v>
      </c>
      <c r="Q456" s="1">
        <v>3.9960000000000002E-2</v>
      </c>
      <c r="R456" s="1">
        <v>1.282E-2</v>
      </c>
      <c r="S456" s="1">
        <v>0.16919999999999999</v>
      </c>
      <c r="T456" s="1">
        <v>6.5759999999999999E-2</v>
      </c>
      <c r="U456" s="1">
        <v>0.30130000000000001</v>
      </c>
      <c r="V456" s="1">
        <v>1.879</v>
      </c>
      <c r="W456" s="1">
        <v>2.121</v>
      </c>
      <c r="X456" s="1">
        <v>17.86</v>
      </c>
      <c r="Y456" s="1">
        <v>1.094E-2</v>
      </c>
      <c r="Z456" s="1">
        <v>1.8339999999999999E-2</v>
      </c>
      <c r="AA456" s="1">
        <v>3.9960000000000002E-2</v>
      </c>
      <c r="AB456" s="1">
        <v>1.282E-2</v>
      </c>
      <c r="AC456" s="1">
        <v>3.7589999999999998E-2</v>
      </c>
      <c r="AD456" s="1">
        <v>4.6230000000000004E-3</v>
      </c>
      <c r="AE456" s="1">
        <v>9.8450000000000006</v>
      </c>
      <c r="AF456" s="1">
        <v>25.05</v>
      </c>
      <c r="AG456" s="1">
        <v>62.86</v>
      </c>
      <c r="AH456" s="1">
        <v>295.8</v>
      </c>
      <c r="AI456" s="1">
        <v>0.1103</v>
      </c>
      <c r="AJ456" s="1">
        <v>8.2979999999999998E-2</v>
      </c>
      <c r="AK456" s="1">
        <v>7.9930000000000001E-2</v>
      </c>
      <c r="AL456" s="1">
        <v>2.564E-2</v>
      </c>
      <c r="AM456" s="1">
        <v>0.24349999999999999</v>
      </c>
      <c r="AN456" s="1">
        <v>7.3929999999999996E-2</v>
      </c>
    </row>
    <row r="457" spans="1:40" s="1" customFormat="1" ht="15" x14ac:dyDescent="0.25">
      <c r="A457" s="1">
        <v>924632</v>
      </c>
      <c r="B457" s="1" t="s">
        <v>37</v>
      </c>
      <c r="C457" s="1">
        <v>12.88</v>
      </c>
      <c r="D457" s="1">
        <v>28.92</v>
      </c>
      <c r="E457" s="2"/>
      <c r="F457" s="2"/>
      <c r="G457" s="2"/>
      <c r="H457" s="2"/>
      <c r="I457" s="2"/>
      <c r="J457" s="2"/>
      <c r="K457" s="2"/>
      <c r="L457" s="2"/>
      <c r="M457" s="1">
        <v>82.5</v>
      </c>
      <c r="N457" s="1">
        <v>514.29999999999995</v>
      </c>
      <c r="O457" s="1">
        <v>8.1229999999999997E-2</v>
      </c>
      <c r="P457" s="1">
        <v>5.824E-2</v>
      </c>
      <c r="Q457" s="1">
        <v>6.1949999999999998E-2</v>
      </c>
      <c r="R457" s="1">
        <v>2.3429999999999999E-2</v>
      </c>
      <c r="S457" s="1">
        <v>0.15659999999999999</v>
      </c>
      <c r="T457" s="1">
        <v>5.7079999999999999E-2</v>
      </c>
      <c r="U457" s="1">
        <v>0.21160000000000001</v>
      </c>
      <c r="V457" s="1">
        <v>1.36</v>
      </c>
      <c r="W457" s="1">
        <v>1.502</v>
      </c>
      <c r="X457" s="1">
        <v>16.829999999999998</v>
      </c>
      <c r="Y457" s="1">
        <v>8.4119999999999993E-3</v>
      </c>
      <c r="Z457" s="1">
        <v>2.1530000000000001E-2</v>
      </c>
      <c r="AA457" s="1">
        <v>3.8980000000000001E-2</v>
      </c>
      <c r="AB457" s="1">
        <v>7.62E-3</v>
      </c>
      <c r="AC457" s="1">
        <v>1.695E-2</v>
      </c>
      <c r="AD457" s="1">
        <v>2.8010000000000001E-3</v>
      </c>
      <c r="AE457" s="1">
        <v>13.89</v>
      </c>
      <c r="AF457" s="1">
        <v>35.74</v>
      </c>
      <c r="AG457" s="1">
        <v>88.84</v>
      </c>
      <c r="AH457" s="1">
        <v>595.70000000000005</v>
      </c>
      <c r="AI457" s="1">
        <v>0.1227</v>
      </c>
      <c r="AJ457" s="1">
        <v>0.16200000000000001</v>
      </c>
      <c r="AK457" s="1">
        <v>0.24390000000000001</v>
      </c>
      <c r="AL457" s="1">
        <v>6.4930000000000002E-2</v>
      </c>
      <c r="AM457" s="1">
        <v>0.23719999999999999</v>
      </c>
      <c r="AN457" s="1">
        <v>7.2419999999999998E-2</v>
      </c>
    </row>
    <row r="458" spans="1:40" s="1" customFormat="1" ht="15" x14ac:dyDescent="0.25">
      <c r="A458" s="1">
        <v>924934</v>
      </c>
      <c r="B458" s="1" t="s">
        <v>37</v>
      </c>
      <c r="C458" s="1">
        <v>10.29</v>
      </c>
      <c r="D458" s="1">
        <v>27.61</v>
      </c>
      <c r="E458" s="2"/>
      <c r="F458" s="2"/>
      <c r="G458" s="2"/>
      <c r="H458" s="2"/>
      <c r="I458" s="2"/>
      <c r="J458" s="2"/>
      <c r="K458" s="2"/>
      <c r="L458" s="2"/>
      <c r="M458" s="1">
        <v>65.67</v>
      </c>
      <c r="N458" s="1">
        <v>321.39999999999998</v>
      </c>
      <c r="O458" s="1">
        <v>9.0300000000000005E-2</v>
      </c>
      <c r="P458" s="1">
        <v>7.6579999999999995E-2</v>
      </c>
      <c r="Q458" s="1">
        <v>5.9990000000000002E-2</v>
      </c>
      <c r="R458" s="1">
        <v>2.7380000000000002E-2</v>
      </c>
      <c r="S458" s="1">
        <v>0.1593</v>
      </c>
      <c r="T458" s="1">
        <v>6.1269999999999998E-2</v>
      </c>
      <c r="U458" s="1">
        <v>0.21990000000000001</v>
      </c>
      <c r="V458" s="1">
        <v>2.2389999999999999</v>
      </c>
      <c r="W458" s="1">
        <v>1.4370000000000001</v>
      </c>
      <c r="X458" s="1">
        <v>14.46</v>
      </c>
      <c r="Y458" s="1">
        <v>1.205E-2</v>
      </c>
      <c r="Z458" s="1">
        <v>2.7359999999999999E-2</v>
      </c>
      <c r="AA458" s="1">
        <v>4.8039999999999999E-2</v>
      </c>
      <c r="AB458" s="1">
        <v>1.721E-2</v>
      </c>
      <c r="AC458" s="1">
        <v>1.8429999999999998E-2</v>
      </c>
      <c r="AD458" s="1">
        <v>4.9379999999999997E-3</v>
      </c>
      <c r="AE458" s="1">
        <v>10.84</v>
      </c>
      <c r="AF458" s="1">
        <v>34.909999999999997</v>
      </c>
      <c r="AG458" s="1">
        <v>69.569999999999993</v>
      </c>
      <c r="AH458" s="1">
        <v>357.6</v>
      </c>
      <c r="AI458" s="1">
        <v>0.1384</v>
      </c>
      <c r="AJ458" s="1">
        <v>0.17100000000000001</v>
      </c>
      <c r="AK458" s="1">
        <v>0.2</v>
      </c>
      <c r="AL458" s="1">
        <v>9.1270000000000004E-2</v>
      </c>
      <c r="AM458" s="1">
        <v>0.22259999999999999</v>
      </c>
      <c r="AN458" s="1">
        <v>8.2830000000000001E-2</v>
      </c>
    </row>
    <row r="459" spans="1:40" s="1" customFormat="1" ht="15" x14ac:dyDescent="0.25">
      <c r="A459" s="1">
        <v>924964</v>
      </c>
      <c r="B459" s="1" t="s">
        <v>37</v>
      </c>
      <c r="C459" s="1">
        <v>10.16</v>
      </c>
      <c r="D459" s="1">
        <v>19.59</v>
      </c>
      <c r="E459" s="2"/>
      <c r="F459" s="2"/>
      <c r="G459" s="2"/>
      <c r="H459" s="2"/>
      <c r="I459" s="2"/>
      <c r="J459" s="2"/>
      <c r="K459" s="2"/>
      <c r="L459" s="2"/>
      <c r="M459" s="1">
        <v>64.73</v>
      </c>
      <c r="N459" s="1">
        <v>311.7</v>
      </c>
      <c r="O459" s="1">
        <v>0.1003</v>
      </c>
      <c r="P459" s="1">
        <v>7.5039999999999996E-2</v>
      </c>
      <c r="Q459" s="1">
        <v>5.025E-3</v>
      </c>
      <c r="R459" s="1">
        <v>1.116E-2</v>
      </c>
      <c r="S459" s="1">
        <v>0.17910000000000001</v>
      </c>
      <c r="T459" s="1">
        <v>6.3310000000000005E-2</v>
      </c>
      <c r="U459" s="1">
        <v>0.24410000000000001</v>
      </c>
      <c r="V459" s="1">
        <v>2.09</v>
      </c>
      <c r="W459" s="1">
        <v>1.6479999999999999</v>
      </c>
      <c r="X459" s="1">
        <v>16.8</v>
      </c>
      <c r="Y459" s="1">
        <v>1.291E-2</v>
      </c>
      <c r="Z459" s="1">
        <v>2.222E-2</v>
      </c>
      <c r="AA459" s="1">
        <v>4.1739999999999998E-3</v>
      </c>
      <c r="AB459" s="1">
        <v>7.0819999999999998E-3</v>
      </c>
      <c r="AC459" s="1">
        <v>2.572E-2</v>
      </c>
      <c r="AD459" s="1">
        <v>2.2780000000000001E-3</v>
      </c>
      <c r="AE459" s="1">
        <v>10.65</v>
      </c>
      <c r="AF459" s="1">
        <v>22.88</v>
      </c>
      <c r="AG459" s="1">
        <v>67.88</v>
      </c>
      <c r="AH459" s="1">
        <v>347.3</v>
      </c>
      <c r="AI459" s="1">
        <v>0.1265</v>
      </c>
      <c r="AJ459" s="1">
        <v>0.12</v>
      </c>
      <c r="AK459" s="1">
        <v>1.005E-2</v>
      </c>
      <c r="AL459" s="1">
        <v>2.232E-2</v>
      </c>
      <c r="AM459" s="1">
        <v>0.22620000000000001</v>
      </c>
      <c r="AN459" s="1">
        <v>6.7419999999999994E-2</v>
      </c>
    </row>
    <row r="460" spans="1:40" s="1" customFormat="1" ht="15" x14ac:dyDescent="0.25">
      <c r="A460" s="1">
        <v>925236</v>
      </c>
      <c r="B460" s="1" t="s">
        <v>37</v>
      </c>
      <c r="C460" s="1">
        <v>9.423</v>
      </c>
      <c r="D460" s="1">
        <v>27.88</v>
      </c>
      <c r="E460" s="2"/>
      <c r="F460" s="2"/>
      <c r="G460" s="2"/>
      <c r="H460" s="2"/>
      <c r="I460" s="2"/>
      <c r="J460" s="2"/>
      <c r="K460" s="2"/>
      <c r="L460" s="2"/>
      <c r="M460" s="1">
        <v>59.26</v>
      </c>
      <c r="N460" s="1">
        <v>271.3</v>
      </c>
      <c r="O460" s="1">
        <v>8.1229999999999997E-2</v>
      </c>
      <c r="P460" s="1">
        <v>4.9709999999999997E-2</v>
      </c>
      <c r="Q460" s="1">
        <v>0</v>
      </c>
      <c r="R460" s="1">
        <v>0</v>
      </c>
      <c r="S460" s="1">
        <v>0.17419999999999999</v>
      </c>
      <c r="T460" s="1">
        <v>6.0589999999999998E-2</v>
      </c>
      <c r="U460" s="1">
        <v>0.53749999999999998</v>
      </c>
      <c r="V460" s="1">
        <v>2.927</v>
      </c>
      <c r="W460" s="1">
        <v>3.6179999999999999</v>
      </c>
      <c r="X460" s="1">
        <v>29.11</v>
      </c>
      <c r="Y460" s="1">
        <v>1.159E-2</v>
      </c>
      <c r="Z460" s="1">
        <v>1.124E-2</v>
      </c>
      <c r="AA460" s="1">
        <v>0</v>
      </c>
      <c r="AB460" s="1">
        <v>0</v>
      </c>
      <c r="AC460" s="1">
        <v>3.0040000000000001E-2</v>
      </c>
      <c r="AD460" s="1">
        <v>3.3240000000000001E-3</v>
      </c>
      <c r="AE460" s="1">
        <v>10.49</v>
      </c>
      <c r="AF460" s="1">
        <v>34.24</v>
      </c>
      <c r="AG460" s="1">
        <v>66.5</v>
      </c>
      <c r="AH460" s="1">
        <v>330.6</v>
      </c>
      <c r="AI460" s="1">
        <v>0.10730000000000001</v>
      </c>
      <c r="AJ460" s="1">
        <v>7.1580000000000005E-2</v>
      </c>
      <c r="AK460" s="1">
        <v>0</v>
      </c>
      <c r="AL460" s="1">
        <v>0</v>
      </c>
      <c r="AM460" s="1">
        <v>0.2475</v>
      </c>
      <c r="AN460" s="1">
        <v>6.9690000000000002E-2</v>
      </c>
    </row>
    <row r="461" spans="1:40" s="1" customFormat="1" ht="15" x14ac:dyDescent="0.25">
      <c r="A461" s="1">
        <v>925277</v>
      </c>
      <c r="B461" s="1" t="s">
        <v>37</v>
      </c>
      <c r="C461" s="1">
        <v>14.59</v>
      </c>
      <c r="D461" s="1">
        <v>22.68</v>
      </c>
      <c r="E461" s="2"/>
      <c r="F461" s="2"/>
      <c r="G461" s="2"/>
      <c r="H461" s="2"/>
      <c r="I461" s="2"/>
      <c r="J461" s="2"/>
      <c r="K461" s="2"/>
      <c r="L461" s="2"/>
      <c r="M461" s="1">
        <v>96.39</v>
      </c>
      <c r="N461" s="1">
        <v>657.1</v>
      </c>
      <c r="O461" s="1">
        <v>8.473E-2</v>
      </c>
      <c r="P461" s="1">
        <v>0.13300000000000001</v>
      </c>
      <c r="Q461" s="1">
        <v>0.10290000000000001</v>
      </c>
      <c r="R461" s="1">
        <v>3.7359999999999997E-2</v>
      </c>
      <c r="S461" s="1">
        <v>0.1454</v>
      </c>
      <c r="T461" s="1">
        <v>6.1469999999999997E-2</v>
      </c>
      <c r="U461" s="1">
        <v>0.22539999999999999</v>
      </c>
      <c r="V461" s="1">
        <v>1.1080000000000001</v>
      </c>
      <c r="W461" s="1">
        <v>2.2240000000000002</v>
      </c>
      <c r="X461" s="1">
        <v>19.54</v>
      </c>
      <c r="Y461" s="1">
        <v>4.2420000000000001E-3</v>
      </c>
      <c r="Z461" s="1">
        <v>4.6390000000000001E-2</v>
      </c>
      <c r="AA461" s="1">
        <v>6.5780000000000005E-2</v>
      </c>
      <c r="AB461" s="1">
        <v>1.6060000000000001E-2</v>
      </c>
      <c r="AC461" s="1">
        <v>1.6379999999999999E-2</v>
      </c>
      <c r="AD461" s="1">
        <v>4.4060000000000002E-3</v>
      </c>
      <c r="AE461" s="1">
        <v>15.48</v>
      </c>
      <c r="AF461" s="1">
        <v>27.27</v>
      </c>
      <c r="AG461" s="1">
        <v>105.9</v>
      </c>
      <c r="AH461" s="1">
        <v>733.5</v>
      </c>
      <c r="AI461" s="1">
        <v>0.1026</v>
      </c>
      <c r="AJ461" s="1">
        <v>0.31709999999999999</v>
      </c>
      <c r="AK461" s="1">
        <v>0.36620000000000003</v>
      </c>
      <c r="AL461" s="1">
        <v>0.1105</v>
      </c>
      <c r="AM461" s="1">
        <v>0.2258</v>
      </c>
      <c r="AN461" s="1">
        <v>8.004E-2</v>
      </c>
    </row>
    <row r="462" spans="1:40" s="1" customFormat="1" ht="15" x14ac:dyDescent="0.25">
      <c r="A462" s="1">
        <v>925291</v>
      </c>
      <c r="B462" s="1" t="s">
        <v>37</v>
      </c>
      <c r="C462" s="1">
        <v>11.51</v>
      </c>
      <c r="D462" s="1">
        <v>23.93</v>
      </c>
      <c r="E462" s="2"/>
      <c r="F462" s="2"/>
      <c r="G462" s="2"/>
      <c r="H462" s="2"/>
      <c r="I462" s="2"/>
      <c r="J462" s="2"/>
      <c r="K462" s="2"/>
      <c r="L462" s="2"/>
      <c r="M462" s="1">
        <v>74.52</v>
      </c>
      <c r="N462" s="1">
        <v>403.5</v>
      </c>
      <c r="O462" s="1">
        <v>9.2609999999999998E-2</v>
      </c>
      <c r="P462" s="1">
        <v>0.1021</v>
      </c>
      <c r="Q462" s="1">
        <v>0.11119999999999999</v>
      </c>
      <c r="R462" s="1">
        <v>4.1050000000000003E-2</v>
      </c>
      <c r="S462" s="1">
        <v>0.13880000000000001</v>
      </c>
      <c r="T462" s="1">
        <v>6.5699999999999995E-2</v>
      </c>
      <c r="U462" s="1">
        <v>0.23880000000000001</v>
      </c>
      <c r="V462" s="1">
        <v>2.9039999999999999</v>
      </c>
      <c r="W462" s="1">
        <v>1.9359999999999999</v>
      </c>
      <c r="X462" s="1">
        <v>16.97</v>
      </c>
      <c r="Y462" s="1">
        <v>8.2000000000000007E-3</v>
      </c>
      <c r="Z462" s="1">
        <v>2.9819999999999999E-2</v>
      </c>
      <c r="AA462" s="1">
        <v>5.738E-2</v>
      </c>
      <c r="AB462" s="1">
        <v>1.2670000000000001E-2</v>
      </c>
      <c r="AC462" s="1">
        <v>1.4880000000000001E-2</v>
      </c>
      <c r="AD462" s="1">
        <v>4.738E-3</v>
      </c>
      <c r="AE462" s="1">
        <v>12.48</v>
      </c>
      <c r="AF462" s="1">
        <v>37.159999999999997</v>
      </c>
      <c r="AG462" s="1">
        <v>82.28</v>
      </c>
      <c r="AH462" s="1">
        <v>474.2</v>
      </c>
      <c r="AI462" s="1">
        <v>0.1298</v>
      </c>
      <c r="AJ462" s="1">
        <v>0.25169999999999998</v>
      </c>
      <c r="AK462" s="1">
        <v>0.36299999999999999</v>
      </c>
      <c r="AL462" s="1">
        <v>9.6530000000000005E-2</v>
      </c>
      <c r="AM462" s="1">
        <v>0.2112</v>
      </c>
      <c r="AN462" s="1">
        <v>8.7319999999999995E-2</v>
      </c>
    </row>
    <row r="463" spans="1:40" s="1" customFormat="1" ht="15" x14ac:dyDescent="0.25">
      <c r="A463" s="1">
        <v>925292</v>
      </c>
      <c r="B463" s="1" t="s">
        <v>37</v>
      </c>
      <c r="C463" s="1">
        <v>14.05</v>
      </c>
      <c r="D463" s="1">
        <v>27.15</v>
      </c>
      <c r="E463" s="2"/>
      <c r="F463" s="2"/>
      <c r="G463" s="2"/>
      <c r="H463" s="2"/>
      <c r="I463" s="2"/>
      <c r="J463" s="2"/>
      <c r="K463" s="2"/>
      <c r="L463" s="2"/>
      <c r="M463" s="1">
        <v>91.38</v>
      </c>
      <c r="N463" s="1">
        <v>600.4</v>
      </c>
      <c r="O463" s="1">
        <v>9.9290000000000003E-2</v>
      </c>
      <c r="P463" s="1">
        <v>0.11260000000000001</v>
      </c>
      <c r="Q463" s="1">
        <v>4.462E-2</v>
      </c>
      <c r="R463" s="1">
        <v>4.3040000000000002E-2</v>
      </c>
      <c r="S463" s="1">
        <v>0.1537</v>
      </c>
      <c r="T463" s="1">
        <v>6.1710000000000001E-2</v>
      </c>
      <c r="U463" s="1">
        <v>0.36449999999999999</v>
      </c>
      <c r="V463" s="1">
        <v>1.492</v>
      </c>
      <c r="W463" s="1">
        <v>2.8879999999999999</v>
      </c>
      <c r="X463" s="1">
        <v>29.84</v>
      </c>
      <c r="Y463" s="1">
        <v>7.2560000000000003E-3</v>
      </c>
      <c r="Z463" s="1">
        <v>2.6780000000000002E-2</v>
      </c>
      <c r="AA463" s="1">
        <v>2.0709999999999999E-2</v>
      </c>
      <c r="AB463" s="1">
        <v>1.626E-2</v>
      </c>
      <c r="AC463" s="1">
        <v>2.0799999999999999E-2</v>
      </c>
      <c r="AD463" s="1">
        <v>5.3039999999999997E-3</v>
      </c>
      <c r="AE463" s="1">
        <v>15.3</v>
      </c>
      <c r="AF463" s="1">
        <v>33.17</v>
      </c>
      <c r="AG463" s="1">
        <v>100.2</v>
      </c>
      <c r="AH463" s="1">
        <v>706.7</v>
      </c>
      <c r="AI463" s="1">
        <v>0.1241</v>
      </c>
      <c r="AJ463" s="1">
        <v>0.22639999999999999</v>
      </c>
      <c r="AK463" s="1">
        <v>0.1326</v>
      </c>
      <c r="AL463" s="1">
        <v>0.1048</v>
      </c>
      <c r="AM463" s="1">
        <v>0.22500000000000001</v>
      </c>
      <c r="AN463" s="1">
        <v>8.3210000000000006E-2</v>
      </c>
    </row>
    <row r="464" spans="1:40" s="1" customFormat="1" ht="15" x14ac:dyDescent="0.25">
      <c r="A464" s="1">
        <v>925311</v>
      </c>
      <c r="B464" s="1" t="s">
        <v>37</v>
      </c>
      <c r="C464" s="1">
        <v>11.2</v>
      </c>
      <c r="D464" s="1">
        <v>29.37</v>
      </c>
      <c r="E464" s="2"/>
      <c r="F464" s="2"/>
      <c r="G464" s="2"/>
      <c r="H464" s="2"/>
      <c r="I464" s="2"/>
      <c r="J464" s="2"/>
      <c r="K464" s="2"/>
      <c r="L464" s="2"/>
      <c r="M464" s="1">
        <v>70.67</v>
      </c>
      <c r="N464" s="1">
        <v>386</v>
      </c>
      <c r="O464" s="1">
        <v>7.4490000000000001E-2</v>
      </c>
      <c r="P464" s="1">
        <v>3.5580000000000001E-2</v>
      </c>
      <c r="Q464" s="1">
        <v>0</v>
      </c>
      <c r="R464" s="1">
        <v>0</v>
      </c>
      <c r="S464" s="1">
        <v>0.106</v>
      </c>
      <c r="T464" s="1">
        <v>5.5019999999999999E-2</v>
      </c>
      <c r="U464" s="1">
        <v>0.31409999999999999</v>
      </c>
      <c r="V464" s="1">
        <v>3.8959999999999999</v>
      </c>
      <c r="W464" s="1">
        <v>2.0409999999999999</v>
      </c>
      <c r="X464" s="1">
        <v>22.81</v>
      </c>
      <c r="Y464" s="1">
        <v>7.5940000000000001E-3</v>
      </c>
      <c r="Z464" s="1">
        <v>8.8780000000000005E-3</v>
      </c>
      <c r="AA464" s="1">
        <v>0</v>
      </c>
      <c r="AB464" s="1">
        <v>0</v>
      </c>
      <c r="AC464" s="1">
        <v>1.9890000000000001E-2</v>
      </c>
      <c r="AD464" s="1">
        <v>1.7730000000000001E-3</v>
      </c>
      <c r="AE464" s="1">
        <v>11.92</v>
      </c>
      <c r="AF464" s="1">
        <v>38.299999999999997</v>
      </c>
      <c r="AG464" s="1">
        <v>75.19</v>
      </c>
      <c r="AH464" s="1">
        <v>439.6</v>
      </c>
      <c r="AI464" s="1">
        <v>9.2670000000000002E-2</v>
      </c>
      <c r="AJ464" s="1">
        <v>5.4940000000000003E-2</v>
      </c>
      <c r="AK464" s="1">
        <v>0</v>
      </c>
      <c r="AL464" s="1">
        <v>0</v>
      </c>
      <c r="AM464" s="1">
        <v>0.15659999999999999</v>
      </c>
      <c r="AN464" s="1">
        <v>5.9049999999999998E-2</v>
      </c>
    </row>
    <row r="465" spans="1:40" s="1" customFormat="1" ht="15" x14ac:dyDescent="0.25">
      <c r="A465" s="1">
        <v>925622</v>
      </c>
      <c r="B465" s="1" t="s">
        <v>36</v>
      </c>
      <c r="C465" s="1">
        <v>15.22</v>
      </c>
      <c r="D465" s="1">
        <v>30.62</v>
      </c>
      <c r="E465" s="2"/>
      <c r="F465" s="2"/>
      <c r="G465" s="2"/>
      <c r="H465" s="2"/>
      <c r="I465" s="2"/>
      <c r="J465" s="2"/>
      <c r="K465" s="2"/>
      <c r="L465" s="2"/>
      <c r="M465" s="1">
        <v>103.4</v>
      </c>
      <c r="N465" s="1">
        <v>716.9</v>
      </c>
      <c r="O465" s="1">
        <v>0.1048</v>
      </c>
      <c r="P465" s="1">
        <v>0.2087</v>
      </c>
      <c r="Q465" s="1">
        <v>0.255</v>
      </c>
      <c r="R465" s="1">
        <v>9.4289999999999999E-2</v>
      </c>
      <c r="S465" s="1">
        <v>0.21279999999999999</v>
      </c>
      <c r="T465" s="1">
        <v>7.152E-2</v>
      </c>
      <c r="U465" s="1">
        <v>0.26019999999999999</v>
      </c>
      <c r="V465" s="1">
        <v>1.2050000000000001</v>
      </c>
      <c r="W465" s="1">
        <v>2.3620000000000001</v>
      </c>
      <c r="X465" s="1">
        <v>22.65</v>
      </c>
      <c r="Y465" s="1">
        <v>4.6249999999999998E-3</v>
      </c>
      <c r="Z465" s="1">
        <v>4.8439999999999997E-2</v>
      </c>
      <c r="AA465" s="1">
        <v>7.3590000000000003E-2</v>
      </c>
      <c r="AB465" s="1">
        <v>1.6080000000000001E-2</v>
      </c>
      <c r="AC465" s="1">
        <v>2.137E-2</v>
      </c>
      <c r="AD465" s="1">
        <v>6.1419999999999999E-3</v>
      </c>
      <c r="AE465" s="1">
        <v>17.52</v>
      </c>
      <c r="AF465" s="1">
        <v>42.79</v>
      </c>
      <c r="AG465" s="1">
        <v>128.69999999999999</v>
      </c>
      <c r="AH465" s="1">
        <v>915</v>
      </c>
      <c r="AI465" s="1">
        <v>0.14169999999999999</v>
      </c>
      <c r="AJ465" s="1">
        <v>0.79169999999999996</v>
      </c>
      <c r="AK465" s="1">
        <v>1.17</v>
      </c>
      <c r="AL465" s="1">
        <v>0.2356</v>
      </c>
      <c r="AM465" s="1">
        <v>0.40889999999999999</v>
      </c>
      <c r="AN465" s="1">
        <v>0.1409</v>
      </c>
    </row>
    <row r="466" spans="1:40" s="1" customFormat="1" ht="15" x14ac:dyDescent="0.25">
      <c r="A466" s="1">
        <v>926125</v>
      </c>
      <c r="B466" s="1" t="s">
        <v>36</v>
      </c>
      <c r="C466" s="1">
        <v>20.92</v>
      </c>
      <c r="D466" s="1">
        <v>25.09</v>
      </c>
      <c r="E466" s="2"/>
      <c r="F466" s="2"/>
      <c r="G466" s="2"/>
      <c r="H466" s="2"/>
      <c r="I466" s="2"/>
      <c r="J466" s="2"/>
      <c r="K466" s="2"/>
      <c r="L466" s="2"/>
      <c r="M466" s="1">
        <v>143</v>
      </c>
      <c r="N466" s="1">
        <v>1347</v>
      </c>
      <c r="O466" s="1">
        <v>0.1099</v>
      </c>
      <c r="P466" s="1">
        <v>0.22359999999999999</v>
      </c>
      <c r="Q466" s="1">
        <v>0.31740000000000002</v>
      </c>
      <c r="R466" s="1">
        <v>0.1474</v>
      </c>
      <c r="S466" s="1">
        <v>0.21490000000000001</v>
      </c>
      <c r="T466" s="1">
        <v>6.8790000000000004E-2</v>
      </c>
      <c r="U466" s="1">
        <v>0.96220000000000006</v>
      </c>
      <c r="V466" s="1">
        <v>1.026</v>
      </c>
      <c r="W466" s="1">
        <v>8.7579999999999991</v>
      </c>
      <c r="X466" s="1">
        <v>118.8</v>
      </c>
      <c r="Y466" s="1">
        <v>6.3990000000000002E-3</v>
      </c>
      <c r="Z466" s="1">
        <v>4.3099999999999999E-2</v>
      </c>
      <c r="AA466" s="1">
        <v>7.8450000000000006E-2</v>
      </c>
      <c r="AB466" s="1">
        <v>2.6239999999999999E-2</v>
      </c>
      <c r="AC466" s="1">
        <v>2.0570000000000001E-2</v>
      </c>
      <c r="AD466" s="1">
        <v>6.2129999999999998E-3</v>
      </c>
      <c r="AE466" s="1">
        <v>24.29</v>
      </c>
      <c r="AF466" s="1">
        <v>29.41</v>
      </c>
      <c r="AG466" s="1">
        <v>179.1</v>
      </c>
      <c r="AH466" s="1">
        <v>1819</v>
      </c>
      <c r="AI466" s="1">
        <v>0.14069999999999999</v>
      </c>
      <c r="AJ466" s="1">
        <v>0.41860000000000003</v>
      </c>
      <c r="AK466" s="1">
        <v>0.65990000000000004</v>
      </c>
      <c r="AL466" s="1">
        <v>0.25419999999999998</v>
      </c>
      <c r="AM466" s="1">
        <v>0.29289999999999999</v>
      </c>
      <c r="AN466" s="1">
        <v>9.8729999999999998E-2</v>
      </c>
    </row>
    <row r="467" spans="1:40" s="1" customFormat="1" ht="15" x14ac:dyDescent="0.25">
      <c r="A467" s="1">
        <v>926424</v>
      </c>
      <c r="B467" s="1" t="s">
        <v>36</v>
      </c>
      <c r="C467" s="1">
        <v>21.56</v>
      </c>
      <c r="D467" s="1">
        <v>22.39</v>
      </c>
      <c r="E467" s="2"/>
      <c r="F467" s="2"/>
      <c r="G467" s="2"/>
      <c r="H467" s="2"/>
      <c r="I467" s="2"/>
      <c r="J467" s="2"/>
      <c r="K467" s="2"/>
      <c r="L467" s="2"/>
      <c r="M467" s="1">
        <v>142</v>
      </c>
      <c r="N467" s="1">
        <v>1479</v>
      </c>
      <c r="O467" s="1">
        <v>0.111</v>
      </c>
      <c r="P467" s="1">
        <v>0.1159</v>
      </c>
      <c r="Q467" s="1">
        <v>0.24390000000000001</v>
      </c>
      <c r="R467" s="1">
        <v>0.1389</v>
      </c>
      <c r="S467" s="1">
        <v>0.1726</v>
      </c>
      <c r="T467" s="1">
        <v>5.6230000000000002E-2</v>
      </c>
      <c r="U467" s="1">
        <v>1.1759999999999999</v>
      </c>
      <c r="V467" s="1">
        <v>1.256</v>
      </c>
      <c r="W467" s="1">
        <v>7.673</v>
      </c>
      <c r="X467" s="1">
        <v>158.69999999999999</v>
      </c>
      <c r="Y467" s="1">
        <v>1.03E-2</v>
      </c>
      <c r="Z467" s="1">
        <v>2.8910000000000002E-2</v>
      </c>
      <c r="AA467" s="1">
        <v>5.1979999999999998E-2</v>
      </c>
      <c r="AB467" s="1">
        <v>2.4539999999999999E-2</v>
      </c>
      <c r="AC467" s="1">
        <v>1.1140000000000001E-2</v>
      </c>
      <c r="AD467" s="1">
        <v>4.2389999999999997E-3</v>
      </c>
      <c r="AE467" s="1">
        <v>25.45</v>
      </c>
      <c r="AF467" s="1">
        <v>26.4</v>
      </c>
      <c r="AG467" s="1">
        <v>166.1</v>
      </c>
      <c r="AH467" s="1">
        <v>2027</v>
      </c>
      <c r="AI467" s="1">
        <v>0.14099999999999999</v>
      </c>
      <c r="AJ467" s="1">
        <v>0.21129999999999999</v>
      </c>
      <c r="AK467" s="1">
        <v>0.41070000000000001</v>
      </c>
      <c r="AL467" s="1">
        <v>0.22159999999999999</v>
      </c>
      <c r="AM467" s="1">
        <v>0.20599999999999999</v>
      </c>
      <c r="AN467" s="1">
        <v>7.1150000000000005E-2</v>
      </c>
    </row>
    <row r="468" spans="1:40" s="1" customFormat="1" ht="15" x14ac:dyDescent="0.25">
      <c r="A468" s="1">
        <v>926682</v>
      </c>
      <c r="B468" s="1" t="s">
        <v>36</v>
      </c>
      <c r="C468" s="1">
        <v>20.13</v>
      </c>
      <c r="D468" s="1">
        <v>28.25</v>
      </c>
      <c r="E468" s="2"/>
      <c r="F468" s="2"/>
      <c r="G468" s="2"/>
      <c r="H468" s="2"/>
      <c r="I468" s="2"/>
      <c r="J468" s="2"/>
      <c r="K468" s="2"/>
      <c r="L468" s="2"/>
      <c r="M468" s="1">
        <v>131.19999999999999</v>
      </c>
      <c r="N468" s="1">
        <v>1261</v>
      </c>
      <c r="O468" s="1">
        <v>9.7799999999999998E-2</v>
      </c>
      <c r="P468" s="1">
        <v>0.10340000000000001</v>
      </c>
      <c r="Q468" s="1">
        <v>0.14399999999999999</v>
      </c>
      <c r="R468" s="1">
        <v>9.7909999999999997E-2</v>
      </c>
      <c r="S468" s="1">
        <v>0.17519999999999999</v>
      </c>
      <c r="T468" s="1">
        <v>5.5329999999999997E-2</v>
      </c>
      <c r="U468" s="1">
        <v>0.76549999999999996</v>
      </c>
      <c r="V468" s="1">
        <v>2.4630000000000001</v>
      </c>
      <c r="W468" s="1">
        <v>5.2030000000000003</v>
      </c>
      <c r="X468" s="1">
        <v>99.04</v>
      </c>
      <c r="Y468" s="1">
        <v>5.7689999999999998E-3</v>
      </c>
      <c r="Z468" s="1">
        <v>2.4230000000000002E-2</v>
      </c>
      <c r="AA468" s="1">
        <v>3.95E-2</v>
      </c>
      <c r="AB468" s="1">
        <v>1.678E-2</v>
      </c>
      <c r="AC468" s="1">
        <v>1.898E-2</v>
      </c>
      <c r="AD468" s="1">
        <v>2.4979999999999998E-3</v>
      </c>
      <c r="AE468" s="1">
        <v>23.69</v>
      </c>
      <c r="AF468" s="1">
        <v>38.25</v>
      </c>
      <c r="AG468" s="1">
        <v>155</v>
      </c>
      <c r="AH468" s="1">
        <v>1731</v>
      </c>
      <c r="AI468" s="1">
        <v>0.1166</v>
      </c>
      <c r="AJ468" s="1">
        <v>0.19220000000000001</v>
      </c>
      <c r="AK468" s="1">
        <v>0.32150000000000001</v>
      </c>
      <c r="AL468" s="1">
        <v>0.1628</v>
      </c>
      <c r="AM468" s="1">
        <v>0.25719999999999998</v>
      </c>
      <c r="AN468" s="1">
        <v>6.6369999999999998E-2</v>
      </c>
    </row>
    <row r="469" spans="1:40" s="1" customFormat="1" ht="15" x14ac:dyDescent="0.25">
      <c r="A469" s="1">
        <v>926954</v>
      </c>
      <c r="B469" s="1" t="s">
        <v>36</v>
      </c>
      <c r="C469" s="1">
        <v>16.600000000000001</v>
      </c>
      <c r="D469" s="1">
        <v>28.08</v>
      </c>
      <c r="E469" s="2"/>
      <c r="F469" s="2"/>
      <c r="G469" s="2"/>
      <c r="H469" s="2"/>
      <c r="I469" s="2"/>
      <c r="J469" s="2"/>
      <c r="K469" s="2"/>
      <c r="L469" s="2"/>
      <c r="M469" s="1">
        <v>108.3</v>
      </c>
      <c r="N469" s="1">
        <v>858.1</v>
      </c>
      <c r="O469" s="1">
        <v>8.455E-2</v>
      </c>
      <c r="P469" s="1">
        <v>0.1023</v>
      </c>
      <c r="Q469" s="1">
        <v>9.2509999999999995E-2</v>
      </c>
      <c r="R469" s="1">
        <v>5.3019999999999998E-2</v>
      </c>
      <c r="S469" s="1">
        <v>0.159</v>
      </c>
      <c r="T469" s="1">
        <v>5.6480000000000002E-2</v>
      </c>
      <c r="U469" s="1">
        <v>0.45639999999999997</v>
      </c>
      <c r="V469" s="1">
        <v>1.075</v>
      </c>
      <c r="W469" s="1">
        <v>3.4249999999999998</v>
      </c>
      <c r="X469" s="1">
        <v>48.55</v>
      </c>
      <c r="Y469" s="1">
        <v>5.9030000000000003E-3</v>
      </c>
      <c r="Z469" s="1">
        <v>3.7310000000000003E-2</v>
      </c>
      <c r="AA469" s="1">
        <v>4.7300000000000002E-2</v>
      </c>
      <c r="AB469" s="1">
        <v>1.5570000000000001E-2</v>
      </c>
      <c r="AC469" s="1">
        <v>1.3180000000000001E-2</v>
      </c>
      <c r="AD469" s="1">
        <v>3.8920000000000001E-3</v>
      </c>
      <c r="AE469" s="1">
        <v>18.98</v>
      </c>
      <c r="AF469" s="1">
        <v>34.119999999999997</v>
      </c>
      <c r="AG469" s="1">
        <v>126.7</v>
      </c>
      <c r="AH469" s="1">
        <v>1124</v>
      </c>
      <c r="AI469" s="1">
        <v>0.1139</v>
      </c>
      <c r="AJ469" s="1">
        <v>0.30940000000000001</v>
      </c>
      <c r="AK469" s="1">
        <v>0.34029999999999999</v>
      </c>
      <c r="AL469" s="1">
        <v>0.14180000000000001</v>
      </c>
      <c r="AM469" s="1">
        <v>0.2218</v>
      </c>
      <c r="AN469" s="1">
        <v>7.8200000000000006E-2</v>
      </c>
    </row>
    <row r="470" spans="1:40" s="1" customFormat="1" ht="15" x14ac:dyDescent="0.25">
      <c r="A470" s="1">
        <v>927241</v>
      </c>
      <c r="B470" s="1" t="s">
        <v>36</v>
      </c>
      <c r="C470" s="1">
        <v>20.6</v>
      </c>
      <c r="D470" s="1">
        <v>29.33</v>
      </c>
      <c r="E470" s="2"/>
      <c r="F470" s="2"/>
      <c r="G470" s="2"/>
      <c r="H470" s="2"/>
      <c r="I470" s="2"/>
      <c r="J470" s="2"/>
      <c r="K470" s="2"/>
      <c r="L470" s="2"/>
      <c r="M470" s="1">
        <v>140.1</v>
      </c>
      <c r="N470" s="1">
        <v>1265</v>
      </c>
      <c r="O470" s="1">
        <v>0.1178</v>
      </c>
      <c r="P470" s="1">
        <v>0.27700000000000002</v>
      </c>
      <c r="Q470" s="1">
        <v>0.35139999999999999</v>
      </c>
      <c r="R470" s="1">
        <v>0.152</v>
      </c>
      <c r="S470" s="1">
        <v>0.2397</v>
      </c>
      <c r="T470" s="1">
        <v>7.016E-2</v>
      </c>
      <c r="U470" s="1">
        <v>0.72599999999999998</v>
      </c>
      <c r="V470" s="1">
        <v>1.595</v>
      </c>
      <c r="W470" s="1">
        <v>5.7720000000000002</v>
      </c>
      <c r="X470" s="1">
        <v>86.22</v>
      </c>
      <c r="Y470" s="1">
        <v>6.522E-3</v>
      </c>
      <c r="Z470" s="1">
        <v>6.1580000000000003E-2</v>
      </c>
      <c r="AA470" s="1">
        <v>7.1169999999999997E-2</v>
      </c>
      <c r="AB470" s="1">
        <v>1.6639999999999999E-2</v>
      </c>
      <c r="AC470" s="1">
        <v>2.324E-2</v>
      </c>
      <c r="AD470" s="1">
        <v>6.1850000000000004E-3</v>
      </c>
      <c r="AE470" s="1">
        <v>25.74</v>
      </c>
      <c r="AF470" s="1">
        <v>39.42</v>
      </c>
      <c r="AG470" s="1">
        <v>184.6</v>
      </c>
      <c r="AH470" s="1">
        <v>1821</v>
      </c>
      <c r="AI470" s="1">
        <v>0.16500000000000001</v>
      </c>
      <c r="AJ470" s="1">
        <v>0.86809999999999998</v>
      </c>
      <c r="AK470" s="1">
        <v>0.93869999999999998</v>
      </c>
      <c r="AL470" s="1">
        <v>0.26500000000000001</v>
      </c>
      <c r="AM470" s="1">
        <v>0.40870000000000001</v>
      </c>
      <c r="AN470" s="1">
        <v>0.124</v>
      </c>
    </row>
    <row r="471" spans="1:40" s="1" customFormat="1" ht="15" x14ac:dyDescent="0.25">
      <c r="A471" s="1">
        <v>92751</v>
      </c>
      <c r="B471" s="1" t="s">
        <v>37</v>
      </c>
      <c r="C471" s="1">
        <v>7.76</v>
      </c>
      <c r="D471" s="1">
        <v>24.54</v>
      </c>
      <c r="E471" s="2"/>
      <c r="F471" s="2"/>
      <c r="G471" s="2"/>
      <c r="H471" s="2"/>
      <c r="I471" s="2"/>
      <c r="J471" s="2"/>
      <c r="K471" s="2"/>
      <c r="L471" s="2"/>
      <c r="M471" s="1">
        <v>47.92</v>
      </c>
      <c r="N471" s="1">
        <v>181</v>
      </c>
      <c r="O471" s="1">
        <v>5.2630000000000003E-2</v>
      </c>
      <c r="P471" s="1">
        <v>4.3619999999999999E-2</v>
      </c>
      <c r="Q471" s="1">
        <v>0</v>
      </c>
      <c r="R471" s="1">
        <v>0</v>
      </c>
      <c r="S471" s="1">
        <v>0.15870000000000001</v>
      </c>
      <c r="T471" s="1">
        <v>5.8840000000000003E-2</v>
      </c>
      <c r="U471" s="1">
        <v>0.38569999999999999</v>
      </c>
      <c r="V471" s="1">
        <v>1.4279999999999999</v>
      </c>
      <c r="W471" s="1">
        <v>2.548</v>
      </c>
      <c r="X471" s="1">
        <v>19.149999999999999</v>
      </c>
      <c r="Y471" s="1">
        <v>7.1890000000000001E-3</v>
      </c>
      <c r="Z471" s="1">
        <v>4.6600000000000001E-3</v>
      </c>
      <c r="AA471" s="1">
        <v>0</v>
      </c>
      <c r="AB471" s="1">
        <v>0</v>
      </c>
      <c r="AC471" s="1">
        <v>2.6759999999999999E-2</v>
      </c>
      <c r="AD471" s="1">
        <v>2.7829999999999999E-3</v>
      </c>
      <c r="AE471" s="1">
        <v>9.4559999999999995</v>
      </c>
      <c r="AF471" s="1">
        <v>30.37</v>
      </c>
      <c r="AG471" s="1">
        <v>59.16</v>
      </c>
      <c r="AH471" s="1">
        <v>268.60000000000002</v>
      </c>
      <c r="AI471" s="1">
        <v>8.9959999999999998E-2</v>
      </c>
      <c r="AJ471" s="1">
        <v>6.4439999999999997E-2</v>
      </c>
      <c r="AK471" s="1">
        <v>0</v>
      </c>
      <c r="AL471" s="1">
        <v>0</v>
      </c>
      <c r="AM471" s="1">
        <v>0.28710000000000002</v>
      </c>
      <c r="AN471" s="1">
        <v>7.0389999999999994E-2</v>
      </c>
    </row>
  </sheetData>
  <autoFilter ref="A1:AQ47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51</vt:i4>
      </vt:variant>
    </vt:vector>
  </HeadingPairs>
  <TitlesOfParts>
    <vt:vector size="61" baseType="lpstr">
      <vt:lpstr>nn_backprop_gd</vt:lpstr>
      <vt:lpstr>seeds_dataset</vt:lpstr>
      <vt:lpstr>feature_scaling</vt:lpstr>
      <vt:lpstr>one_hot_encoding</vt:lpstr>
      <vt:lpstr>randomly_shuffle</vt:lpstr>
      <vt:lpstr>trn_data</vt:lpstr>
      <vt:lpstr>weight Initialization</vt:lpstr>
      <vt:lpstr>optimizer(Adam)</vt:lpstr>
      <vt:lpstr>tst_data</vt:lpstr>
      <vt:lpstr>Sheet1</vt:lpstr>
      <vt:lpstr>init_mom</vt:lpstr>
      <vt:lpstr>mvData</vt:lpstr>
      <vt:lpstr>mvTarget</vt:lpstr>
      <vt:lpstr>Pr_Error</vt:lpstr>
      <vt:lpstr>rmse_start</vt:lpstr>
      <vt:lpstr>rmse_start_2</vt:lpstr>
      <vt:lpstr>smse</vt:lpstr>
      <vt:lpstr>sum_mse</vt:lpstr>
      <vt:lpstr>tmse</vt:lpstr>
      <vt:lpstr>wf_i1</vt:lpstr>
      <vt:lpstr>wf_i1w</vt:lpstr>
      <vt:lpstr>wf_i1wA</vt:lpstr>
      <vt:lpstr>wf_i2</vt:lpstr>
      <vt:lpstr>wf_i2w</vt:lpstr>
      <vt:lpstr>wf_i2wA</vt:lpstr>
      <vt:lpstr>wf_i3</vt:lpstr>
      <vt:lpstr>wf_i3w</vt:lpstr>
      <vt:lpstr>wf_i3wA</vt:lpstr>
      <vt:lpstr>wf_i4</vt:lpstr>
      <vt:lpstr>wf_i4w</vt:lpstr>
      <vt:lpstr>wf_i4wA</vt:lpstr>
      <vt:lpstr>wf_i5</vt:lpstr>
      <vt:lpstr>wf_i5w</vt:lpstr>
      <vt:lpstr>wf_i5wA</vt:lpstr>
      <vt:lpstr>wf_O1</vt:lpstr>
      <vt:lpstr>wf_O1w</vt:lpstr>
      <vt:lpstr>wf_O1wA</vt:lpstr>
      <vt:lpstr>wf_O2</vt:lpstr>
      <vt:lpstr>wf_O2w</vt:lpstr>
      <vt:lpstr>wf_O2wA</vt:lpstr>
      <vt:lpstr>wf_O3</vt:lpstr>
      <vt:lpstr>wf_O3w</vt:lpstr>
      <vt:lpstr>wf_O3wA</vt:lpstr>
      <vt:lpstr>wi_1</vt:lpstr>
      <vt:lpstr>wi_1o</vt:lpstr>
      <vt:lpstr>wi_2</vt:lpstr>
      <vt:lpstr>wi_2o</vt:lpstr>
      <vt:lpstr>wi_3</vt:lpstr>
      <vt:lpstr>wi_3o</vt:lpstr>
      <vt:lpstr>wi_4</vt:lpstr>
      <vt:lpstr>wi_4o</vt:lpstr>
      <vt:lpstr>wi_5</vt:lpstr>
      <vt:lpstr>wi_5o</vt:lpstr>
      <vt:lpstr>wi_test</vt:lpstr>
      <vt:lpstr>wo_1</vt:lpstr>
      <vt:lpstr>wo_1o</vt:lpstr>
      <vt:lpstr>wo_1oo</vt:lpstr>
      <vt:lpstr>wo_2</vt:lpstr>
      <vt:lpstr>wo_2o</vt:lpstr>
      <vt:lpstr>wo_3</vt:lpstr>
      <vt:lpstr>wo_3o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Arfil, Yuri: Mr.</dc:creator>
  <cp:lastModifiedBy>ebe</cp:lastModifiedBy>
  <cp:lastPrinted>2019-07-29T04:00:56Z</cp:lastPrinted>
  <dcterms:created xsi:type="dcterms:W3CDTF">2018-05-04T07:47:20Z</dcterms:created>
  <dcterms:modified xsi:type="dcterms:W3CDTF">2021-05-30T15:48:05Z</dcterms:modified>
</cp:coreProperties>
</file>